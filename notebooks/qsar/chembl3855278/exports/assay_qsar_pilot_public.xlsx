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f3f8e88d694f6e" /></Relationships>
</file>

<file path=xl/workbook.xml><?xml version="1.0" encoding="utf-8"?>
<x:workbook xmlns:x="http://schemas.openxmlformats.org/spreadsheetml/2006/main">
  <x:sheets>
    <x:sheet xmlns:r="http://schemas.openxmlformats.org/officeDocument/2006/relationships" name="Results" sheetId="1" r:id="Rdfc75ec8c68647df"/>
    <x:sheet xmlns:r="http://schemas.openxmlformats.org/officeDocument/2006/relationships" name="Predictions" sheetId="2" r:id="R0d3d839c036f4bbf"/>
    <x:sheet xmlns:r="http://schemas.openxmlformats.org/officeDocument/2006/relationships" name="Computed features" sheetId="3" r:id="R7a86631e77ea482c"/>
    <x:sheet xmlns:r="http://schemas.openxmlformats.org/officeDocument/2006/relationships" name="Frozen split" sheetId="4" r:id="Rd1d13c5896c74527"/>
    <x:sheet xmlns:r="http://schemas.openxmlformats.org/officeDocument/2006/relationships" name="Eligible cohort" sheetId="5" r:id="Rd1e8388fb48e4e3e"/>
    <x:sheet xmlns:r="http://schemas.openxmlformats.org/officeDocument/2006/relationships" name="Source activities" sheetId="6" r:id="R2fd853aa0bd941bf"/>
    <x:sheet xmlns:r="http://schemas.openxmlformats.org/officeDocument/2006/relationships" name="Exclusions" sheetId="7" r:id="R570701f193c247a5"/>
    <x:sheet xmlns:r="http://schemas.openxmlformats.org/officeDocument/2006/relationships" name="Repeated identities" sheetId="8" r:id="R52cc08c1d0d64a9f"/>
    <x:sheet xmlns:r="http://schemas.openxmlformats.org/officeDocument/2006/relationships" name="Censoring and missing" sheetId="9" r:id="R8e80e9ba01cc4e6d"/>
    <x:sheet xmlns:r="http://schemas.openxmlformats.org/officeDocument/2006/relationships" name="Decision ledger" sheetId="10" r:id="R4d90a0bb096746dd"/>
    <x:sheet xmlns:r="http://schemas.openxmlformats.org/officeDocument/2006/relationships" name="Unit checks" sheetId="11" r:id="Rff86af46f6054f13"/>
    <x:sheet xmlns:r="http://schemas.openxmlformats.org/officeDocument/2006/relationships" name="Metadata" sheetId="12" r:id="Rd9a3a0640a794232"/>
    <x:sheet xmlns:r="http://schemas.openxmlformats.org/officeDocument/2006/relationships" name="File evidence" sheetId="13" r:id="Rbc554a74c1314572"/>
    <x:sheet xmlns:r="http://schemas.openxmlformats.org/officeDocument/2006/relationships" name="Raw source archive" sheetId="14" r:id="R2b9cb11d8374473b"/>
    <x:sheet xmlns:r="http://schemas.openxmlformats.org/officeDocument/2006/relationships" name="Readme" sheetId="15" r:id="Re11126f4d5f647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000000"/>
    <x:numFmt numFmtId="202" formatCode="0.0000000000"/>
    <x:numFmt numFmtId="203" formatCode="0"/>
  </x:numFmts>
  <x:fonts count="5">
    <x:font>
      <x:sz val="11"/>
      <x:name val="Carlito"/>
    </x:font>
    <x:font>
      <x:sz val="10"/>
      <x:color rgb="FF19232D"/>
      <x:name val="Arial"/>
    </x:font>
    <x:font>
      <x:b/>
      <x:sz val="10"/>
      <x:color rgb="FFFFFFFF"/>
      <x:name val="Arial"/>
    </x:font>
    <x:font>
      <x:b/>
      <x:sz val="15"/>
      <x:color rgb="FF19232D"/>
      <x:name val="Arial"/>
    </x:font>
    <x:font>
      <x:b/>
      <x:sz val="10"/>
      <x:color rgb="FF19232D"/>
      <x:name val="Arial"/>
    </x:font>
  </x:fonts>
  <x:fills count="4">
    <x:fill>
      <x:patternFill patternType="none"/>
    </x:fill>
    <x:fill>
      <x:patternFill patternType="gray125"/>
    </x:fill>
    <x:fill>
      <x:patternFill patternType="solid">
        <x:fgColor rgb="FF344E65"/>
      </x:patternFill>
    </x:fill>
    <x:fill>
      <x:patternFill patternType="solid">
        <x:fgColor rgb="FFF2F5F8"/>
      </x:patternFill>
    </x:fill>
  </x:fills>
  <x:borders count="2">
    <x:border>
      <x:left/>
      <x:right/>
      <x:top/>
      <x:bottom/>
      <x:diagonal/>
    </x:border>
    <x:border>
      <x:left/>
      <x:right/>
      <x:top/>
      <x:bottom style="thin">
        <x:color rgb="FF8495A3"/>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left" vertical="center" wrapText="1"/>
    </x:xf>
    <x:xf numFmtId="201" fontId="1" fillId="3" borderId="0" xfId="0" applyNumberFormat="1" applyFont="1" applyFill="1" applyBorder="1" applyAlignment="1">
      <x:alignment horizontal="right" vertical="center" wrapText="1"/>
    </x:xf>
    <x:xf numFmtId="202" fontId="1" fillId="3" borderId="0" xfId="0" applyNumberFormat="1" applyFont="1" applyFill="1" applyBorder="1" applyAlignment="1">
      <x:alignment horizontal="right" vertical="center" wrapText="1"/>
    </x:xf>
    <x:xf numFmtId="203" fontId="1" fillId="3" borderId="0" xfId="0" applyNumberFormat="1" applyFont="1" applyFill="1" applyBorder="1" applyAlignment="1">
      <x:alignment horizontal="right" vertical="center" wrapText="1"/>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1" fontId="1" fillId="0" borderId="0" xfId="0" applyNumberFormat="1" applyFont="1" applyFill="1" applyBorder="1" applyAlignment="1">
      <x:alignment horizontal="left" vertical="center" wrapText="1"/>
    </x:xf>
    <x:xf numFmtId="201" fontId="1" fillId="3" borderId="0" xfId="0" applyNumberFormat="1" applyFont="1" applyFill="1" applyBorder="1" applyAlignment="1">
      <x:alignment horizontal="left" vertical="center" wrapText="1"/>
    </x:xf>
    <x:xf numFmtId="202" fontId="1" fillId="0" borderId="0" xfId="0" applyNumberFormat="1" applyFont="1" applyFill="1" applyBorder="1" applyAlignment="1">
      <x:alignment horizontal="left" vertical="center" wrapText="1"/>
    </x:xf>
    <x:xf numFmtId="202" fontId="1" fillId="3" borderId="0" xfId="0" applyNumberFormat="1" applyFont="1" applyFill="1" applyBorder="1" applyAlignment="1">
      <x:alignment horizontal="left" vertical="center"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201" fontId="1" fillId="3" borderId="0"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horizontal="left" vertical="center" wrapText="1"/>
      <x:extLst>
        <x:ext uri="{C7286773-470A-42A8-94C5-96B5CB345126}">
          <xfpb:xfComplement xmlns:xfpb="http://schemas.microsoft.com/office/spreadsheetml/2022/featurepropertybag" i="0"/>
        </x:ext>
      </x:extLst>
    </x:xf>
    <x:xf numFmtId="200" fontId="1" fillId="3" borderId="0" xfId="0" applyNumberFormat="1" applyFont="1" applyFill="1" applyBorder="1" applyAlignment="1">
      <x:alignment horizontal="left" vertical="center" wrapText="1"/>
      <x:extLst>
        <x:ext uri="{C7286773-470A-42A8-94C5-96B5CB345126}">
          <xfpb:xfComplement xmlns:xfpb="http://schemas.microsoft.com/office/spreadsheetml/2022/featurepropertybag" i="0"/>
        </x:ext>
      </x:extLst>
    </x:xf>
  </x:cellXfs>
  <x:cellStyles count="1">
    <x:cellStyle name="Normal" xfId="0"/>
  </x:cellStyles>
  <x:dxfs count="1">
    <x:dxf>
      <x:font>
        <x:b/>
        <x:color rgb="FFA02B20"/>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5ee535350c4ce1" /><Relationship Type="http://schemas.openxmlformats.org/officeDocument/2006/relationships/theme" Target="/xl/theme/theme1.xml" Id="R1f9a69af437248c5" /><Relationship Type="http://schemas.microsoft.com/office/2022/11/relationships/FeaturePropertyBag" Target="/xl/featurePropertyBag/featurePropertyBag.xml" Id="R7b9e6cecf2f24421" /><Relationship Type="http://schemas.openxmlformats.org/officeDocument/2006/relationships/sharedStrings" Target="/xl/sharedStrings.xml" Id="Rba3795b9fe4647a6" /><Relationship Type="http://schemas.openxmlformats.org/officeDocument/2006/relationships/worksheet" Target="/xl/worksheets/sheet1.xml" Id="Rdfc75ec8c68647df" /><Relationship Type="http://schemas.openxmlformats.org/officeDocument/2006/relationships/worksheet" Target="/xl/worksheets/sheet2.xml" Id="R0d3d839c036f4bbf" /><Relationship Type="http://schemas.openxmlformats.org/officeDocument/2006/relationships/worksheet" Target="/xl/worksheets/sheet3.xml" Id="R7a86631e77ea482c" /><Relationship Type="http://schemas.openxmlformats.org/officeDocument/2006/relationships/worksheet" Target="/xl/worksheets/sheet4.xml" Id="Rd1d13c5896c74527" /><Relationship Type="http://schemas.openxmlformats.org/officeDocument/2006/relationships/worksheet" Target="/xl/worksheets/sheet5.xml" Id="Rd1e8388fb48e4e3e" /><Relationship Type="http://schemas.openxmlformats.org/officeDocument/2006/relationships/worksheet" Target="/xl/worksheets/sheet6.xml" Id="R2fd853aa0bd941bf" /><Relationship Type="http://schemas.openxmlformats.org/officeDocument/2006/relationships/worksheet" Target="/xl/worksheets/sheet7.xml" Id="R570701f193c247a5" /><Relationship Type="http://schemas.openxmlformats.org/officeDocument/2006/relationships/worksheet" Target="/xl/worksheets/sheet8.xml" Id="R52cc08c1d0d64a9f" /><Relationship Type="http://schemas.openxmlformats.org/officeDocument/2006/relationships/worksheet" Target="/xl/worksheets/sheet9.xml" Id="R8e80e9ba01cc4e6d" /><Relationship Type="http://schemas.openxmlformats.org/officeDocument/2006/relationships/worksheet" Target="/xl/worksheets/sheet10.xml" Id="R4d90a0bb096746dd" /><Relationship Type="http://schemas.openxmlformats.org/officeDocument/2006/relationships/worksheet" Target="/xl/worksheets/sheet11.xml" Id="Rff86af46f6054f13" /><Relationship Type="http://schemas.openxmlformats.org/officeDocument/2006/relationships/worksheet" Target="/xl/worksheets/sheet12.xml" Id="Rd9a3a0640a794232" /><Relationship Type="http://schemas.openxmlformats.org/officeDocument/2006/relationships/worksheet" Target="/xl/worksheets/sheet13.xml" Id="Rbc554a74c1314572" /><Relationship Type="http://schemas.openxmlformats.org/officeDocument/2006/relationships/worksheet" Target="/xl/worksheets/sheet14.xml" Id="R2b9cb11d8374473b" /><Relationship Type="http://schemas.openxmlformats.org/officeDocument/2006/relationships/worksheet" Target="/xl/worksheets/sheet15.xml" Id="Re11126f4d5f647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Predictions" displayName="TPredictions" ref="A1:BC81" headerRowCount="1" totalsRowCount="0" totalsRowShown="0">
  <x:autoFilter ref="A1:BC81"/>
  <x:tableColumns count="55">
    <x:tableColumn id="1" name="compound_id"/>
    <x:tableColumn id="2" name="molecule_chembl_id"/>
    <x:tableColumn id="3" name="parent_molecule_chembl_id"/>
    <x:tableColumn id="4" name="activity_id"/>
    <x:tableColumn id="5" name="source_activity_ids"/>
    <x:tableColumn id="6" name="assay_chembl_id"/>
    <x:tableColumn id="7" name="target_chembl_id"/>
    <x:tableColumn id="8" name="document_chembl_id"/>
    <x:tableColumn id="9" name="canonical_smiles"/>
    <x:tableColumn id="10" name="source_canonical_smiles"/>
    <x:tableColumn id="11" name="label_origin"/>
    <x:tableColumn id="12" name="pKi"/>
    <x:tableColumn id="13" name="expected_Ki_nM_from_original"/>
    <x:tableColumn id="14" name="standard_Ki_nM"/>
    <x:tableColumn id="15" name="roundtrip_pKi"/>
    <x:tableColumn id="16" name="roundtrip_minus_source_pKi"/>
    <x:tableColumn id="17" name="standard_Ki_nM_minus_original_conversion"/>
    <x:tableColumn id="18" name="conversion_tolerance_nM"/>
    <x:tableColumn id="19" name="parent_smiles"/>
    <x:tableColumn id="20" name="parent_isomeric_smiles"/>
    <x:tableColumn id="21" name="parent_inchikey"/>
    <x:tableColumn id="22" name="parent_nonisomeric_smiles"/>
    <x:tableColumn id="23" name="parent_connectivity_key"/>
    <x:tableColumn id="24" name="scaffold_smiles"/>
    <x:tableColumn id="25" name="structure_changed_from_source"/>
    <x:tableColumn id="26" name="source_records_for_full_identity"/>
    <x:tableColumn id="27" name="decision"/>
    <x:tableColumn id="28" name="exclusion_reasons"/>
    <x:tableColumn id="29" name="original_type"/>
    <x:tableColumn id="30" name="original_value"/>
    <x:tableColumn id="31" name="original_units"/>
    <x:tableColumn id="32" name="original_relation"/>
    <x:tableColumn id="33" name="standard_type"/>
    <x:tableColumn id="34" name="standard_value"/>
    <x:tableColumn id="35" name="standard_units"/>
    <x:tableColumn id="36" name="standard_relation"/>
    <x:tableColumn id="37" name="pchembl_value"/>
    <x:tableColumn id="38" name="potential_duplicate"/>
    <x:tableColumn id="39" name="data_validity_comment"/>
    <x:tableColumn id="40" name="activity_comment"/>
    <x:tableColumn id="41" name="source_activity_url"/>
    <x:tableColumn id="42" name="connectivity_key"/>
    <x:tableColumn id="43" name="scaffold"/>
    <x:tableColumn id="44" name="MolWt"/>
    <x:tableColumn id="45" name="MolLogP"/>
    <x:tableColumn id="46" name="TPSA"/>
    <x:tableColumn id="47" name="NumHDonors"/>
    <x:tableColumn id="48" name="NumHAcceptors"/>
    <x:tableColumn id="49" name="split"/>
    <x:tableColumn id="50" name="label_kind"/>
    <x:tableColumn id="51" name="predicted_pKi_ridge"/>
    <x:tableColumn id="52" name="predicted_pKi_train_mean"/>
    <x:tableColumn id="53" name="residual_observed_minus_predicted"/>
    <x:tableColumn id="54" name="outside_training_descriptor_range"/>
    <x:tableColumn id="55" name="max_train_morgan_similarity"/>
  </x:tableColumns>
  <x:tableStyleInfo name="TableStyleLight1" showFirstColumn="0" showLastColumn="0" showRowStripes="1" showColumnStripes="0"/>
</x:table>
</file>

<file path=xl/tables/table2.xml><?xml version="1.0" encoding="utf-8"?>
<x:table xmlns:x="http://schemas.openxmlformats.org/spreadsheetml/2006/main" id="2" name="TComputedfeatures" displayName="TComputedfeatures" ref="A1:AW81" headerRowCount="1" totalsRowCount="0" totalsRowShown="0">
  <x:autoFilter ref="A1:AW81"/>
  <x:tableColumns count="49">
    <x:tableColumn id="1" name="compound_id"/>
    <x:tableColumn id="2" name="molecule_chembl_id"/>
    <x:tableColumn id="3" name="parent_molecule_chembl_id"/>
    <x:tableColumn id="4" name="activity_id"/>
    <x:tableColumn id="5" name="source_activity_ids"/>
    <x:tableColumn id="6" name="assay_chembl_id"/>
    <x:tableColumn id="7" name="target_chembl_id"/>
    <x:tableColumn id="8" name="document_chembl_id"/>
    <x:tableColumn id="9" name="canonical_smiles"/>
    <x:tableColumn id="10" name="source_canonical_smiles"/>
    <x:tableColumn id="11" name="label_origin"/>
    <x:tableColumn id="12" name="pKi"/>
    <x:tableColumn id="13" name="expected_Ki_nM_from_original"/>
    <x:tableColumn id="14" name="standard_Ki_nM"/>
    <x:tableColumn id="15" name="roundtrip_pKi"/>
    <x:tableColumn id="16" name="roundtrip_minus_source_pKi"/>
    <x:tableColumn id="17" name="standard_Ki_nM_minus_original_conversion"/>
    <x:tableColumn id="18" name="conversion_tolerance_nM"/>
    <x:tableColumn id="19" name="parent_smiles"/>
    <x:tableColumn id="20" name="parent_isomeric_smiles"/>
    <x:tableColumn id="21" name="parent_inchikey"/>
    <x:tableColumn id="22" name="parent_nonisomeric_smiles"/>
    <x:tableColumn id="23" name="parent_connectivity_key"/>
    <x:tableColumn id="24" name="scaffold_smiles"/>
    <x:tableColumn id="25" name="structure_changed_from_source"/>
    <x:tableColumn id="26" name="source_records_for_full_identity"/>
    <x:tableColumn id="27" name="decision"/>
    <x:tableColumn id="28" name="exclusion_reasons"/>
    <x:tableColumn id="29" name="original_type"/>
    <x:tableColumn id="30" name="original_value"/>
    <x:tableColumn id="31" name="original_units"/>
    <x:tableColumn id="32" name="original_relation"/>
    <x:tableColumn id="33" name="standard_type"/>
    <x:tableColumn id="34" name="standard_value"/>
    <x:tableColumn id="35" name="standard_units"/>
    <x:tableColumn id="36" name="standard_relation"/>
    <x:tableColumn id="37" name="pchembl_value"/>
    <x:tableColumn id="38" name="potential_duplicate"/>
    <x:tableColumn id="39" name="data_validity_comment"/>
    <x:tableColumn id="40" name="activity_comment"/>
    <x:tableColumn id="41" name="source_activity_url"/>
    <x:tableColumn id="42" name="connectivity_key"/>
    <x:tableColumn id="43" name="scaffold"/>
    <x:tableColumn id="44" name="MolWt"/>
    <x:tableColumn id="45" name="MolLogP"/>
    <x:tableColumn id="46" name="TPSA"/>
    <x:tableColumn id="47" name="NumHDonors"/>
    <x:tableColumn id="48" name="NumHAcceptors"/>
    <x:tableColumn id="49" name="split"/>
  </x:tableColumns>
  <x:tableStyleInfo name="TableStyleLight1" showFirstColumn="0" showLastColumn="0" showRowStripes="1" showColumnStripes="0"/>
</x:table>
</file>

<file path=xl/tables/table3.xml><?xml version="1.0" encoding="utf-8"?>
<x:table xmlns:x="http://schemas.openxmlformats.org/spreadsheetml/2006/main" id="3" name="TFrozensplit" displayName="TFrozensplit" ref="A1:D81" headerRowCount="1" totalsRowCount="0" totalsRowShown="0">
  <x:autoFilter ref="A1:D81"/>
  <x:tableColumns count="4">
    <x:tableColumn id="1" name="molecule_chembl_id"/>
    <x:tableColumn id="2" name="connectivity_key"/>
    <x:tableColumn id="3" name="scaffold"/>
    <x:tableColumn id="4" name="split"/>
  </x:tableColumns>
  <x:tableStyleInfo name="TableStyleLight1" showFirstColumn="0" showLastColumn="0" showRowStripes="1" showColumnStripes="0"/>
</x:table>
</file>

<file path=xl/tables/table4.xml><?xml version="1.0" encoding="utf-8"?>
<x:table xmlns:x="http://schemas.openxmlformats.org/spreadsheetml/2006/main" id="4" name="TEligiblecohort" displayName="TEligiblecohort" ref="A1:AO81" headerRowCount="1" totalsRowCount="0" totalsRowShown="0">
  <x:autoFilter ref="A1:AO81"/>
  <x:tableColumns count="41">
    <x:tableColumn id="1" name="compound_id"/>
    <x:tableColumn id="2" name="molecule_chembl_id"/>
    <x:tableColumn id="3" name="parent_molecule_chembl_id"/>
    <x:tableColumn id="4" name="activity_id"/>
    <x:tableColumn id="5" name="source_activity_ids"/>
    <x:tableColumn id="6" name="assay_chembl_id"/>
    <x:tableColumn id="7" name="target_chembl_id"/>
    <x:tableColumn id="8" name="document_chembl_id"/>
    <x:tableColumn id="9" name="canonical_smiles"/>
    <x:tableColumn id="10" name="source_canonical_smiles"/>
    <x:tableColumn id="11" name="label_origin"/>
    <x:tableColumn id="12" name="pKi"/>
    <x:tableColumn id="13" name="expected_Ki_nM_from_original"/>
    <x:tableColumn id="14" name="standard_Ki_nM"/>
    <x:tableColumn id="15" name="roundtrip_pKi"/>
    <x:tableColumn id="16" name="roundtrip_minus_source_pKi"/>
    <x:tableColumn id="17" name="standard_Ki_nM_minus_original_conversion"/>
    <x:tableColumn id="18" name="conversion_tolerance_nM"/>
    <x:tableColumn id="19" name="parent_smiles"/>
    <x:tableColumn id="20" name="parent_isomeric_smiles"/>
    <x:tableColumn id="21" name="parent_inchikey"/>
    <x:tableColumn id="22" name="parent_nonisomeric_smiles"/>
    <x:tableColumn id="23" name="parent_connectivity_key"/>
    <x:tableColumn id="24" name="scaffold_smiles"/>
    <x:tableColumn id="25" name="structure_changed_from_source"/>
    <x:tableColumn id="26" name="source_records_for_full_identity"/>
    <x:tableColumn id="27" name="decision"/>
    <x:tableColumn id="28" name="exclusion_reasons"/>
    <x:tableColumn id="29" name="original_type"/>
    <x:tableColumn id="30" name="original_value"/>
    <x:tableColumn id="31" name="original_units"/>
    <x:tableColumn id="32" name="original_relation"/>
    <x:tableColumn id="33" name="standard_type"/>
    <x:tableColumn id="34" name="standard_value"/>
    <x:tableColumn id="35" name="standard_units"/>
    <x:tableColumn id="36" name="standard_relation"/>
    <x:tableColumn id="37" name="pchembl_value"/>
    <x:tableColumn id="38" name="potential_duplicate"/>
    <x:tableColumn id="39" name="data_validity_comment"/>
    <x:tableColumn id="40" name="activity_comment"/>
    <x:tableColumn id="41" name="source_activity_url"/>
  </x:tableColumns>
  <x:tableStyleInfo name="TableStyleLight1" showFirstColumn="0" showLastColumn="0" showRowStripes="1" showColumnStripes="0"/>
</x:table>
</file>

<file path=xl/tables/table5.xml><?xml version="1.0" encoding="utf-8"?>
<x:table xmlns:x="http://schemas.openxmlformats.org/spreadsheetml/2006/main" id="5" name="TSourceactivities" displayName="TSourceactivities" ref="A1:AU108" headerRowCount="1" totalsRowCount="0" totalsRowShown="0">
  <x:autoFilter ref="A1:AU108"/>
  <x:tableColumns count="47">
    <x:tableColumn id="1" name="action_type"/>
    <x:tableColumn id="2" name="activity_comment"/>
    <x:tableColumn id="3" name="activity_id"/>
    <x:tableColumn id="4" name="activity_properties"/>
    <x:tableColumn id="5" name="assay_chembl_id"/>
    <x:tableColumn id="6" name="assay_description"/>
    <x:tableColumn id="7" name="assay_type"/>
    <x:tableColumn id="8" name="assay_variant_accession"/>
    <x:tableColumn id="9" name="assay_variant_mutation"/>
    <x:tableColumn id="10" name="bao_endpoint"/>
    <x:tableColumn id="11" name="bao_format"/>
    <x:tableColumn id="12" name="bao_label"/>
    <x:tableColumn id="13" name="canonical_smiles"/>
    <x:tableColumn id="14" name="data_validity_comment"/>
    <x:tableColumn id="15" name="data_validity_description"/>
    <x:tableColumn id="16" name="document_chembl_id"/>
    <x:tableColumn id="17" name="document_journal"/>
    <x:tableColumn id="18" name="document_year"/>
    <x:tableColumn id="19" name="ligand_efficiency"/>
    <x:tableColumn id="20" name="modality"/>
    <x:tableColumn id="21" name="molecule_chembl_id"/>
    <x:tableColumn id="22" name="molecule_pref_name"/>
    <x:tableColumn id="23" name="parent_molecule_chembl_id"/>
    <x:tableColumn id="24" name="pchembl_value"/>
    <x:tableColumn id="25" name="potential_duplicate"/>
    <x:tableColumn id="26" name="qudt_units"/>
    <x:tableColumn id="27" name="record_id"/>
    <x:tableColumn id="28" name="relation"/>
    <x:tableColumn id="29" name="src_id"/>
    <x:tableColumn id="30" name="standard_flag"/>
    <x:tableColumn id="31" name="standard_relation"/>
    <x:tableColumn id="32" name="standard_text_value"/>
    <x:tableColumn id="33" name="standard_type"/>
    <x:tableColumn id="34" name="standard_units"/>
    <x:tableColumn id="35" name="standard_upper_value"/>
    <x:tableColumn id="36" name="standard_value"/>
    <x:tableColumn id="37" name="target_chembl_id"/>
    <x:tableColumn id="38" name="target_organism"/>
    <x:tableColumn id="39" name="target_pref_name"/>
    <x:tableColumn id="40" name="target_tax_id"/>
    <x:tableColumn id="41" name="text_value"/>
    <x:tableColumn id="42" name="toid"/>
    <x:tableColumn id="43" name="type"/>
    <x:tableColumn id="44" name="units"/>
    <x:tableColumn id="45" name="uo_units"/>
    <x:tableColumn id="46" name="upper_value"/>
    <x:tableColumn id="47" name="value"/>
  </x:tableColumns>
  <x:tableStyleInfo name="TableStyleLight1" showFirstColumn="0" showLastColumn="0" showRowStripes="1" showColumnStripes="0"/>
</x:table>
</file>

<file path=xl/tables/table6.xml><?xml version="1.0" encoding="utf-8"?>
<x:table xmlns:x="http://schemas.openxmlformats.org/spreadsheetml/2006/main" id="6" name="TExclusions" displayName="TExclusions" ref="A1:BM28" headerRowCount="1" totalsRowCount="0" totalsRowShown="0">
  <x:autoFilter ref="A1:BM28"/>
  <x:tableColumns count="65">
    <x:tableColumn id="1" name="action_type"/>
    <x:tableColumn id="2" name="activity_comment"/>
    <x:tableColumn id="3" name="activity_id"/>
    <x:tableColumn id="4" name="activity_properties"/>
    <x:tableColumn id="5" name="assay_chembl_id"/>
    <x:tableColumn id="6" name="assay_description"/>
    <x:tableColumn id="7" name="assay_type"/>
    <x:tableColumn id="8" name="assay_variant_accession"/>
    <x:tableColumn id="9" name="assay_variant_mutation"/>
    <x:tableColumn id="10" name="bao_endpoint"/>
    <x:tableColumn id="11" name="bao_format"/>
    <x:tableColumn id="12" name="bao_label"/>
    <x:tableColumn id="13" name="canonical_smiles"/>
    <x:tableColumn id="14" name="data_validity_comment"/>
    <x:tableColumn id="15" name="data_validity_description"/>
    <x:tableColumn id="16" name="document_chembl_id"/>
    <x:tableColumn id="17" name="document_journal"/>
    <x:tableColumn id="18" name="document_year"/>
    <x:tableColumn id="19" name="ligand_efficiency"/>
    <x:tableColumn id="20" name="modality"/>
    <x:tableColumn id="21" name="molecule_chembl_id"/>
    <x:tableColumn id="22" name="molecule_pref_name"/>
    <x:tableColumn id="23" name="parent_molecule_chembl_id"/>
    <x:tableColumn id="24" name="pchembl_value"/>
    <x:tableColumn id="25" name="potential_duplicate"/>
    <x:tableColumn id="26" name="qudt_units"/>
    <x:tableColumn id="27" name="record_id"/>
    <x:tableColumn id="28" name="relation"/>
    <x:tableColumn id="29" name="src_id"/>
    <x:tableColumn id="30" name="standard_flag"/>
    <x:tableColumn id="31" name="standard_relation"/>
    <x:tableColumn id="32" name="standard_text_value"/>
    <x:tableColumn id="33" name="standard_type"/>
    <x:tableColumn id="34" name="standard_units"/>
    <x:tableColumn id="35" name="standard_upper_value"/>
    <x:tableColumn id="36" name="standard_value"/>
    <x:tableColumn id="37" name="target_chembl_id"/>
    <x:tableColumn id="38" name="target_organism"/>
    <x:tableColumn id="39" name="target_pref_name"/>
    <x:tableColumn id="40" name="target_tax_id"/>
    <x:tableColumn id="41" name="text_value"/>
    <x:tableColumn id="42" name="toid"/>
    <x:tableColumn id="43" name="type"/>
    <x:tableColumn id="44" name="units"/>
    <x:tableColumn id="45" name="uo_units"/>
    <x:tableColumn id="46" name="upper_value"/>
    <x:tableColumn id="47" name="value"/>
    <x:tableColumn id="48" name="audit_conversion_tolerance_nM"/>
    <x:tableColumn id="49" name="audit_decision"/>
    <x:tableColumn id="50" name="audit_exclusion_reasons"/>
    <x:tableColumn id="51" name="audit_expected_Ki_nM_from_original"/>
    <x:tableColumn id="52" name="audit_label_origin"/>
    <x:tableColumn id="53" name="audit_pKi"/>
    <x:tableColumn id="54" name="audit_parent_connectivity_key"/>
    <x:tableColumn id="55" name="audit_parent_inchikey"/>
    <x:tableColumn id="56" name="audit_parent_isomeric_smiles"/>
    <x:tableColumn id="57" name="audit_parent_nonisomeric_smiles"/>
    <x:tableColumn id="58" name="audit_parent_smiles"/>
    <x:tableColumn id="59" name="audit_roundtrip_minus_source_pKi"/>
    <x:tableColumn id="60" name="audit_roundtrip_pKi"/>
    <x:tableColumn id="61" name="audit_scaffold_smiles"/>
    <x:tableColumn id="62" name="audit_source_records_for_full_identity"/>
    <x:tableColumn id="63" name="audit_standard_Ki_nM"/>
    <x:tableColumn id="64" name="audit_standard_Ki_nM_minus_original_conversion"/>
    <x:tableColumn id="65" name="audit_structure_changed_from_source"/>
  </x:tableColumns>
  <x:tableStyleInfo name="TableStyleLight1" showFirstColumn="0" showLastColumn="0" showRowStripes="1" showColumnStripes="0"/>
</x:table>
</file>

<file path=xl/tables/table7.xml><?xml version="1.0" encoding="utf-8"?>
<x:table xmlns:x="http://schemas.openxmlformats.org/spreadsheetml/2006/main" id="7" name="TRepeatedidentities" displayName="TRepeatedidentities" ref="A1:BM27" headerRowCount="1" totalsRowCount="0" totalsRowShown="0">
  <x:autoFilter ref="A1:BM27"/>
  <x:tableColumns count="65">
    <x:tableColumn id="1" name="action_type"/>
    <x:tableColumn id="2" name="activity_comment"/>
    <x:tableColumn id="3" name="activity_id"/>
    <x:tableColumn id="4" name="activity_properties"/>
    <x:tableColumn id="5" name="assay_chembl_id"/>
    <x:tableColumn id="6" name="assay_description"/>
    <x:tableColumn id="7" name="assay_type"/>
    <x:tableColumn id="8" name="assay_variant_accession"/>
    <x:tableColumn id="9" name="assay_variant_mutation"/>
    <x:tableColumn id="10" name="bao_endpoint"/>
    <x:tableColumn id="11" name="bao_format"/>
    <x:tableColumn id="12" name="bao_label"/>
    <x:tableColumn id="13" name="canonical_smiles"/>
    <x:tableColumn id="14" name="data_validity_comment"/>
    <x:tableColumn id="15" name="data_validity_description"/>
    <x:tableColumn id="16" name="document_chembl_id"/>
    <x:tableColumn id="17" name="document_journal"/>
    <x:tableColumn id="18" name="document_year"/>
    <x:tableColumn id="19" name="ligand_efficiency"/>
    <x:tableColumn id="20" name="modality"/>
    <x:tableColumn id="21" name="molecule_chembl_id"/>
    <x:tableColumn id="22" name="molecule_pref_name"/>
    <x:tableColumn id="23" name="parent_molecule_chembl_id"/>
    <x:tableColumn id="24" name="pchembl_value"/>
    <x:tableColumn id="25" name="potential_duplicate"/>
    <x:tableColumn id="26" name="qudt_units"/>
    <x:tableColumn id="27" name="record_id"/>
    <x:tableColumn id="28" name="relation"/>
    <x:tableColumn id="29" name="src_id"/>
    <x:tableColumn id="30" name="standard_flag"/>
    <x:tableColumn id="31" name="standard_relation"/>
    <x:tableColumn id="32" name="standard_text_value"/>
    <x:tableColumn id="33" name="standard_type"/>
    <x:tableColumn id="34" name="standard_units"/>
    <x:tableColumn id="35" name="standard_upper_value"/>
    <x:tableColumn id="36" name="standard_value"/>
    <x:tableColumn id="37" name="target_chembl_id"/>
    <x:tableColumn id="38" name="target_organism"/>
    <x:tableColumn id="39" name="target_pref_name"/>
    <x:tableColumn id="40" name="target_tax_id"/>
    <x:tableColumn id="41" name="text_value"/>
    <x:tableColumn id="42" name="toid"/>
    <x:tableColumn id="43" name="type"/>
    <x:tableColumn id="44" name="units"/>
    <x:tableColumn id="45" name="uo_units"/>
    <x:tableColumn id="46" name="upper_value"/>
    <x:tableColumn id="47" name="value"/>
    <x:tableColumn id="48" name="audit_conversion_tolerance_nM"/>
    <x:tableColumn id="49" name="audit_decision"/>
    <x:tableColumn id="50" name="audit_exclusion_reasons"/>
    <x:tableColumn id="51" name="audit_expected_Ki_nM_from_original"/>
    <x:tableColumn id="52" name="audit_label_origin"/>
    <x:tableColumn id="53" name="audit_pKi"/>
    <x:tableColumn id="54" name="audit_parent_connectivity_key"/>
    <x:tableColumn id="55" name="audit_parent_inchikey"/>
    <x:tableColumn id="56" name="audit_parent_isomeric_smiles"/>
    <x:tableColumn id="57" name="audit_parent_nonisomeric_smiles"/>
    <x:tableColumn id="58" name="audit_parent_smiles"/>
    <x:tableColumn id="59" name="audit_roundtrip_minus_source_pKi"/>
    <x:tableColumn id="60" name="audit_roundtrip_pKi"/>
    <x:tableColumn id="61" name="audit_scaffold_smiles"/>
    <x:tableColumn id="62" name="audit_source_records_for_full_identity"/>
    <x:tableColumn id="63" name="audit_standard_Ki_nM"/>
    <x:tableColumn id="64" name="audit_standard_Ki_nM_minus_original_conversion"/>
    <x:tableColumn id="65" name="audit_structure_changed_from_source"/>
  </x:tableColumns>
  <x:tableStyleInfo name="TableStyleLight1" showFirstColumn="0" showLastColumn="0" showRowStripes="1" showColumnStripes="0"/>
</x:table>
</file>

<file path=xl/tables/table8.xml><?xml version="1.0" encoding="utf-8"?>
<x:table xmlns:x="http://schemas.openxmlformats.org/spreadsheetml/2006/main" id="8" name="TCensoringandmissing" displayName="TCensoringandmissing" ref="A1:BM3" headerRowCount="1" totalsRowCount="0" totalsRowShown="0">
  <x:autoFilter ref="A1:BM3"/>
  <x:tableColumns count="65">
    <x:tableColumn id="1" name="action_type"/>
    <x:tableColumn id="2" name="activity_comment"/>
    <x:tableColumn id="3" name="activity_id"/>
    <x:tableColumn id="4" name="activity_properties"/>
    <x:tableColumn id="5" name="assay_chembl_id"/>
    <x:tableColumn id="6" name="assay_description"/>
    <x:tableColumn id="7" name="assay_type"/>
    <x:tableColumn id="8" name="assay_variant_accession"/>
    <x:tableColumn id="9" name="assay_variant_mutation"/>
    <x:tableColumn id="10" name="bao_endpoint"/>
    <x:tableColumn id="11" name="bao_format"/>
    <x:tableColumn id="12" name="bao_label"/>
    <x:tableColumn id="13" name="canonical_smiles"/>
    <x:tableColumn id="14" name="data_validity_comment"/>
    <x:tableColumn id="15" name="data_validity_description"/>
    <x:tableColumn id="16" name="document_chembl_id"/>
    <x:tableColumn id="17" name="document_journal"/>
    <x:tableColumn id="18" name="document_year"/>
    <x:tableColumn id="19" name="ligand_efficiency"/>
    <x:tableColumn id="20" name="modality"/>
    <x:tableColumn id="21" name="molecule_chembl_id"/>
    <x:tableColumn id="22" name="molecule_pref_name"/>
    <x:tableColumn id="23" name="parent_molecule_chembl_id"/>
    <x:tableColumn id="24" name="pchembl_value"/>
    <x:tableColumn id="25" name="potential_duplicate"/>
    <x:tableColumn id="26" name="qudt_units"/>
    <x:tableColumn id="27" name="record_id"/>
    <x:tableColumn id="28" name="relation"/>
    <x:tableColumn id="29" name="src_id"/>
    <x:tableColumn id="30" name="standard_flag"/>
    <x:tableColumn id="31" name="standard_relation"/>
    <x:tableColumn id="32" name="standard_text_value"/>
    <x:tableColumn id="33" name="standard_type"/>
    <x:tableColumn id="34" name="standard_units"/>
    <x:tableColumn id="35" name="standard_upper_value"/>
    <x:tableColumn id="36" name="standard_value"/>
    <x:tableColumn id="37" name="target_chembl_id"/>
    <x:tableColumn id="38" name="target_organism"/>
    <x:tableColumn id="39" name="target_pref_name"/>
    <x:tableColumn id="40" name="target_tax_id"/>
    <x:tableColumn id="41" name="text_value"/>
    <x:tableColumn id="42" name="toid"/>
    <x:tableColumn id="43" name="type"/>
    <x:tableColumn id="44" name="units"/>
    <x:tableColumn id="45" name="uo_units"/>
    <x:tableColumn id="46" name="upper_value"/>
    <x:tableColumn id="47" name="value"/>
    <x:tableColumn id="48" name="audit_conversion_tolerance_nM"/>
    <x:tableColumn id="49" name="audit_decision"/>
    <x:tableColumn id="50" name="audit_exclusion_reasons"/>
    <x:tableColumn id="51" name="audit_expected_Ki_nM_from_original"/>
    <x:tableColumn id="52" name="audit_label_origin"/>
    <x:tableColumn id="53" name="audit_pKi"/>
    <x:tableColumn id="54" name="audit_parent_connectivity_key"/>
    <x:tableColumn id="55" name="audit_parent_inchikey"/>
    <x:tableColumn id="56" name="audit_parent_isomeric_smiles"/>
    <x:tableColumn id="57" name="audit_parent_nonisomeric_smiles"/>
    <x:tableColumn id="58" name="audit_parent_smiles"/>
    <x:tableColumn id="59" name="audit_roundtrip_minus_source_pKi"/>
    <x:tableColumn id="60" name="audit_roundtrip_pKi"/>
    <x:tableColumn id="61" name="audit_scaffold_smiles"/>
    <x:tableColumn id="62" name="audit_source_records_for_full_identity"/>
    <x:tableColumn id="63" name="audit_standard_Ki_nM"/>
    <x:tableColumn id="64" name="audit_standard_Ki_nM_minus_original_conversion"/>
    <x:tableColumn id="65" name="audit_structure_changed_from_source"/>
  </x:tableColumns>
  <x:tableStyleInfo name="TableStyleLight1" showFirstColumn="0" showLastColumn="0" showRowStripes="1" showColumnStripes="0"/>
</x:table>
</file>

<file path=xl/tables/table9.xml><?xml version="1.0" encoding="utf-8"?>
<x:table xmlns:x="http://schemas.openxmlformats.org/spreadsheetml/2006/main" id="9" name="TDecisionledger" displayName="TDecisionledger" ref="A1:BM108" headerRowCount="1" totalsRowCount="0" totalsRowShown="0">
  <x:autoFilter ref="A1:BM108"/>
  <x:tableColumns count="65">
    <x:tableColumn id="1" name="action_type"/>
    <x:tableColumn id="2" name="activity_comment"/>
    <x:tableColumn id="3" name="activity_id"/>
    <x:tableColumn id="4" name="activity_properties"/>
    <x:tableColumn id="5" name="assay_chembl_id"/>
    <x:tableColumn id="6" name="assay_description"/>
    <x:tableColumn id="7" name="assay_type"/>
    <x:tableColumn id="8" name="assay_variant_accession"/>
    <x:tableColumn id="9" name="assay_variant_mutation"/>
    <x:tableColumn id="10" name="bao_endpoint"/>
    <x:tableColumn id="11" name="bao_format"/>
    <x:tableColumn id="12" name="bao_label"/>
    <x:tableColumn id="13" name="canonical_smiles"/>
    <x:tableColumn id="14" name="data_validity_comment"/>
    <x:tableColumn id="15" name="data_validity_description"/>
    <x:tableColumn id="16" name="document_chembl_id"/>
    <x:tableColumn id="17" name="document_journal"/>
    <x:tableColumn id="18" name="document_year"/>
    <x:tableColumn id="19" name="ligand_efficiency"/>
    <x:tableColumn id="20" name="modality"/>
    <x:tableColumn id="21" name="molecule_chembl_id"/>
    <x:tableColumn id="22" name="molecule_pref_name"/>
    <x:tableColumn id="23" name="parent_molecule_chembl_id"/>
    <x:tableColumn id="24" name="pchembl_value"/>
    <x:tableColumn id="25" name="potential_duplicate"/>
    <x:tableColumn id="26" name="qudt_units"/>
    <x:tableColumn id="27" name="record_id"/>
    <x:tableColumn id="28" name="relation"/>
    <x:tableColumn id="29" name="src_id"/>
    <x:tableColumn id="30" name="standard_flag"/>
    <x:tableColumn id="31" name="standard_relation"/>
    <x:tableColumn id="32" name="standard_text_value"/>
    <x:tableColumn id="33" name="standard_type"/>
    <x:tableColumn id="34" name="standard_units"/>
    <x:tableColumn id="35" name="standard_upper_value"/>
    <x:tableColumn id="36" name="standard_value"/>
    <x:tableColumn id="37" name="target_chembl_id"/>
    <x:tableColumn id="38" name="target_organism"/>
    <x:tableColumn id="39" name="target_pref_name"/>
    <x:tableColumn id="40" name="target_tax_id"/>
    <x:tableColumn id="41" name="text_value"/>
    <x:tableColumn id="42" name="toid"/>
    <x:tableColumn id="43" name="type"/>
    <x:tableColumn id="44" name="units"/>
    <x:tableColumn id="45" name="uo_units"/>
    <x:tableColumn id="46" name="upper_value"/>
    <x:tableColumn id="47" name="value"/>
    <x:tableColumn id="48" name="audit_conversion_tolerance_nM"/>
    <x:tableColumn id="49" name="audit_decision"/>
    <x:tableColumn id="50" name="audit_exclusion_reasons"/>
    <x:tableColumn id="51" name="audit_expected_Ki_nM_from_original"/>
    <x:tableColumn id="52" name="audit_label_origin"/>
    <x:tableColumn id="53" name="audit_pKi"/>
    <x:tableColumn id="54" name="audit_parent_connectivity_key"/>
    <x:tableColumn id="55" name="audit_parent_inchikey"/>
    <x:tableColumn id="56" name="audit_parent_isomeric_smiles"/>
    <x:tableColumn id="57" name="audit_parent_nonisomeric_smiles"/>
    <x:tableColumn id="58" name="audit_parent_smiles"/>
    <x:tableColumn id="59" name="audit_roundtrip_minus_source_pKi"/>
    <x:tableColumn id="60" name="audit_roundtrip_pKi"/>
    <x:tableColumn id="61" name="audit_scaffold_smiles"/>
    <x:tableColumn id="62" name="audit_source_records_for_full_identity"/>
    <x:tableColumn id="63" name="audit_standard_Ki_nM"/>
    <x:tableColumn id="64" name="audit_standard_Ki_nM_minus_original_conversion"/>
    <x:tableColumn id="65" name="audit_structure_changed_from_source"/>
  </x:tableColumns>
  <x:tableStyleInfo name="TableStyleLight1" showFirstColumn="0" showLastColumn="0" showRowStripes="1" showColumnStripes="0"/>
</x:table>
</file>

<file path=xl/tables/table10.xml><?xml version="1.0" encoding="utf-8"?>
<x:table xmlns:x="http://schemas.openxmlformats.org/spreadsheetml/2006/main" id="10" name="TUnitChecks" displayName="TUnitChecks" ref="A1:I81" headerRowCount="1" totalsRowCount="0" totalsRowShown="0">
  <x:autoFilter ref="A1:I81"/>
  <x:tableColumns count="9">
    <x:tableColumn id="1" name="activity_id"/>
    <x:tableColumn id="2" name="Source pKi"/>
    <x:tableColumn id="3" name="Standardized Ki (nM)"/>
    <x:tableColumn id="4" name="Allowed difference (nM)"/>
    <x:tableColumn id="5" name="Ki from source pKi (nM)"/>
    <x:tableColumn id="6" name="Reverse-log pKi"/>
    <x:tableColumn id="7" name="Reverse-log minus source pKi"/>
    <x:tableColumn id="8" name="Ki difference (nM)"/>
    <x:tableColumn id="9" name="Within recorded tolerance"/>
  </x:tableColumns>
  <x:tableStyleInfo name="TableStyleLight1" showFirstColumn="0" showLastColumn="0" showRowStripes="1" showColumnStripes="0"/>
</x:table>
</file>

<file path=xl/tables/table11.xml><?xml version="1.0" encoding="utf-8"?>
<x:table xmlns:x="http://schemas.openxmlformats.org/spreadsheetml/2006/main" id="11" name="TMetadata" displayName="TMetadata" ref="A1:D293" headerRowCount="1" totalsRowCount="0" totalsRowShown="0">
  <x:autoFilter ref="A1:D293"/>
  <x:tableColumns count="4">
    <x:tableColumn id="1" name="Source file"/>
    <x:tableColumn id="2" name="JSON field"/>
    <x:tableColumn id="3" name="Value type"/>
    <x:tableColumn id="4" name="Recorded value"/>
  </x:tableColumns>
  <x:tableStyleInfo name="TableStyleLight1" showFirstColumn="0" showLastColumn="0" showRowStripes="1" showColumnStripes="0"/>
</x:table>
</file>

<file path=xl/tables/table12.xml><?xml version="1.0" encoding="utf-8"?>
<x:table xmlns:x="http://schemas.openxmlformats.org/spreadsheetml/2006/main" id="12" name="TFileEvidence" displayName="TFileEvidence" ref="A1:E29" headerRowCount="1" totalsRowCount="0" totalsRowShown="0">
  <x:autoFilter ref="A1:E29"/>
  <x:tableColumns count="5">
    <x:tableColumn id="1" name="File"/>
    <x:tableColumn id="2" name="Bytes"/>
    <x:tableColumn id="3" name="SHA-256 independently computed"/>
    <x:tableColumn id="4" name="Recorded prior SHA-256"/>
    <x:tableColumn id="5" name="Matches prior manifest"/>
  </x:tableColumns>
  <x:tableStyleInfo name="TableStyleLight1" showFirstColumn="0" showLastColumn="0" showRowStripes="1" showColumnStripes="0"/>
</x:table>
</file>

<file path=xl/tables/table13.xml><?xml version="1.0" encoding="utf-8"?>
<x:table xmlns:x="http://schemas.openxmlformats.org/spreadsheetml/2006/main" id="13" name="TRawJsonArchive" displayName="TRawJsonArchive" ref="A1:D537" headerRowCount="1" totalsRowCount="0" totalsRowShown="0">
  <x:autoFilter ref="A1:D537"/>
  <x:tableColumns count="4">
    <x:tableColumn id="1" name="Source file"/>
    <x:tableColumn id="2" name="Part index"/>
    <x:tableColumn id="3" name="Total parts"/>
    <x:tableColumn id="4" name="Exact UTF-8 text chunk"/>
  </x:tableColumns>
  <x:tableStyleInfo name="TableStyleLight1" showFirstColumn="0" showLastColumn="0" showRowStripes="1" showColumnStripes="0"/>
</x:table>
</file>

<file path=xl/tables/table14.xml><?xml version="1.0" encoding="utf-8"?>
<x:table xmlns:x="http://schemas.openxmlformats.org/spreadsheetml/2006/main" id="14" name="TReadme" displayName="TReadme" ref="A1:B19" headerRowCount="1" totalsRowCount="0" totalsRowShown="0">
  <x:autoFilter ref="A1:B19"/>
  <x:tableColumns count="2">
    <x:tableColumn id="1" name="Topic"/>
    <x:tableColumn id="2" name="Explan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384ded869d478a" /></Relationships>
</file>

<file path=xl/worksheets/_rels/sheet3.xml.rels>&#65279;<?xml version="1.0" encoding="utf-8"?><Relationships xmlns="http://schemas.openxmlformats.org/package/2006/relationships"><Relationship Type="http://schemas.openxmlformats.org/officeDocument/2006/relationships/table" Target="/xl/tables/table2.xml" Id="R45d833442e2d400b" /></Relationships>
</file>

<file path=xl/worksheets/_rels/sheet4.xml.rels>&#65279;<?xml version="1.0" encoding="utf-8"?><Relationships xmlns="http://schemas.openxmlformats.org/package/2006/relationships"><Relationship Type="http://schemas.openxmlformats.org/officeDocument/2006/relationships/table" Target="/xl/tables/table3.xml" Id="R9383fb6f88bd44b2" /></Relationships>
</file>

<file path=xl/worksheets/_rels/sheet5.xml.rels>&#65279;<?xml version="1.0" encoding="utf-8"?><Relationships xmlns="http://schemas.openxmlformats.org/package/2006/relationships"><Relationship Type="http://schemas.openxmlformats.org/officeDocument/2006/relationships/table" Target="/xl/tables/table4.xml" Id="R2c1a867fe96b435a" /></Relationships>
</file>

<file path=xl/worksheets/_rels/sheet6.xml.rels>&#65279;<?xml version="1.0" encoding="utf-8"?><Relationships xmlns="http://schemas.openxmlformats.org/package/2006/relationships"><Relationship Type="http://schemas.openxmlformats.org/officeDocument/2006/relationships/table" Target="/xl/tables/table5.xml" Id="R46805cf414a24495" /></Relationships>
</file>

<file path=xl/worksheets/_rels/sheet7.xml.rels>&#65279;<?xml version="1.0" encoding="utf-8"?><Relationships xmlns="http://schemas.openxmlformats.org/package/2006/relationships"><Relationship Type="http://schemas.openxmlformats.org/officeDocument/2006/relationships/table" Target="/xl/tables/table6.xml" Id="R1a6258765f38479a" /></Relationships>
</file>

<file path=xl/worksheets/_rels/sheet8.xml.rels>&#65279;<?xml version="1.0" encoding="utf-8"?><Relationships xmlns="http://schemas.openxmlformats.org/package/2006/relationships"><Relationship Type="http://schemas.openxmlformats.org/officeDocument/2006/relationships/table" Target="/xl/tables/table7.xml" Id="R12d6d09c7daf404c" /></Relationships>
</file>

<file path=xl/worksheets/_rels/sheet9.xml.rels>&#65279;<?xml version="1.0" encoding="utf-8"?><Relationships xmlns="http://schemas.openxmlformats.org/package/2006/relationships"><Relationship Type="http://schemas.openxmlformats.org/officeDocument/2006/relationships/table" Target="/xl/tables/table8.xml" Id="R182b7346a01f4044" /></Relationships>
</file>

<file path=xl/worksheets/_rels/sheet10.xml.rels>&#65279;<?xml version="1.0" encoding="utf-8"?><Relationships xmlns="http://schemas.openxmlformats.org/package/2006/relationships"><Relationship Type="http://schemas.openxmlformats.org/officeDocument/2006/relationships/table" Target="/xl/tables/table9.xml" Id="R62ce1b1694ab45e0" /></Relationships>
</file>

<file path=xl/worksheets/_rels/sheet11.xml.rels>&#65279;<?xml version="1.0" encoding="utf-8"?><Relationships xmlns="http://schemas.openxmlformats.org/package/2006/relationships"><Relationship Type="http://schemas.openxmlformats.org/officeDocument/2006/relationships/table" Target="/xl/tables/table10.xml" Id="Rc4d7708abd174736" /></Relationships>
</file>

<file path=xl/worksheets/_rels/sheet12.xml.rels>&#65279;<?xml version="1.0" encoding="utf-8"?><Relationships xmlns="http://schemas.openxmlformats.org/package/2006/relationships"><Relationship Type="http://schemas.openxmlformats.org/officeDocument/2006/relationships/table" Target="/xl/tables/table11.xml" Id="R7546833b4a4d44e2" /></Relationships>
</file>

<file path=xl/worksheets/_rels/sheet13.xml.rels>&#65279;<?xml version="1.0" encoding="utf-8"?><Relationships xmlns="http://schemas.openxmlformats.org/package/2006/relationships"><Relationship Type="http://schemas.openxmlformats.org/officeDocument/2006/relationships/table" Target="/xl/tables/table12.xml" Id="Rb9ef502c9b1f4519" /></Relationships>
</file>

<file path=xl/worksheets/_rels/sheet14.xml.rels>&#65279;<?xml version="1.0" encoding="utf-8"?><Relationships xmlns="http://schemas.openxmlformats.org/package/2006/relationships"><Relationship Type="http://schemas.openxmlformats.org/officeDocument/2006/relationships/table" Target="/xl/tables/table13.xml" Id="Rd5f974455ed74255" /></Relationships>
</file>

<file path=xl/worksheets/_rels/sheet15.xml.rels>&#65279;<?xml version="1.0" encoding="utf-8"?><Relationships xmlns="http://schemas.openxmlformats.org/package/2006/relationships"><Relationship Type="http://schemas.openxmlformats.org/officeDocument/2006/relationships/table" Target="/xl/tables/table14.xml" Id="R82b52a21090e4e5d" /></Relationships>
</file>

<file path=xl/worksheets/sheet1.xml><?xml version="1.0" encoding="utf-8"?>
<x:worksheet xmlns:x="http://schemas.openxmlformats.org/spreadsheetml/2006/main">
  <x:sheetPr>
    <x:tabColor rgb="FF344E65"/>
  </x:sheetPr>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2" customHeight="1">
      <x:c r="A1" s="2"/>
      <x:c r="B1" s="2"/>
      <x:c r="C1" s="2"/>
      <x:c r="D1" s="2"/>
      <x:c r="E1" s="2"/>
      <x:c r="F1" s="2"/>
      <x:c r="G1" s="2"/>
    </x:row>
    <x:row r="2" ht="22" customHeight="1">
      <x:c r="A2" s="18" t="str">
        <x:v>Single-assay QSAR pilot</x:v>
      </x:c>
      <x:c r="B2" s="2"/>
      <x:c r="C2" s="2"/>
      <x:c r="D2" s="2"/>
      <x:c r="E2" s="2"/>
      <x:c r="F2" s="2"/>
      <x:c r="G2" s="2"/>
    </x:row>
    <x:row r="3" ht="22" customHeight="1">
      <x:c r="A3" s="19"/>
      <x:c r="B3" s="19"/>
      <x:c r="C3" s="19"/>
      <x:c r="D3" s="19"/>
      <x:c r="E3" s="19"/>
      <x:c r="F3" s="19"/>
      <x:c r="G3" s="19"/>
    </x:row>
    <x:row r="4" ht="22" customHeight="1">
      <x:c r="A4" s="2"/>
      <x:c r="B4" s="2"/>
      <x:c r="C4" s="2"/>
      <x:c r="D4" s="2"/>
      <x:c r="E4" s="2"/>
      <x:c r="F4" s="2"/>
      <x:c r="G4" s="2"/>
    </x:row>
    <x:row r="5" ht="22" customHeight="1">
      <x:c r="A5" s="20" t="str">
        <x:v>No useful predictive skill established.</x:v>
      </x:c>
      <x:c r="B5" s="2"/>
      <x:c r="C5" s="2"/>
      <x:c r="D5" s="2"/>
      <x:c r="E5" s="2"/>
      <x:c r="F5" s="2"/>
      <x:c r="G5" s="2"/>
    </x:row>
    <x:row r="6" ht="22" customHeight="1">
      <x:c r="A6" s="2"/>
      <x:c r="B6" s="2"/>
      <x:c r="C6" s="2"/>
      <x:c r="D6" s="2"/>
      <x:c r="E6" s="2"/>
      <x:c r="F6" s="2"/>
      <x:c r="G6" s="2"/>
    </x:row>
    <x:row r="7" ht="22" customHeight="1">
      <x:c r="A7" s="5" t="str">
        <x:v>Holdout model</x:v>
      </x:c>
      <x:c r="B7" s="5" t="str">
        <x:v>N</x:v>
      </x:c>
      <x:c r="C7" s="5" t="str">
        <x:v>MAE (pKi)</x:v>
      </x:c>
      <x:c r="D7" s="5" t="str">
        <x:v>RMSE (pKi)</x:v>
      </x:c>
      <x:c r="E7" s="5" t="str">
        <x:v>R²</x:v>
      </x:c>
      <x:c r="F7" s="2"/>
      <x:c r="G7" s="2"/>
    </x:row>
    <x:row r="8" ht="22" customHeight="1">
      <x:c r="A8" s="2" t="str">
        <x:v>Ridge, alpha = 1</x:v>
      </x:c>
      <x:c r="B8" s="22" t="n">
        <x:v>23</x:v>
      </x:c>
      <x:c r="C8" s="21" t="n">
        <x:v>0.3698930238683352</x:v>
      </x:c>
      <x:c r="D8" s="21" t="n">
        <x:v>0.49120500680238127</x:v>
      </x:c>
      <x:c r="E8" s="21" t="n">
        <x:v>-0.05243758807300014</x:v>
      </x:c>
      <x:c r="F8" s="2"/>
      <x:c r="G8" s="2"/>
    </x:row>
    <x:row r="9" ht="22" customHeight="1">
      <x:c r="A9" s="2" t="str">
        <x:v>Training-mean baseline</x:v>
      </x:c>
      <x:c r="B9" s="22" t="n">
        <x:v>23</x:v>
      </x:c>
      <x:c r="C9" s="21" t="n">
        <x:v>0.37567505720823824</x:v>
      </x:c>
      <x:c r="D9" s="21" t="n">
        <x:v>0.49685998251590124</x:v>
      </x:c>
      <x:c r="E9" s="21" t="n">
        <x:v>-0.07680935610672401</x:v>
      </x:c>
      <x:c r="F9" s="2"/>
      <x:c r="G9" s="2"/>
    </x:row>
    <x:row r="10" ht="22" customHeight="1">
      <x:c r="A10" s="2" t="str">
        <x:v>Ridge minus baseline</x:v>
      </x:c>
      <x:c r="B10" s="2"/>
      <x:c r="C10" s="21" t="n">
        <x:f>C8-C9</x:f>
        <x:v>-0.005782033339903014</x:v>
      </x:c>
      <x:c r="D10" s="21" t="n">
        <x:f>D8-D9</x:f>
        <x:v>-0.005654975713519972</x:v>
      </x:c>
      <x:c r="E10" s="21" t="n">
        <x:f>E8-E9</x:f>
        <x:v>0.024371768033723873</x:v>
      </x:c>
      <x:c r="F10" s="2"/>
      <x:c r="G10" s="2"/>
    </x:row>
    <x:row r="11" ht="22" customHeight="1">
      <x:c r="A11" s="2"/>
      <x:c r="B11" s="2"/>
      <x:c r="C11" s="2"/>
      <x:c r="D11" s="2"/>
      <x:c r="E11" s="2"/>
      <x:c r="F11" s="2"/>
      <x:c r="G11" s="2"/>
    </x:row>
    <x:row r="12" ht="22" customHeight="1">
      <x:c r="A12" s="2" t="str">
        <x:v>Source assay activities</x:v>
      </x:c>
      <x:c r="B12" s="2" t="n">
        <x:v>107</x:v>
      </x:c>
      <x:c r="C12" s="2"/>
      <x:c r="D12" s="2"/>
      <x:c r="E12" s="2"/>
      <x:c r="F12" s="2"/>
      <x:c r="G12" s="2"/>
    </x:row>
    <x:row r="13" ht="22" customHeight="1">
      <x:c r="A13" s="2" t="str">
        <x:v>Eligible compounds</x:v>
      </x:c>
      <x:c r="B13" s="2" t="n">
        <x:v>80</x:v>
      </x:c>
      <x:c r="C13" s="2"/>
      <x:c r="D13" s="2"/>
      <x:c r="E13" s="2"/>
      <x:c r="F13" s="2"/>
      <x:c r="G13" s="2"/>
    </x:row>
    <x:row r="14" ht="22" customHeight="1">
      <x:c r="A14" s="2" t="str">
        <x:v>Training compounds</x:v>
      </x:c>
      <x:c r="B14" s="2" t="n">
        <x:v>57</x:v>
      </x:c>
      <x:c r="C14" s="2"/>
      <x:c r="D14" s="2"/>
      <x:c r="E14" s="2"/>
      <x:c r="F14" s="2"/>
      <x:c r="G14" s="2"/>
    </x:row>
    <x:row r="15" ht="22" customHeight="1">
      <x:c r="A15" s="2" t="str">
        <x:v>Holdout compounds</x:v>
      </x:c>
      <x:c r="B15" s="2" t="n">
        <x:v>23</x:v>
      </x:c>
      <x:c r="C15" s="2"/>
      <x:c r="D15" s="2"/>
      <x:c r="E15" s="2"/>
      <x:c r="F15" s="2"/>
      <x:c r="G15" s="2"/>
    </x:row>
    <x:row r="16" ht="22" customHeight="1">
      <x:c r="A16" s="2" t="str">
        <x:v>Excluded source rows</x:v>
      </x:c>
      <x:c r="B16" s="2" t="n">
        <x:v>27</x:v>
      </x:c>
      <x:c r="C16" s="2"/>
      <x:c r="D16" s="2"/>
      <x:c r="E16" s="2"/>
      <x:c r="F16" s="2"/>
      <x:c r="G16" s="2"/>
    </x:row>
    <x:row r="17" ht="22" customHeight="1">
      <x:c r="A17" s="2" t="str">
        <x:v>Structural groups</x:v>
      </x:c>
      <x:c r="B17" s="2" t="n">
        <x:v>32</x:v>
      </x:c>
      <x:c r="C17" s="2"/>
      <x:c r="D17" s="2"/>
      <x:c r="E17" s="2"/>
      <x:c r="F17" s="2"/>
      <x:c r="G17" s="2"/>
    </x:row>
    <x:row r="18" ht="22" customHeight="1">
      <x:c r="A18" s="2"/>
      <x:c r="B18" s="2"/>
      <x:c r="C18" s="2"/>
      <x:c r="D18" s="2"/>
      <x:c r="E18" s="2"/>
      <x:c r="F18" s="2"/>
      <x:c r="G18" s="2"/>
    </x:row>
    <x:row r="19" ht="22" customHeight="1">
      <x:c r="A19" s="2" t="str">
        <x:v>Outcome: source-reported, database-attributed pKi. Standardized Ki and reverse-log pKi are checks.</x:v>
      </x:c>
      <x:c r="B19" s="2"/>
      <x:c r="C19" s="2"/>
      <x:c r="D19" s="2"/>
      <x:c r="E19" s="2"/>
      <x:c r="F19" s="2"/>
      <x:c r="G19" s="2"/>
    </x:row>
    <x:row r="20" ht="22" customHeight="1">
      <x:c r="A20" s="2"/>
      <x:c r="B20" s="2"/>
      <x:c r="C20" s="2"/>
      <x:c r="D20" s="2"/>
      <x:c r="E20" s="2"/>
      <x:c r="F20" s="2"/>
      <x:c r="G20" s="2"/>
    </x:row>
    <x:row r="21" ht="22" customHeight="1">
      <x:c r="A21" s="2" t="str">
        <x:v>Frozen split: scaffold_and_parent_grouped. Seed assay-pilot-v1.</x:v>
      </x:c>
      <x:c r="B21" s="2"/>
      <x:c r="C21" s="2"/>
      <x:c r="D21" s="2"/>
      <x:c r="E21" s="2"/>
      <x:c r="F21" s="2"/>
      <x:c r="G21" s="2"/>
    </x:row>
    <x:row r="22" ht="22" customHeight="1">
      <x:c r="A22" s="2" t="str">
        <x:v>The ridge error is only slightly lower than the baseline. Both holdout R² values are negative.</x:v>
      </x:c>
      <x:c r="B22" s="2"/>
      <x:c r="C22" s="2"/>
      <x:c r="D22" s="2"/>
      <x:c r="E22" s="2"/>
      <x:c r="F22" s="2"/>
      <x:c r="G22" s="2"/>
    </x:row>
    <x:row r="23" ht="22" customHeight="1">
      <x:c r="A23" s="2"/>
      <x:c r="B23" s="2"/>
      <x:c r="C23" s="2"/>
      <x:c r="D23" s="2"/>
      <x:c r="E23" s="2"/>
      <x:c r="F23" s="2"/>
      <x:c r="G23" s="2"/>
    </x:row>
    <x:row r="24" ht="22" customHeight="1">
      <x:c r="A24" s="20" t="str">
        <x:v>Limits</x:v>
      </x:c>
      <x:c r="B24" s="2"/>
      <x:c r="C24" s="2"/>
      <x:c r="D24" s="2"/>
      <x:c r="E24" s="2"/>
      <x:c r="F24" s="2"/>
      <x:c r="G24" s="2"/>
    </x:row>
    <x:row r="25" ht="22" customHeight="1">
      <x:c r="A25" s="2" t="str">
        <x:v>One assay and document. 23 held-out compounds. No external validation.</x:v>
      </x:c>
      <x:c r="B25" s="2"/>
      <x:c r="C25" s="2"/>
      <x:c r="D25" s="2"/>
      <x:c r="E25" s="2"/>
      <x:c r="F25" s="2"/>
      <x:c r="G25" s="2"/>
    </x:row>
    <x:row r="26" ht="22" customHeight="1">
      <x:c r="A26" s="2" t="str">
        <x:v>No tuning or model selection. Split and exclusions did not use response values.</x:v>
      </x:c>
      <x:c r="B26" s="2"/>
      <x:c r="C26" s="2"/>
      <x:c r="D26" s="2"/>
      <x:c r="E26" s="2"/>
      <x:c r="F26" s="2"/>
      <x:c r="G26" s="2"/>
    </x:row>
    <x:row r="27" ht="22" customHeight="1">
      <x:c r="A27" s="2" t="str">
        <x:v>Original measurements and full-paper table mapping are not independently verified.</x:v>
      </x:c>
      <x:c r="B27" s="2"/>
      <x:c r="C27" s="2"/>
      <x:c r="D27" s="2"/>
      <x:c r="E27" s="2"/>
      <x:c r="F27" s="2"/>
      <x:c r="G27" s="2"/>
    </x:row>
    <x:row r="28" ht="22" customHeight="1">
      <x:c r="A28" s="2" t="str">
        <x:v>Source figure and comparator suffix A were not visually confirmed.</x:v>
      </x:c>
      <x:c r="B28" s="2"/>
      <x:c r="C28" s="2"/>
      <x:c r="D28" s="2"/>
      <x:c r="E28" s="2"/>
      <x:c r="F28" s="2"/>
      <x:c r="G28" s="2"/>
    </x:row>
    <x:row r="29" ht="22" customHeight="1">
      <x:c r="A29" s="2" t="str">
        <x:v>Descriptors and predictions are computed. No claim versus the separate 250-compound model.</x:v>
      </x:c>
      <x:c r="B29" s="2"/>
      <x:c r="C29" s="2"/>
      <x:c r="D29" s="2"/>
      <x:c r="E29" s="2"/>
      <x:c r="F29" s="2"/>
      <x:c r="G29" s="2"/>
    </x:row>
    <x:row r="30" ht="22" customHeight="1">
      <x:c r="A30" s="2"/>
      <x:c r="B30" s="2"/>
      <x:c r="C30" s="2"/>
      <x:c r="D30" s="2"/>
      <x:c r="E30" s="2"/>
      <x:c r="F30" s="2"/>
      <x:c r="G30" s="2"/>
    </x:row>
    <x:row r="31" ht="22" customHeight="1">
      <x:c r="A31" s="2" t="str">
        <x:v>CHEMBL3855278. Source snapshot: 2026-10-23.</x:v>
      </x:c>
      <x:c r="B31" s="2"/>
      <x:c r="C31" s="2"/>
      <x:c r="D31" s="2"/>
      <x:c r="E31" s="2"/>
      <x:c r="F31" s="2"/>
      <x:c r="G31" s="2"/>
    </x:row>
    <x:row r="32" ht="22" customHeight="1">
      <x:c r="A32" s="2" t="str">
        <x:v>Full sources, excluded records, frozen decisions and exact JSON are retained in the following sheets.</x:v>
      </x:c>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9" hidden="0" customWidth="1"/>
    <x:col min="2" max="2" width="20" hidden="0" customWidth="1"/>
    <x:col min="3" max="3" width="27" hidden="0" customWidth="1"/>
    <x:col min="4" max="4" width="17" hidden="0" customWidth="1"/>
    <x:col min="5" max="5" width="21" hidden="0" customWidth="1"/>
    <x:col min="6" max="6" width="17" hidden="0" customWidth="1"/>
    <x:col min="7" max="7" width="18" hidden="0" customWidth="1"/>
    <x:col min="8" max="8" width="20" hidden="0" customWidth="1"/>
    <x:col min="9" max="9" width="66" hidden="0" customWidth="1"/>
    <x:col min="10" max="10" width="66" hidden="0" customWidth="1"/>
    <x:col min="11" max="11" width="21" hidden="0" customWidth="1"/>
    <x:col min="12" max="12" width="20" hidden="0" customWidth="1"/>
    <x:col min="13" max="13" width="30" hidden="0" customWidth="1"/>
    <x:col min="14" max="14" width="20" hidden="0" customWidth="1"/>
    <x:col min="15" max="15" width="20" hidden="0" customWidth="1"/>
    <x:col min="16" max="16" width="28" hidden="0" customWidth="1"/>
    <x:col min="17" max="17" width="36" hidden="0" customWidth="1"/>
    <x:col min="18" max="18" width="25" hidden="0" customWidth="1"/>
    <x:col min="19" max="19" width="66" hidden="0" customWidth="1"/>
    <x:col min="20" max="20" width="66" hidden="0" customWidth="1"/>
    <x:col min="21" max="21" width="29" hidden="0" customWidth="1"/>
    <x:col min="22" max="22" width="66" hidden="0" customWidth="1"/>
    <x:col min="23" max="23" width="66" hidden="0" customWidth="1"/>
    <x:col min="24" max="24" width="60" hidden="0" customWidth="1"/>
    <x:col min="25" max="25" width="31" hidden="0" customWidth="1"/>
    <x:col min="26" max="26" width="34" hidden="0" customWidth="1"/>
    <x:col min="27" max="27" width="17" hidden="0" customWidth="1"/>
    <x:col min="28" max="28" width="19" hidden="0" customWidth="1"/>
    <x:col min="29" max="29" width="17" hidden="0" customWidth="1"/>
    <x:col min="30" max="30" width="17" hidden="0" customWidth="1"/>
    <x:col min="31" max="31" width="17" hidden="0" customWidth="1"/>
    <x:col min="32" max="32" width="19" hidden="0" customWidth="1"/>
    <x:col min="33" max="33" width="17" hidden="0" customWidth="1"/>
    <x:col min="34" max="34" width="20" hidden="0" customWidth="1"/>
    <x:col min="35" max="35" width="17" hidden="0" customWidth="1"/>
    <x:col min="36" max="36" width="19" hidden="0" customWidth="1"/>
    <x:col min="37" max="37" width="20" hidden="0" customWidth="1"/>
    <x:col min="38" max="38" width="21" hidden="0" customWidth="1"/>
    <x:col min="39" max="39" width="23" hidden="0" customWidth="1"/>
    <x:col min="40" max="40" width="18" hidden="0" customWidth="1"/>
    <x:col min="41" max="41" width="62" hidden="0" customWidth="1"/>
    <x:col min="42" max="42" width="66" hidden="0" customWidth="1"/>
    <x:col min="43" max="43" width="60" hidden="0" customWidth="1"/>
    <x:col min="44" max="44" width="20" hidden="0" customWidth="1"/>
    <x:col min="45" max="45" width="20" hidden="0" customWidth="1"/>
    <x:col min="46" max="46" width="20" hidden="0" customWidth="1"/>
    <x:col min="47" max="47" width="20" hidden="0" customWidth="1"/>
    <x:col min="48" max="48" width="20" hidden="0" customWidth="1"/>
    <x:col min="49" max="49" width="17" hidden="0" customWidth="1"/>
    <x:col min="50" max="50" width="34" hidden="0" customWidth="1"/>
    <x:col min="51" max="51" width="21" hidden="0" customWidth="1"/>
    <x:col min="52" max="52" width="26" hidden="0" customWidth="1"/>
    <x:col min="53" max="53" width="35" hidden="0" customWidth="1"/>
    <x:col min="54" max="54" width="35" hidden="0" customWidth="1"/>
    <x:col min="55" max="55" width="29" hidden="0" customWidth="1"/>
  </x:cols>
  <x:sheetData>
    <x:row r="1" ht="48" customHeight="1">
      <x:c r="A1" s="6" t="str">
        <x:v>compound_id</x:v>
      </x:c>
      <x:c r="B1" s="6" t="str">
        <x:v>molecule_chembl_id</x:v>
      </x:c>
      <x:c r="C1" s="6" t="str">
        <x:v>parent_molecule_chembl_id</x:v>
      </x:c>
      <x:c r="D1" s="6" t="str">
        <x:v>activity_id</x:v>
      </x:c>
      <x:c r="E1" s="6" t="str">
        <x:v>source_activity_ids</x:v>
      </x:c>
      <x:c r="F1" s="6" t="str">
        <x:v>assay_chembl_id</x:v>
      </x:c>
      <x:c r="G1" s="6" t="str">
        <x:v>target_chembl_id</x:v>
      </x:c>
      <x:c r="H1" s="6" t="str">
        <x:v>document_chembl_id</x:v>
      </x:c>
      <x:c r="I1" s="6" t="str">
        <x:v>canonical_smiles</x:v>
      </x:c>
      <x:c r="J1" s="6" t="str">
        <x:v>source_canonical_smiles</x:v>
      </x:c>
      <x:c r="K1" s="6" t="str">
        <x:v>label_origin</x:v>
      </x:c>
      <x:c r="L1" s="6" t="str">
        <x:v>pKi</x:v>
      </x:c>
      <x:c r="M1" s="6" t="str">
        <x:v>expected_Ki_nM_from_original</x:v>
      </x:c>
      <x:c r="N1" s="6" t="str">
        <x:v>standard_Ki_nM</x:v>
      </x:c>
      <x:c r="O1" s="6" t="str">
        <x:v>roundtrip_pKi</x:v>
      </x:c>
      <x:c r="P1" s="6" t="str">
        <x:v>roundtrip_minus_source_pKi</x:v>
      </x:c>
      <x:c r="Q1" s="6" t="str">
        <x:v>standard_Ki_nM_minus_original_conversion</x:v>
      </x:c>
      <x:c r="R1" s="6" t="str">
        <x:v>conversion_tolerance_nM</x:v>
      </x:c>
      <x:c r="S1" s="6" t="str">
        <x:v>parent_smiles</x:v>
      </x:c>
      <x:c r="T1" s="6" t="str">
        <x:v>parent_isomeric_smiles</x:v>
      </x:c>
      <x:c r="U1" s="6" t="str">
        <x:v>parent_inchikey</x:v>
      </x:c>
      <x:c r="V1" s="6" t="str">
        <x:v>parent_nonisomeric_smiles</x:v>
      </x:c>
      <x:c r="W1" s="6" t="str">
        <x:v>parent_connectivity_key</x:v>
      </x:c>
      <x:c r="X1" s="6" t="str">
        <x:v>scaffold_smiles</x:v>
      </x:c>
      <x:c r="Y1" s="6" t="str">
        <x:v>structure_changed_from_source</x:v>
      </x:c>
      <x:c r="Z1" s="6" t="str">
        <x:v>source_records_for_full_identity</x:v>
      </x:c>
      <x:c r="AA1" s="6" t="str">
        <x:v>decision</x:v>
      </x:c>
      <x:c r="AB1" s="6" t="str">
        <x:v>exclusion_reasons</x:v>
      </x:c>
      <x:c r="AC1" s="6" t="str">
        <x:v>original_type</x:v>
      </x:c>
      <x:c r="AD1" s="6" t="str">
        <x:v>original_value</x:v>
      </x:c>
      <x:c r="AE1" s="6" t="str">
        <x:v>original_units</x:v>
      </x:c>
      <x:c r="AF1" s="6" t="str">
        <x:v>original_relation</x:v>
      </x:c>
      <x:c r="AG1" s="6" t="str">
        <x:v>standard_type</x:v>
      </x:c>
      <x:c r="AH1" s="6" t="str">
        <x:v>standard_value</x:v>
      </x:c>
      <x:c r="AI1" s="6" t="str">
        <x:v>standard_units</x:v>
      </x:c>
      <x:c r="AJ1" s="6" t="str">
        <x:v>standard_relation</x:v>
      </x:c>
      <x:c r="AK1" s="6" t="str">
        <x:v>pchembl_value</x:v>
      </x:c>
      <x:c r="AL1" s="6" t="str">
        <x:v>potential_duplicate</x:v>
      </x:c>
      <x:c r="AM1" s="6" t="str">
        <x:v>data_validity_comment</x:v>
      </x:c>
      <x:c r="AN1" s="6" t="str">
        <x:v>activity_comment</x:v>
      </x:c>
      <x:c r="AO1" s="6" t="str">
        <x:v>source_activity_url</x:v>
      </x:c>
      <x:c r="AP1" s="6" t="str">
        <x:v>connectivity_key</x:v>
      </x:c>
      <x:c r="AQ1" s="6" t="str">
        <x:v>scaffold</x:v>
      </x:c>
      <x:c r="AR1" s="6" t="str">
        <x:v>MolWt</x:v>
      </x:c>
      <x:c r="AS1" s="6" t="str">
        <x:v>MolLogP</x:v>
      </x:c>
      <x:c r="AT1" s="6" t="str">
        <x:v>TPSA</x:v>
      </x:c>
      <x:c r="AU1" s="6" t="str">
        <x:v>NumHDonors</x:v>
      </x:c>
      <x:c r="AV1" s="6" t="str">
        <x:v>NumHAcceptors</x:v>
      </x:c>
      <x:c r="AW1" s="6" t="str">
        <x:v>split</x:v>
      </x:c>
      <x:c r="AX1" s="6" t="str">
        <x:v>label_kind</x:v>
      </x:c>
      <x:c r="AY1" s="6" t="str">
        <x:v>predicted_pKi_ridge</x:v>
      </x:c>
      <x:c r="AZ1" s="6" t="str">
        <x:v>predicted_pKi_train_mean</x:v>
      </x:c>
      <x:c r="BA1" s="6" t="str">
        <x:v>residual_observed_minus_predicted</x:v>
      </x:c>
      <x:c r="BB1" s="6" t="str">
        <x:v>outside_training_descriptor_range</x:v>
      </x:c>
      <x:c r="BC1" s="6" t="str">
        <x:v>max_train_morgan_similarity</x:v>
      </x:c>
    </x:row>
    <x:row r="2" ht="36" customHeight="1">
      <x:c r="A2" s="9" t="str">
        <x:v>OLWRVVHPJFLNPW-LSNLESRRSA-N</x:v>
      </x:c>
      <x:c r="B2" s="9" t="str">
        <x:v>CHEMBL85606</x:v>
      </x:c>
      <x:c r="C2" s="9" t="str">
        <x:v>CHEMBL85606</x:v>
      </x:c>
      <x:c r="D2" s="9" t="str">
        <x:v>16670133</x:v>
      </x:c>
      <x:c r="E2" s="9" t="str">
        <x:v>16670133</x:v>
      </x:c>
      <x:c r="F2" s="9" t="str">
        <x:v>CHEMBL3855278</x:v>
      </x:c>
      <x:c r="G2" s="9" t="str">
        <x:v>CHEMBL217</x:v>
      </x:c>
      <x:c r="H2" s="9" t="str">
        <x:v>CHEMBL3853329</x:v>
      </x:c>
      <x:c r="I2" s="9" t="str">
        <x:v>N#Cc1ccc2c(c1)CCN(CC[C@H]1CC[C@H](NC(=O)c3ccnc4ccccc34)CC1)C2</x:v>
      </x:c>
      <x:c r="J2" s="9" t="str">
        <x:v>N#Cc1ccc2c(c1)CCN(CC[C@H]1CC[C@H](NC(=O)c3ccnc4ccccc34)CC1)C2</x:v>
      </x:c>
      <x:c r="K2" s="9" t="str">
        <x:v>source_reported_pKi</x:v>
      </x:c>
      <x:c r="L2" s="11" t="n">
        <x:v>6.31</x:v>
      </x:c>
      <x:c r="M2" s="11" t="n">
        <x:v>489.77881936844665</x:v>
      </x:c>
      <x:c r="N2" s="11" t="n">
        <x:v>489.78</x:v>
      </x:c>
      <x:c r="O2" s="11" t="n">
        <x:v>6.309998953116937</x:v>
      </x:c>
      <x:c r="P2" s="12" t="n">
        <x:v>-0.000001046883062905124</x:v>
      </x:c>
      <x:c r="Q2" s="12" t="n">
        <x:v>0.001180631553324929</x:v>
      </x:c>
      <x:c r="R2" s="11" t="n">
        <x:v>0.00501</x:v>
      </x:c>
      <x:c r="S2" s="9" t="str">
        <x:v>N#Cc1ccc2c(c1)CCN(CC[C@H]1CC[C@H](NC(=O)c3ccnc4ccccc34)CC1)C2</x:v>
      </x:c>
      <x:c r="T2" s="9" t="str">
        <x:v>N#Cc1ccc2c(c1)CCN(CC[C@H]1CC[C@H](NC(=O)c3ccnc4ccccc34)CC1)C2</x:v>
      </x:c>
      <x:c r="U2" s="9" t="str">
        <x:v>OLWRVVHPJFLNPW-LSNLESRRSA-N</x:v>
      </x:c>
      <x:c r="V2" s="9" t="str">
        <x:v>N#Cc1ccc2c(c1)CCN(CCC1CCC(NC(=O)c3ccnc4ccccc34)CC1)C2</x:v>
      </x:c>
      <x:c r="W2" s="9" t="str">
        <x:v>12fb7de3da853f4c88ed5c3b3893f79b17e17e82d3ac4d87c1d80ae838dbb1b2</x:v>
      </x:c>
      <x:c r="X2" s="9" t="str">
        <x:v>O=C(NC1CCC(CCN2CCc3ccccc3C2)CC1)c1ccnc2ccccc12</x:v>
      </x:c>
      <x:c r="Y2" s="9" t="str">
        <x:v>False</x:v>
      </x:c>
      <x:c r="Z2" s="13" t="n">
        <x:v>1</x:v>
      </x:c>
      <x:c r="AA2" s="9" t="str">
        <x:v>include</x:v>
      </x:c>
      <x:c r="AB2" s="9" t="str"/>
      <x:c r="AC2" s="9" t="str">
        <x:v>pKi</x:v>
      </x:c>
      <x:c r="AD2" s="9" t="str">
        <x:v>6.31</x:v>
      </x:c>
      <x:c r="AE2" s="9" t="str"/>
      <x:c r="AF2" s="9" t="str">
        <x:v>=</x:v>
      </x:c>
      <x:c r="AG2" s="9" t="str">
        <x:v>Ki</x:v>
      </x:c>
      <x:c r="AH2" s="11" t="n">
        <x:v>489.78</x:v>
      </x:c>
      <x:c r="AI2" s="9" t="str">
        <x:v>nM</x:v>
      </x:c>
      <x:c r="AJ2" s="9" t="str">
        <x:v>=</x:v>
      </x:c>
      <x:c r="AK2" s="11" t="n">
        <x:v>6.31</x:v>
      </x:c>
      <x:c r="AL2" s="13" t="n">
        <x:v>0</x:v>
      </x:c>
      <x:c r="AM2" s="9" t="str"/>
      <x:c r="AN2" s="9" t="str"/>
      <x:c r="AO2" s="9" t="str">
        <x:v>https://www.ebi.ac.uk/chembl/api/data/activity/16670133.json</x:v>
      </x:c>
      <x:c r="AP2" s="9" t="str">
        <x:v>N#Cc1ccc2c(c1)CCN(CCC1CCC(NC(=O)c3ccnc4ccccc34)CC1)C2</x:v>
      </x:c>
      <x:c r="AQ2" s="9" t="str">
        <x:v>O=C(NC1CCC(CCN2CCc3ccccc3C2)CC1)c1ccnc2ccccc12</x:v>
      </x:c>
      <x:c r="AR2" s="11" t="n">
        <x:v>438.5750000000002</x:v>
      </x:c>
      <x:c r="AS2" s="11" t="n">
        <x:v>4.843480000000004</x:v>
      </x:c>
      <x:c r="AT2" s="11" t="n">
        <x:v>69.02000000000001</x:v>
      </x:c>
      <x:c r="AU2" s="13" t="n">
        <x:v>1</x:v>
      </x:c>
      <x:c r="AV2" s="13" t="n">
        <x:v>4</x:v>
      </x:c>
      <x:c r="AW2" s="9" t="str">
        <x:v>train</x:v>
      </x:c>
      <x:c r="AX2" s="9" t="str">
        <x:v>source_reported_experimental_pKi</x:v>
      </x:c>
      <x:c r="AY2" s="11" t="n">
        <x:v>6.250783330803876</x:v>
      </x:c>
      <x:c r="AZ2" s="11" t="n">
        <x:v>6.149473684210526</x:v>
      </x:c>
      <x:c r="BA2" s="11" t="n">
        <x:v>0.05921666919612356</x:v>
      </x:c>
      <x:c r="BB2" s="9" t="str">
        <x:v>False</x:v>
      </x:c>
      <x:c r="BC2" s="11" t="n">
        <x:v>0.1891891891891892</x:v>
      </x:c>
    </x:row>
    <x:row r="3" ht="36" customHeight="1">
      <x:c r="A3" s="14" t="str">
        <x:v>AAPXNHMQKBDDJN-XMSQKQJNSA-N</x:v>
      </x:c>
      <x:c r="B3" s="14" t="str">
        <x:v>CHEMBL3901211</x:v>
      </x:c>
      <x:c r="C3" s="14" t="str">
        <x:v>CHEMBL3901211</x:v>
      </x:c>
      <x:c r="D3" s="14" t="str">
        <x:v>16670136</x:v>
      </x:c>
      <x:c r="E3" s="14" t="str">
        <x:v>16670136</x:v>
      </x:c>
      <x:c r="F3" s="14" t="str">
        <x:v>CHEMBL3855278</x:v>
      </x:c>
      <x:c r="G3" s="14" t="str">
        <x:v>CHEMBL217</x:v>
      </x:c>
      <x:c r="H3" s="14" t="str">
        <x:v>CHEMBL3853329</x:v>
      </x:c>
      <x:c r="I3" s="14" t="str">
        <x:v>Cc1ncoc1-c1nnc(SCCCN2CC[C@@]3(C[C@@H]3c3ccccc3)C2)n1C</x:v>
      </x:c>
      <x:c r="J3" s="14" t="str">
        <x:v>Cc1ncoc1-c1nnc(SCCCN2CC[C@@]3(C[C@@H]3c3ccccc3)C2)n1C</x:v>
      </x:c>
      <x:c r="K3" s="14" t="str">
        <x:v>source_reported_pKi</x:v>
      </x:c>
      <x:c r="L3" s="15" t="n">
        <x:v>6.15</x:v>
      </x:c>
      <x:c r="M3" s="15" t="n">
        <x:v>707.9457843841374</x:v>
      </x:c>
      <x:c r="N3" s="15" t="n">
        <x:v>707.95</x:v>
      </x:c>
      <x:c r="O3" s="15" t="n">
        <x:v>6.149997413907538</x:v>
      </x:c>
      <x:c r="P3" s="16" t="n">
        <x:v>-0.0000025860924619536263</x:v>
      </x:c>
      <x:c r="Q3" s="16" t="n">
        <x:v>0.004215615862676714</x:v>
      </x:c>
      <x:c r="R3" s="15" t="n">
        <x:v>0.00501</x:v>
      </x:c>
      <x:c r="S3" s="14" t="str">
        <x:v>Cc1ncoc1-c1nnc(SCCCN2CC[C@@]3(C[C@@H]3c3ccccc3)C2)n1C</x:v>
      </x:c>
      <x:c r="T3" s="14" t="str">
        <x:v>Cc1ncoc1-c1nnc(SCCCN2CC[C@@]3(C[C@@H]3c3ccccc3)C2)n1C</x:v>
      </x:c>
      <x:c r="U3" s="14" t="str">
        <x:v>AAPXNHMQKBDDJN-XMSQKQJNSA-N</x:v>
      </x:c>
      <x:c r="V3" s="14" t="str">
        <x:v>Cc1ncoc1-c1nnc(SCCCN2CCC3(CC3c3ccccc3)C2)n1C</x:v>
      </x:c>
      <x:c r="W3" s="14" t="str">
        <x:v>5f5097a99ca905252039130a837b04ee6e5d355221accf984a4fc65edd2b7538</x:v>
      </x:c>
      <x:c r="X3" s="14" t="str">
        <x:v>c1ccc(C2CC23CCN(CCCSc2nnc(-c4cnco4)[nH]2)C3)cc1</x:v>
      </x:c>
      <x:c r="Y3" s="14" t="str">
        <x:v>False</x:v>
      </x:c>
      <x:c r="Z3" s="17" t="n">
        <x:v>1</x:v>
      </x:c>
      <x:c r="AA3" s="14" t="str">
        <x:v>include</x:v>
      </x:c>
      <x:c r="AB3" s="14" t="str"/>
      <x:c r="AC3" s="14" t="str">
        <x:v>pKi</x:v>
      </x:c>
      <x:c r="AD3" s="14" t="str">
        <x:v>6.15</x:v>
      </x:c>
      <x:c r="AE3" s="14" t="str"/>
      <x:c r="AF3" s="14" t="str">
        <x:v>=</x:v>
      </x:c>
      <x:c r="AG3" s="14" t="str">
        <x:v>Ki</x:v>
      </x:c>
      <x:c r="AH3" s="15" t="n">
        <x:v>707.95</x:v>
      </x:c>
      <x:c r="AI3" s="14" t="str">
        <x:v>nM</x:v>
      </x:c>
      <x:c r="AJ3" s="14" t="str">
        <x:v>=</x:v>
      </x:c>
      <x:c r="AK3" s="15" t="n">
        <x:v>6.15</x:v>
      </x:c>
      <x:c r="AL3" s="17" t="n">
        <x:v>0</x:v>
      </x:c>
      <x:c r="AM3" s="14" t="str"/>
      <x:c r="AN3" s="14" t="str"/>
      <x:c r="AO3" s="14" t="str">
        <x:v>https://www.ebi.ac.uk/chembl/api/data/activity/16670136.json</x:v>
      </x:c>
      <x:c r="AP3" s="14" t="str">
        <x:v>Cc1ncoc1-c1nnc(SCCCN2CCC3(CC3c3ccccc3)C2)n1C</x:v>
      </x:c>
      <x:c r="AQ3" s="14" t="str">
        <x:v>c1ccc(C2CC23CCN(CCCSc2nnc(-c4cnco4)[nH]2)C3)cc1</x:v>
      </x:c>
      <x:c r="AR3" s="15" t="n">
        <x:v>409.55900000000014</x:v>
      </x:c>
      <x:c r="AS3" s="15" t="n">
        <x:v>4.140320000000003</x:v>
      </x:c>
      <x:c r="AT3" s="15" t="n">
        <x:v>59.980000000000004</x:v>
      </x:c>
      <x:c r="AU3" s="17" t="n">
        <x:v>0</x:v>
      </x:c>
      <x:c r="AV3" s="17" t="n">
        <x:v>6</x:v>
      </x:c>
      <x:c r="AW3" s="14" t="str">
        <x:v>test</x:v>
      </x:c>
      <x:c r="AX3" s="14" t="str">
        <x:v>source_reported_experimental_pKi</x:v>
      </x:c>
      <x:c r="AY3" s="15" t="n">
        <x:v>6.136684684706248</x:v>
      </x:c>
      <x:c r="AZ3" s="15" t="n">
        <x:v>6.149473684210526</x:v>
      </x:c>
      <x:c r="BA3" s="15" t="n">
        <x:v>0.013315315293752406</x:v>
      </x:c>
      <x:c r="BB3" s="14" t="str">
        <x:v>True</x:v>
      </x:c>
      <x:c r="BC3" s="15" t="n">
        <x:v>0.782608695652174</x:v>
      </x:c>
    </x:row>
    <x:row r="4" ht="36" customHeight="1">
      <x:c r="A4" s="9" t="str">
        <x:v>AAPXNHMQKBDDJN-PGRDOPGGSA-N</x:v>
      </x:c>
      <x:c r="B4" s="9" t="str">
        <x:v>CHEMBL3983937</x:v>
      </x:c>
      <x:c r="C4" s="9" t="str">
        <x:v>CHEMBL3983937</x:v>
      </x:c>
      <x:c r="D4" s="9" t="str">
        <x:v>16670139</x:v>
      </x:c>
      <x:c r="E4" s="9" t="str">
        <x:v>16670139</x:v>
      </x:c>
      <x:c r="F4" s="9" t="str">
        <x:v>CHEMBL3855278</x:v>
      </x:c>
      <x:c r="G4" s="9" t="str">
        <x:v>CHEMBL217</x:v>
      </x:c>
      <x:c r="H4" s="9" t="str">
        <x:v>CHEMBL3853329</x:v>
      </x:c>
      <x:c r="I4" s="9" t="str">
        <x:v>Cc1ncoc1-c1nnc(SCCCN2CC[C@@]3(C[C@H]3c3ccccc3)C2)n1C</x:v>
      </x:c>
      <x:c r="J4" s="9" t="str">
        <x:v>Cc1ncoc1-c1nnc(SCCCN2CC[C@@]3(C[C@H]3c3ccccc3)C2)n1C</x:v>
      </x:c>
      <x:c r="K4" s="9" t="str">
        <x:v>source_reported_pKi</x:v>
      </x:c>
      <x:c r="L4" s="11" t="n">
        <x:v>6.1</x:v>
      </x:c>
      <x:c r="M4" s="11" t="n">
        <x:v>794.3282347242822</x:v>
      </x:c>
      <x:c r="N4" s="11" t="n">
        <x:v>794.33</x:v>
      </x:c>
      <x:c r="O4" s="11" t="n">
        <x:v>6.0999990348465305</x:v>
      </x:c>
      <x:c r="P4" s="12" t="n">
        <x:v>-9.651534691457186e-7</x:v>
      </x:c>
      <x:c r="Q4" s="12" t="n">
        <x:v>0.001765275717843906</x:v>
      </x:c>
      <x:c r="R4" s="11" t="n">
        <x:v>0.00501</x:v>
      </x:c>
      <x:c r="S4" s="9" t="str">
        <x:v>Cc1ncoc1-c1nnc(SCCCN2CC[C@@]3(C[C@H]3c3ccccc3)C2)n1C</x:v>
      </x:c>
      <x:c r="T4" s="9" t="str">
        <x:v>Cc1ncoc1-c1nnc(SCCCN2CC[C@@]3(C[C@H]3c3ccccc3)C2)n1C</x:v>
      </x:c>
      <x:c r="U4" s="9" t="str">
        <x:v>AAPXNHMQKBDDJN-PGRDOPGGSA-N</x:v>
      </x:c>
      <x:c r="V4" s="9" t="str">
        <x:v>Cc1ncoc1-c1nnc(SCCCN2CCC3(CC3c3ccccc3)C2)n1C</x:v>
      </x:c>
      <x:c r="W4" s="9" t="str">
        <x:v>5f5097a99ca905252039130a837b04ee6e5d355221accf984a4fc65edd2b7538</x:v>
      </x:c>
      <x:c r="X4" s="9" t="str">
        <x:v>c1ccc(C2CC23CCN(CCCSc2nnc(-c4cnco4)[nH]2)C3)cc1</x:v>
      </x:c>
      <x:c r="Y4" s="9" t="str">
        <x:v>False</x:v>
      </x:c>
      <x:c r="Z4" s="13" t="n">
        <x:v>1</x:v>
      </x:c>
      <x:c r="AA4" s="9" t="str">
        <x:v>include</x:v>
      </x:c>
      <x:c r="AB4" s="9" t="str"/>
      <x:c r="AC4" s="9" t="str">
        <x:v>pKi</x:v>
      </x:c>
      <x:c r="AD4" s="9" t="str">
        <x:v>6.1</x:v>
      </x:c>
      <x:c r="AE4" s="9" t="str"/>
      <x:c r="AF4" s="9" t="str">
        <x:v>=</x:v>
      </x:c>
      <x:c r="AG4" s="9" t="str">
        <x:v>Ki</x:v>
      </x:c>
      <x:c r="AH4" s="11" t="n">
        <x:v>794.33</x:v>
      </x:c>
      <x:c r="AI4" s="9" t="str">
        <x:v>nM</x:v>
      </x:c>
      <x:c r="AJ4" s="9" t="str">
        <x:v>=</x:v>
      </x:c>
      <x:c r="AK4" s="11" t="n">
        <x:v>6.1</x:v>
      </x:c>
      <x:c r="AL4" s="13" t="n">
        <x:v>0</x:v>
      </x:c>
      <x:c r="AM4" s="9" t="str"/>
      <x:c r="AN4" s="9" t="str"/>
      <x:c r="AO4" s="9" t="str">
        <x:v>https://www.ebi.ac.uk/chembl/api/data/activity/16670139.json</x:v>
      </x:c>
      <x:c r="AP4" s="9" t="str">
        <x:v>Cc1ncoc1-c1nnc(SCCCN2CCC3(CC3c3ccccc3)C2)n1C</x:v>
      </x:c>
      <x:c r="AQ4" s="9" t="str">
        <x:v>c1ccc(C2CC23CCN(CCCSc2nnc(-c4cnco4)[nH]2)C3)cc1</x:v>
      </x:c>
      <x:c r="AR4" s="11" t="n">
        <x:v>409.55900000000014</x:v>
      </x:c>
      <x:c r="AS4" s="11" t="n">
        <x:v>4.140320000000003</x:v>
      </x:c>
      <x:c r="AT4" s="11" t="n">
        <x:v>59.980000000000004</x:v>
      </x:c>
      <x:c r="AU4" s="13" t="n">
        <x:v>0</x:v>
      </x:c>
      <x:c r="AV4" s="13" t="n">
        <x:v>6</x:v>
      </x:c>
      <x:c r="AW4" s="9" t="str">
        <x:v>test</x:v>
      </x:c>
      <x:c r="AX4" s="9" t="str">
        <x:v>source_reported_experimental_pKi</x:v>
      </x:c>
      <x:c r="AY4" s="11" t="n">
        <x:v>6.136684684706248</x:v>
      </x:c>
      <x:c r="AZ4" s="11" t="n">
        <x:v>6.149473684210526</x:v>
      </x:c>
      <x:c r="BA4" s="11" t="n">
        <x:v>-0.036684684706248305</x:v>
      </x:c>
      <x:c r="BB4" s="9" t="str">
        <x:v>True</x:v>
      </x:c>
      <x:c r="BC4" s="11" t="n">
        <x:v>0.782608695652174</x:v>
      </x:c>
    </x:row>
    <x:row r="5" ht="36" customHeight="1">
      <x:c r="A5" s="14" t="str">
        <x:v>MNAFRWGRFIBAQX-XMSQKQJNSA-N</x:v>
      </x:c>
      <x:c r="B5" s="14" t="str">
        <x:v>CHEMBL3944642</x:v>
      </x:c>
      <x:c r="C5" s="14" t="str">
        <x:v>CHEMBL3944642</x:v>
      </x:c>
      <x:c r="D5" s="14" t="str">
        <x:v>16670142</x:v>
      </x:c>
      <x:c r="E5" s="14" t="str">
        <x:v>16670142</x:v>
      </x:c>
      <x:c r="F5" s="14" t="str">
        <x:v>CHEMBL3855278</x:v>
      </x:c>
      <x:c r="G5" s="14" t="str">
        <x:v>CHEMBL217</x:v>
      </x:c>
      <x:c r="H5" s="14" t="str">
        <x:v>CHEMBL3853329</x:v>
      </x:c>
      <x:c r="I5" s="14" t="str">
        <x:v>Cc1ncoc1-c1nnc(SCCCN2CC[C@@]3(C[C@@H]3c3ccc(C(F)(F)F)cc3)C2)n1C</x:v>
      </x:c>
      <x:c r="J5" s="14" t="str">
        <x:v>Cc1ncoc1-c1nnc(SCCCN2CC[C@@]3(C[C@@H]3c3ccc(C(F)(F)F)cc3)C2)n1C</x:v>
      </x:c>
      <x:c r="K5" s="14" t="str">
        <x:v>source_reported_pKi</x:v>
      </x:c>
      <x:c r="L5" s="15" t="n">
        <x:v>6.2</x:v>
      </x:c>
      <x:c r="M5" s="15" t="n">
        <x:v>630.957344480193</x:v>
      </x:c>
      <x:c r="N5" s="15" t="n">
        <x:v>630.96</x:v>
      </x:c>
      <x:c r="O5" s="15" t="n">
        <x:v>6.199998172182031</x:v>
      </x:c>
      <x:c r="P5" s="16" t="n">
        <x:v>-0.0000018278179689801277</x:v>
      </x:c>
      <x:c r="Q5" s="16" t="n">
        <x:v>0.002655519807035489</x:v>
      </x:c>
      <x:c r="R5" s="15" t="n">
        <x:v>0.00501</x:v>
      </x:c>
      <x:c r="S5" s="14" t="str">
        <x:v>Cc1ncoc1-c1nnc(SCCCN2CC[C@@]3(C[C@@H]3c3ccc(C(F)(F)F)cc3)C2)n1C</x:v>
      </x:c>
      <x:c r="T5" s="14" t="str">
        <x:v>Cc1ncoc1-c1nnc(SCCCN2CC[C@@]3(C[C@@H]3c3ccc(C(F)(F)F)cc3)C2)n1C</x:v>
      </x:c>
      <x:c r="U5" s="14" t="str">
        <x:v>MNAFRWGRFIBAQX-XMSQKQJNSA-N</x:v>
      </x:c>
      <x:c r="V5" s="14" t="str">
        <x:v>Cc1ncoc1-c1nnc(SCCCN2CCC3(CC3c3ccc(C(F)(F)F)cc3)C2)n1C</x:v>
      </x:c>
      <x:c r="W5" s="14" t="str">
        <x:v>e3a2c9462c470a8faba1f80f0df7030c9cff4d7388916c3868b2ea7a12536c64</x:v>
      </x:c>
      <x:c r="X5" s="14" t="str">
        <x:v>c1ccc(C2CC23CCN(CCCSc2nnc(-c4cnco4)[nH]2)C3)cc1</x:v>
      </x:c>
      <x:c r="Y5" s="14" t="str">
        <x:v>False</x:v>
      </x:c>
      <x:c r="Z5" s="17" t="n">
        <x:v>1</x:v>
      </x:c>
      <x:c r="AA5" s="14" t="str">
        <x:v>include</x:v>
      </x:c>
      <x:c r="AB5" s="14" t="str"/>
      <x:c r="AC5" s="14" t="str">
        <x:v>pKi</x:v>
      </x:c>
      <x:c r="AD5" s="14" t="str">
        <x:v>6.2</x:v>
      </x:c>
      <x:c r="AE5" s="14" t="str"/>
      <x:c r="AF5" s="14" t="str">
        <x:v>=</x:v>
      </x:c>
      <x:c r="AG5" s="14" t="str">
        <x:v>Ki</x:v>
      </x:c>
      <x:c r="AH5" s="15" t="n">
        <x:v>630.96</x:v>
      </x:c>
      <x:c r="AI5" s="14" t="str">
        <x:v>nM</x:v>
      </x:c>
      <x:c r="AJ5" s="14" t="str">
        <x:v>=</x:v>
      </x:c>
      <x:c r="AK5" s="15" t="n">
        <x:v>6.2</x:v>
      </x:c>
      <x:c r="AL5" s="17" t="n">
        <x:v>0</x:v>
      </x:c>
      <x:c r="AM5" s="14" t="str"/>
      <x:c r="AN5" s="14" t="str"/>
      <x:c r="AO5" s="14" t="str">
        <x:v>https://www.ebi.ac.uk/chembl/api/data/activity/16670142.json</x:v>
      </x:c>
      <x:c r="AP5" s="14" t="str">
        <x:v>Cc1ncoc1-c1nnc(SCCCN2CCC3(CC3c3ccc(C(F)(F)F)cc3)C2)n1C</x:v>
      </x:c>
      <x:c r="AQ5" s="14" t="str">
        <x:v>c1ccc(C2CC23CCN(CCCSc2nnc(-c4cnco4)[nH]2)C3)cc1</x:v>
      </x:c>
      <x:c r="AR5" s="15" t="n">
        <x:v>477.55600000000015</x:v>
      </x:c>
      <x:c r="AS5" s="15" t="n">
        <x:v>5.159120000000005</x:v>
      </x:c>
      <x:c r="AT5" s="15" t="n">
        <x:v>59.980000000000004</x:v>
      </x:c>
      <x:c r="AU5" s="17" t="n">
        <x:v>0</x:v>
      </x:c>
      <x:c r="AV5" s="17" t="n">
        <x:v>6</x:v>
      </x:c>
      <x:c r="AW5" s="14" t="str">
        <x:v>test</x:v>
      </x:c>
      <x:c r="AX5" s="14" t="str">
        <x:v>source_reported_experimental_pKi</x:v>
      </x:c>
      <x:c r="AY5" s="15" t="n">
        <x:v>6.185145889709037</x:v>
      </x:c>
      <x:c r="AZ5" s="15" t="n">
        <x:v>6.149473684210526</x:v>
      </x:c>
      <x:c r="BA5" s="15" t="n">
        <x:v>0.014854110290963618</x:v>
      </x:c>
      <x:c r="BB5" s="14" t="str">
        <x:v>False</x:v>
      </x:c>
      <x:c r="BC5" s="15" t="n">
        <x:v>0.9692307692307692</x:v>
      </x:c>
    </x:row>
    <x:row r="6" ht="36" customHeight="1">
      <x:c r="A6" s="9" t="str">
        <x:v>KLQDZSYTMPJBBU-DYESRHJHSA-N</x:v>
      </x:c>
      <x:c r="B6" s="9" t="str">
        <x:v>CHEMBL3953365</x:v>
      </x:c>
      <x:c r="C6" s="9" t="str">
        <x:v>CHEMBL3953365</x:v>
      </x:c>
      <x:c r="D6" s="9" t="str">
        <x:v>16670148</x:v>
      </x:c>
      <x:c r="E6" s="9" t="str">
        <x:v>16670148</x:v>
      </x:c>
      <x:c r="F6" s="9" t="str">
        <x:v>CHEMBL3855278</x:v>
      </x:c>
      <x:c r="G6" s="9" t="str">
        <x:v>CHEMBL217</x:v>
      </x:c>
      <x:c r="H6" s="9" t="str">
        <x:v>CHEMBL3853329</x:v>
      </x:c>
      <x:c r="I6" s="9" t="str">
        <x:v>Cc1ncoc1-c1nnc(SCCN2CC[C@@]3(C[C@@H]3c3ccc(C(F)(F)F)cc3)C2)n1C</x:v>
      </x:c>
      <x:c r="J6" s="9" t="str">
        <x:v>Cc1ncoc1-c1nnc(SCCN2CC[C@@]3(C[C@@H]3c3ccc(C(F)(F)F)cc3)C2)n1C</x:v>
      </x:c>
      <x:c r="K6" s="9" t="str">
        <x:v>source_reported_pKi</x:v>
      </x:c>
      <x:c r="L6" s="11" t="n">
        <x:v>6.1</x:v>
      </x:c>
      <x:c r="M6" s="11" t="n">
        <x:v>794.3282347242822</x:v>
      </x:c>
      <x:c r="N6" s="11" t="n">
        <x:v>794.33</x:v>
      </x:c>
      <x:c r="O6" s="11" t="n">
        <x:v>6.0999990348465305</x:v>
      </x:c>
      <x:c r="P6" s="12" t="n">
        <x:v>-9.651534691457186e-7</x:v>
      </x:c>
      <x:c r="Q6" s="12" t="n">
        <x:v>0.001765275717843906</x:v>
      </x:c>
      <x:c r="R6" s="11" t="n">
        <x:v>0.00501</x:v>
      </x:c>
      <x:c r="S6" s="9" t="str">
        <x:v>Cc1ncoc1-c1nnc(SCCN2CC[C@@]3(C[C@@H]3c3ccc(C(F)(F)F)cc3)C2)n1C</x:v>
      </x:c>
      <x:c r="T6" s="9" t="str">
        <x:v>Cc1ncoc1-c1nnc(SCCN2CC[C@@]3(C[C@@H]3c3ccc(C(F)(F)F)cc3)C2)n1C</x:v>
      </x:c>
      <x:c r="U6" s="9" t="str">
        <x:v>KLQDZSYTMPJBBU-DYESRHJHSA-N</x:v>
      </x:c>
      <x:c r="V6" s="9" t="str">
        <x:v>Cc1ncoc1-c1nnc(SCCN2CCC3(CC3c3ccc(C(F)(F)F)cc3)C2)n1C</x:v>
      </x:c>
      <x:c r="W6" s="9" t="str">
        <x:v>bbd50de4d018dd84edd1132e29be4a6288b1afe6b09fdc0525ff1bd782c8c725</x:v>
      </x:c>
      <x:c r="X6" s="9" t="str">
        <x:v>c1ccc(C2CC23CCN(CCSc2nnc(-c4cnco4)[nH]2)C3)cc1</x:v>
      </x:c>
      <x:c r="Y6" s="9" t="str">
        <x:v>False</x:v>
      </x:c>
      <x:c r="Z6" s="13" t="n">
        <x:v>1</x:v>
      </x:c>
      <x:c r="AA6" s="9" t="str">
        <x:v>include</x:v>
      </x:c>
      <x:c r="AB6" s="9" t="str"/>
      <x:c r="AC6" s="9" t="str">
        <x:v>pKi</x:v>
      </x:c>
      <x:c r="AD6" s="9" t="str">
        <x:v>6.1</x:v>
      </x:c>
      <x:c r="AE6" s="9" t="str"/>
      <x:c r="AF6" s="9" t="str">
        <x:v>=</x:v>
      </x:c>
      <x:c r="AG6" s="9" t="str">
        <x:v>Ki</x:v>
      </x:c>
      <x:c r="AH6" s="11" t="n">
        <x:v>794.33</x:v>
      </x:c>
      <x:c r="AI6" s="9" t="str">
        <x:v>nM</x:v>
      </x:c>
      <x:c r="AJ6" s="9" t="str">
        <x:v>=</x:v>
      </x:c>
      <x:c r="AK6" s="11" t="n">
        <x:v>6.1</x:v>
      </x:c>
      <x:c r="AL6" s="13" t="n">
        <x:v>0</x:v>
      </x:c>
      <x:c r="AM6" s="9" t="str"/>
      <x:c r="AN6" s="9" t="str"/>
      <x:c r="AO6" s="9" t="str">
        <x:v>https://www.ebi.ac.uk/chembl/api/data/activity/16670148.json</x:v>
      </x:c>
      <x:c r="AP6" s="9" t="str">
        <x:v>Cc1ncoc1-c1nnc(SCCN2CCC3(CC3c3ccc(C(F)(F)F)cc3)C2)n1C</x:v>
      </x:c>
      <x:c r="AQ6" s="9" t="str">
        <x:v>c1ccc(C2CC23CCN(CCSc2nnc(-c4cnco4)[nH]2)C3)cc1</x:v>
      </x:c>
      <x:c r="AR6" s="11" t="n">
        <x:v>463.5290000000001</x:v>
      </x:c>
      <x:c r="AS6" s="11" t="n">
        <x:v>4.769020000000005</x:v>
      </x:c>
      <x:c r="AT6" s="11" t="n">
        <x:v>59.980000000000004</x:v>
      </x:c>
      <x:c r="AU6" s="13" t="n">
        <x:v>0</x:v>
      </x:c>
      <x:c r="AV6" s="13" t="n">
        <x:v>6</x:v>
      </x:c>
      <x:c r="AW6" s="9" t="str">
        <x:v>train</x:v>
      </x:c>
      <x:c r="AX6" s="9" t="str">
        <x:v>source_reported_experimental_pKi</x:v>
      </x:c>
      <x:c r="AY6" s="11" t="n">
        <x:v>6.149061255656459</x:v>
      </x:c>
      <x:c r="AZ6" s="11" t="n">
        <x:v>6.149473684210526</x:v>
      </x:c>
      <x:c r="BA6" s="11" t="n">
        <x:v>-0.04906125565645958</x:v>
      </x:c>
      <x:c r="BB6" s="9" t="str">
        <x:v>False</x:v>
      </x:c>
      <x:c r="BC6" s="11" t="n">
        <x:v>1</x:v>
      </x:c>
    </x:row>
    <x:row r="7" ht="36" customHeight="1">
      <x:c r="A7" s="14" t="str">
        <x:v>KLQDZSYTMPJBBU-UTKZUKDTSA-N</x:v>
      </x:c>
      <x:c r="B7" s="14" t="str">
        <x:v>CHEMBL3936812</x:v>
      </x:c>
      <x:c r="C7" s="14" t="str">
        <x:v>CHEMBL3936812</x:v>
      </x:c>
      <x:c r="D7" s="14" t="str">
        <x:v>16670149</x:v>
      </x:c>
      <x:c r="E7" s="14" t="str">
        <x:v>16670149</x:v>
      </x:c>
      <x:c r="F7" s="14" t="str">
        <x:v>CHEMBL3855278</x:v>
      </x:c>
      <x:c r="G7" s="14" t="str">
        <x:v>CHEMBL217</x:v>
      </x:c>
      <x:c r="H7" s="14" t="str">
        <x:v>CHEMBL3853329</x:v>
      </x:c>
      <x:c r="I7" s="14" t="str">
        <x:v>Cc1ncoc1-c1nnc(SCCN2CC[C@]3(C[C@@H]3c3ccc(C(F)(F)F)cc3)C2)n1C</x:v>
      </x:c>
      <x:c r="J7" s="14" t="str">
        <x:v>Cc1ncoc1-c1nnc(SCCN2CC[C@]3(C[C@@H]3c3ccc(C(F)(F)F)cc3)C2)n1C</x:v>
      </x:c>
      <x:c r="K7" s="14" t="str">
        <x:v>source_reported_pKi</x:v>
      </x:c>
      <x:c r="L7" s="15" t="n">
        <x:v>6.28</x:v>
      </x:c>
      <x:c r="M7" s="15" t="n">
        <x:v>524.8074602497722</x:v>
      </x:c>
      <x:c r="N7" s="15" t="n">
        <x:v>524.81</x:v>
      </x:c>
      <x:c r="O7" s="15" t="n">
        <x:v>6.279997898282849</x:v>
      </x:c>
      <x:c r="P7" s="16" t="n">
        <x:v>-0.0000021017171514259303</x:v>
      </x:c>
      <x:c r="Q7" s="16" t="n">
        <x:v>0.0025397502276973682</x:v>
      </x:c>
      <x:c r="R7" s="15" t="n">
        <x:v>0.00501</x:v>
      </x:c>
      <x:c r="S7" s="14" t="str">
        <x:v>Cc1ncoc1-c1nnc(SCCN2CC[C@]3(C[C@@H]3c3ccc(C(F)(F)F)cc3)C2)n1C</x:v>
      </x:c>
      <x:c r="T7" s="14" t="str">
        <x:v>Cc1ncoc1-c1nnc(SCCN2CC[C@]3(C[C@@H]3c3ccc(C(F)(F)F)cc3)C2)n1C</x:v>
      </x:c>
      <x:c r="U7" s="14" t="str">
        <x:v>KLQDZSYTMPJBBU-UTKZUKDTSA-N</x:v>
      </x:c>
      <x:c r="V7" s="14" t="str">
        <x:v>Cc1ncoc1-c1nnc(SCCN2CCC3(CC3c3ccc(C(F)(F)F)cc3)C2)n1C</x:v>
      </x:c>
      <x:c r="W7" s="14" t="str">
        <x:v>bbd50de4d018dd84edd1132e29be4a6288b1afe6b09fdc0525ff1bd782c8c725</x:v>
      </x:c>
      <x:c r="X7" s="14" t="str">
        <x:v>c1ccc(C2CC23CCN(CCSc2nnc(-c4cnco4)[nH]2)C3)cc1</x:v>
      </x:c>
      <x:c r="Y7" s="14" t="str">
        <x:v>False</x:v>
      </x:c>
      <x:c r="Z7" s="17" t="n">
        <x:v>1</x:v>
      </x:c>
      <x:c r="AA7" s="14" t="str">
        <x:v>include</x:v>
      </x:c>
      <x:c r="AB7" s="14" t="str"/>
      <x:c r="AC7" s="14" t="str">
        <x:v>pKi</x:v>
      </x:c>
      <x:c r="AD7" s="14" t="str">
        <x:v>6.28</x:v>
      </x:c>
      <x:c r="AE7" s="14" t="str"/>
      <x:c r="AF7" s="14" t="str">
        <x:v>=</x:v>
      </x:c>
      <x:c r="AG7" s="14" t="str">
        <x:v>Ki</x:v>
      </x:c>
      <x:c r="AH7" s="15" t="n">
        <x:v>524.81</x:v>
      </x:c>
      <x:c r="AI7" s="14" t="str">
        <x:v>nM</x:v>
      </x:c>
      <x:c r="AJ7" s="14" t="str">
        <x:v>=</x:v>
      </x:c>
      <x:c r="AK7" s="15" t="n">
        <x:v>6.28</x:v>
      </x:c>
      <x:c r="AL7" s="17" t="n">
        <x:v>0</x:v>
      </x:c>
      <x:c r="AM7" s="14" t="str"/>
      <x:c r="AN7" s="14" t="str"/>
      <x:c r="AO7" s="14" t="str">
        <x:v>https://www.ebi.ac.uk/chembl/api/data/activity/16670149.json</x:v>
      </x:c>
      <x:c r="AP7" s="14" t="str">
        <x:v>Cc1ncoc1-c1nnc(SCCN2CCC3(CC3c3ccc(C(F)(F)F)cc3)C2)n1C</x:v>
      </x:c>
      <x:c r="AQ7" s="14" t="str">
        <x:v>c1ccc(C2CC23CCN(CCSc2nnc(-c4cnco4)[nH]2)C3)cc1</x:v>
      </x:c>
      <x:c r="AR7" s="15" t="n">
        <x:v>463.5290000000001</x:v>
      </x:c>
      <x:c r="AS7" s="15" t="n">
        <x:v>4.769020000000005</x:v>
      </x:c>
      <x:c r="AT7" s="15" t="n">
        <x:v>59.980000000000004</x:v>
      </x:c>
      <x:c r="AU7" s="17" t="n">
        <x:v>0</x:v>
      </x:c>
      <x:c r="AV7" s="17" t="n">
        <x:v>6</x:v>
      </x:c>
      <x:c r="AW7" s="14" t="str">
        <x:v>train</x:v>
      </x:c>
      <x:c r="AX7" s="14" t="str">
        <x:v>source_reported_experimental_pKi</x:v>
      </x:c>
      <x:c r="AY7" s="15" t="n">
        <x:v>6.149061255656459</x:v>
      </x:c>
      <x:c r="AZ7" s="15" t="n">
        <x:v>6.149473684210526</x:v>
      </x:c>
      <x:c r="BA7" s="15" t="n">
        <x:v>0.13093874434354102</x:v>
      </x:c>
      <x:c r="BB7" s="14" t="str">
        <x:v>False</x:v>
      </x:c>
      <x:c r="BC7" s="15" t="n">
        <x:v>1</x:v>
      </x:c>
    </x:row>
    <x:row r="8" ht="36" customHeight="1">
      <x:c r="A8" s="9" t="str">
        <x:v>NLRLHXJCWYCRGC-XXBNENTESA-N</x:v>
      </x:c>
      <x:c r="B8" s="9" t="str">
        <x:v>CHEMBL3908862</x:v>
      </x:c>
      <x:c r="C8" s="9" t="str">
        <x:v>CHEMBL3908862</x:v>
      </x:c>
      <x:c r="D8" s="9" t="str">
        <x:v>16670150</x:v>
      </x:c>
      <x:c r="E8" s="9" t="str">
        <x:v>16670150</x:v>
      </x:c>
      <x:c r="F8" s="9" t="str">
        <x:v>CHEMBL3855278</x:v>
      </x:c>
      <x:c r="G8" s="9" t="str">
        <x:v>CHEMBL217</x:v>
      </x:c>
      <x:c r="H8" s="9" t="str">
        <x:v>CHEMBL3853329</x:v>
      </x:c>
      <x:c r="I8" s="9" t="str">
        <x:v>Cc1ncoc1-c1nnc(SCCCCN2CC[C@]3(C[C@@H]3c3ccc(C(F)(F)F)cc3)C2)n1C</x:v>
      </x:c>
      <x:c r="J8" s="9" t="str">
        <x:v>Cc1ncoc1-c1nnc(SCCCCN2CC[C@]3(C[C@@H]3c3ccc(C(F)(F)F)cc3)C2)n1C</x:v>
      </x:c>
      <x:c r="K8" s="9" t="str">
        <x:v>source_reported_pKi</x:v>
      </x:c>
      <x:c r="L8" s="11" t="n">
        <x:v>6.01</x:v>
      </x:c>
      <x:c r="M8" s="11" t="n">
        <x:v>977.2372209558112</x:v>
      </x:c>
      <x:c r="N8" s="11" t="n">
        <x:v>977.24</x:v>
      </x:c>
      <x:c r="O8" s="11" t="n">
        <x:v>6.009998764965339</x:v>
      </x:c>
      <x:c r="P8" s="12" t="n">
        <x:v>-0.0000012350346612066687</x:v>
      </x:c>
      <x:c r="Q8" s="12" t="n">
        <x:v>0.0027790441888555506</x:v>
      </x:c>
      <x:c r="R8" s="11" t="n">
        <x:v>0.00501</x:v>
      </x:c>
      <x:c r="S8" s="9" t="str">
        <x:v>Cc1ncoc1-c1nnc(SCCCCN2CC[C@]3(C[C@@H]3c3ccc(C(F)(F)F)cc3)C2)n1C</x:v>
      </x:c>
      <x:c r="T8" s="9" t="str">
        <x:v>Cc1ncoc1-c1nnc(SCCCCN2CC[C@]3(C[C@@H]3c3ccc(C(F)(F)F)cc3)C2)n1C</x:v>
      </x:c>
      <x:c r="U8" s="9" t="str">
        <x:v>NLRLHXJCWYCRGC-XXBNENTESA-N</x:v>
      </x:c>
      <x:c r="V8" s="9" t="str">
        <x:v>Cc1ncoc1-c1nnc(SCCCCN2CCC3(CC3c3ccc(C(F)(F)F)cc3)C2)n1C</x:v>
      </x:c>
      <x:c r="W8" s="9" t="str">
        <x:v>cf55bd8242637111ac1412246135c5587ce155437f47e4f4b244ada77f1a0056</x:v>
      </x:c>
      <x:c r="X8" s="9" t="str">
        <x:v>c1ccc(C2CC23CCN(CCCCSc2nnc(-c4cnco4)[nH]2)C3)cc1</x:v>
      </x:c>
      <x:c r="Y8" s="9" t="str">
        <x:v>False</x:v>
      </x:c>
      <x:c r="Z8" s="13" t="n">
        <x:v>1</x:v>
      </x:c>
      <x:c r="AA8" s="9" t="str">
        <x:v>include</x:v>
      </x:c>
      <x:c r="AB8" s="9" t="str"/>
      <x:c r="AC8" s="9" t="str">
        <x:v>pKi</x:v>
      </x:c>
      <x:c r="AD8" s="9" t="str">
        <x:v>6.01</x:v>
      </x:c>
      <x:c r="AE8" s="9" t="str"/>
      <x:c r="AF8" s="9" t="str">
        <x:v>=</x:v>
      </x:c>
      <x:c r="AG8" s="9" t="str">
        <x:v>Ki</x:v>
      </x:c>
      <x:c r="AH8" s="11" t="n">
        <x:v>977.24</x:v>
      </x:c>
      <x:c r="AI8" s="9" t="str">
        <x:v>nM</x:v>
      </x:c>
      <x:c r="AJ8" s="9" t="str">
        <x:v>=</x:v>
      </x:c>
      <x:c r="AK8" s="11" t="n">
        <x:v>6.01</x:v>
      </x:c>
      <x:c r="AL8" s="13" t="n">
        <x:v>0</x:v>
      </x:c>
      <x:c r="AM8" s="9" t="str"/>
      <x:c r="AN8" s="9" t="str"/>
      <x:c r="AO8" s="9" t="str">
        <x:v>https://www.ebi.ac.uk/chembl/api/data/activity/16670150.json</x:v>
      </x:c>
      <x:c r="AP8" s="9" t="str">
        <x:v>Cc1ncoc1-c1nnc(SCCCCN2CCC3(CC3c3ccc(C(F)(F)F)cc3)C2)n1C</x:v>
      </x:c>
      <x:c r="AQ8" s="9" t="str">
        <x:v>c1ccc(C2CC23CCN(CCCCSc2nnc(-c4cnco4)[nH]2)C3)cc1</x:v>
      </x:c>
      <x:c r="AR8" s="11" t="n">
        <x:v>491.5830000000002</x:v>
      </x:c>
      <x:c r="AS8" s="11" t="n">
        <x:v>5.549220000000006</x:v>
      </x:c>
      <x:c r="AT8" s="11" t="n">
        <x:v>59.980000000000004</x:v>
      </x:c>
      <x:c r="AU8" s="13" t="n">
        <x:v>0</x:v>
      </x:c>
      <x:c r="AV8" s="13" t="n">
        <x:v>6</x:v>
      </x:c>
      <x:c r="AW8" s="9" t="str">
        <x:v>train</x:v>
      </x:c>
      <x:c r="AX8" s="9" t="str">
        <x:v>source_reported_experimental_pKi</x:v>
      </x:c>
      <x:c r="AY8" s="11" t="n">
        <x:v>6.221230523761613</x:v>
      </x:c>
      <x:c r="AZ8" s="11" t="n">
        <x:v>6.149473684210526</x:v>
      </x:c>
      <x:c r="BA8" s="11" t="n">
        <x:v>-0.21123052376161322</x:v>
      </x:c>
      <x:c r="BB8" s="9" t="str">
        <x:v>False</x:v>
      </x:c>
      <x:c r="BC8" s="11" t="n">
        <x:v>0.8955223880597015</x:v>
      </x:c>
    </x:row>
    <x:row r="9" ht="36" customHeight="1">
      <x:c r="A9" s="14" t="str">
        <x:v>RRSUWPYFZSEELD-XMSQKQJNSA-N</x:v>
      </x:c>
      <x:c r="B9" s="14" t="str">
        <x:v>CHEMBL3975989</x:v>
      </x:c>
      <x:c r="C9" s="14" t="str">
        <x:v>CHEMBL3975989</x:v>
      </x:c>
      <x:c r="D9" s="14" t="str">
        <x:v>16670153</x:v>
      </x:c>
      <x:c r="E9" s="14" t="str">
        <x:v>16670153</x:v>
      </x:c>
      <x:c r="F9" s="14" t="str">
        <x:v>CHEMBL3855278</x:v>
      </x:c>
      <x:c r="G9" s="14" t="str">
        <x:v>CHEMBL217</x:v>
      </x:c>
      <x:c r="H9" s="14" t="str">
        <x:v>CHEMBL3853329</x:v>
      </x:c>
      <x:c r="I9" s="14" t="str">
        <x:v>Cc1ncoc1-c1nnc(SCCCN2CC[C@@]3(C[C@@H]3c3ccccc3C(F)(F)F)C2)n1C</x:v>
      </x:c>
      <x:c r="J9" s="14" t="str">
        <x:v>Cc1ncoc1-c1nnc(SCCCN2CC[C@@]3(C[C@@H]3c3ccccc3C(F)(F)F)C2)n1C</x:v>
      </x:c>
      <x:c r="K9" s="14" t="str">
        <x:v>source_reported_pKi</x:v>
      </x:c>
      <x:c r="L9" s="15" t="n">
        <x:v>7.2</x:v>
      </x:c>
      <x:c r="M9" s="15" t="n">
        <x:v>63.0957344480193</x:v>
      </x:c>
      <x:c r="N9" s="15" t="n">
        <x:v>63.1</x:v>
      </x:c>
      <x:c r="O9" s="15" t="n">
        <x:v>7.199970640755866</x:v>
      </x:c>
      <x:c r="P9" s="16" t="n">
        <x:v>-0.000029359244134496976</x:v>
      </x:c>
      <x:c r="Q9" s="16" t="n">
        <x:v>0.004265551980701332</x:v>
      </x:c>
      <x:c r="R9" s="15" t="n">
        <x:v>0.00501</x:v>
      </x:c>
      <x:c r="S9" s="14" t="str">
        <x:v>Cc1ncoc1-c1nnc(SCCCN2CC[C@@]3(C[C@@H]3c3ccccc3C(F)(F)F)C2)n1C</x:v>
      </x:c>
      <x:c r="T9" s="14" t="str">
        <x:v>Cc1ncoc1-c1nnc(SCCCN2CC[C@@]3(C[C@@H]3c3ccccc3C(F)(F)F)C2)n1C</x:v>
      </x:c>
      <x:c r="U9" s="14" t="str">
        <x:v>RRSUWPYFZSEELD-XMSQKQJNSA-N</x:v>
      </x:c>
      <x:c r="V9" s="14" t="str">
        <x:v>Cc1ncoc1-c1nnc(SCCCN2CCC3(CC3c3ccccc3C(F)(F)F)C2)n1C</x:v>
      </x:c>
      <x:c r="W9" s="14" t="str">
        <x:v>6cc8558ed72c30e952e25a4d6337f3a3a0e3af95f919871ea82f7497a0516262</x:v>
      </x:c>
      <x:c r="X9" s="14" t="str">
        <x:v>c1ccc(C2CC23CCN(CCCSc2nnc(-c4cnco4)[nH]2)C3)cc1</x:v>
      </x:c>
      <x:c r="Y9" s="14" t="str">
        <x:v>False</x:v>
      </x:c>
      <x:c r="Z9" s="17" t="n">
        <x:v>1</x:v>
      </x:c>
      <x:c r="AA9" s="14" t="str">
        <x:v>include</x:v>
      </x:c>
      <x:c r="AB9" s="14" t="str"/>
      <x:c r="AC9" s="14" t="str">
        <x:v>pKi</x:v>
      </x:c>
      <x:c r="AD9" s="14" t="str">
        <x:v>7.2</x:v>
      </x:c>
      <x:c r="AE9" s="14" t="str"/>
      <x:c r="AF9" s="14" t="str">
        <x:v>=</x:v>
      </x:c>
      <x:c r="AG9" s="14" t="str">
        <x:v>Ki</x:v>
      </x:c>
      <x:c r="AH9" s="15" t="n">
        <x:v>63.1</x:v>
      </x:c>
      <x:c r="AI9" s="14" t="str">
        <x:v>nM</x:v>
      </x:c>
      <x:c r="AJ9" s="14" t="str">
        <x:v>=</x:v>
      </x:c>
      <x:c r="AK9" s="15" t="n">
        <x:v>7.2</x:v>
      </x:c>
      <x:c r="AL9" s="17" t="n">
        <x:v>0</x:v>
      </x:c>
      <x:c r="AM9" s="14" t="str"/>
      <x:c r="AN9" s="14" t="str"/>
      <x:c r="AO9" s="14" t="str">
        <x:v>https://www.ebi.ac.uk/chembl/api/data/activity/16670153.json</x:v>
      </x:c>
      <x:c r="AP9" s="14" t="str">
        <x:v>Cc1ncoc1-c1nnc(SCCCN2CCC3(CC3c3ccccc3C(F)(F)F)C2)n1C</x:v>
      </x:c>
      <x:c r="AQ9" s="14" t="str">
        <x:v>c1ccc(C2CC23CCN(CCCSc2nnc(-c4cnco4)[nH]2)C3)cc1</x:v>
      </x:c>
      <x:c r="AR9" s="15" t="n">
        <x:v>477.55600000000015</x:v>
      </x:c>
      <x:c r="AS9" s="15" t="n">
        <x:v>5.159120000000005</x:v>
      </x:c>
      <x:c r="AT9" s="15" t="n">
        <x:v>59.980000000000004</x:v>
      </x:c>
      <x:c r="AU9" s="17" t="n">
        <x:v>0</x:v>
      </x:c>
      <x:c r="AV9" s="17" t="n">
        <x:v>6</x:v>
      </x:c>
      <x:c r="AW9" s="14" t="str">
        <x:v>test</x:v>
      </x:c>
      <x:c r="AX9" s="14" t="str">
        <x:v>source_reported_experimental_pKi</x:v>
      </x:c>
      <x:c r="AY9" s="15" t="n">
        <x:v>6.185145889709037</x:v>
      </x:c>
      <x:c r="AZ9" s="15" t="n">
        <x:v>6.149473684210526</x:v>
      </x:c>
      <x:c r="BA9" s="15" t="n">
        <x:v>1.0148541102909636</x:v>
      </x:c>
      <x:c r="BB9" s="14" t="str">
        <x:v>False</x:v>
      </x:c>
      <x:c r="BC9" s="15" t="n">
        <x:v>0.7333333333333333</x:v>
      </x:c>
    </x:row>
    <x:row r="10" ht="36" customHeight="1">
      <x:c r="A10" s="9" t="str">
        <x:v>RRSUWPYFZSEELD-GCJKJVERSA-N</x:v>
      </x:c>
      <x:c r="B10" s="9" t="str">
        <x:v>CHEMBL3905196</x:v>
      </x:c>
      <x:c r="C10" s="9" t="str">
        <x:v>CHEMBL3905196</x:v>
      </x:c>
      <x:c r="D10" s="9" t="str">
        <x:v>16670154</x:v>
      </x:c>
      <x:c r="E10" s="9" t="str">
        <x:v>16670154</x:v>
      </x:c>
      <x:c r="F10" s="9" t="str">
        <x:v>CHEMBL3855278</x:v>
      </x:c>
      <x:c r="G10" s="9" t="str">
        <x:v>CHEMBL217</x:v>
      </x:c>
      <x:c r="H10" s="9" t="str">
        <x:v>CHEMBL3853329</x:v>
      </x:c>
      <x:c r="I10" s="9" t="str">
        <x:v>Cc1ncoc1-c1nnc(SCCCN2CC[C@]3(C[C@@H]3c3ccccc3C(F)(F)F)C2)n1C</x:v>
      </x:c>
      <x:c r="J10" s="9" t="str">
        <x:v>Cc1ncoc1-c1nnc(SCCCN2CC[C@]3(C[C@@H]3c3ccccc3C(F)(F)F)C2)n1C</x:v>
      </x:c>
      <x:c r="K10" s="9" t="str">
        <x:v>source_reported_pKi</x:v>
      </x:c>
      <x:c r="L10" s="11" t="n">
        <x:v>5.8</x:v>
      </x:c>
      <x:c r="M10" s="11" t="n">
        <x:v>1584.893192461114</x:v>
      </x:c>
      <x:c r="N10" s="11" t="n">
        <x:v>1584.89</x:v>
      </x:c>
      <x:c r="O10" s="11" t="n">
        <x:v>5.800000874803203</x:v>
      </x:c>
      <x:c r="P10" s="12" t="n">
        <x:v>8.74803203210206e-7</x:v>
      </x:c>
      <x:c r="Q10" s="12" t="n">
        <x:v>-0.003192461113940226</x:v>
      </x:c>
      <x:c r="R10" s="11" t="n">
        <x:v>0.00501</x:v>
      </x:c>
      <x:c r="S10" s="9" t="str">
        <x:v>Cc1ncoc1-c1nnc(SCCCN2CC[C@]3(C[C@@H]3c3ccccc3C(F)(F)F)C2)n1C</x:v>
      </x:c>
      <x:c r="T10" s="9" t="str">
        <x:v>Cc1ncoc1-c1nnc(SCCCN2CC[C@]3(C[C@@H]3c3ccccc3C(F)(F)F)C2)n1C</x:v>
      </x:c>
      <x:c r="U10" s="9" t="str">
        <x:v>RRSUWPYFZSEELD-GCJKJVERSA-N</x:v>
      </x:c>
      <x:c r="V10" s="9" t="str">
        <x:v>Cc1ncoc1-c1nnc(SCCCN2CCC3(CC3c3ccccc3C(F)(F)F)C2)n1C</x:v>
      </x:c>
      <x:c r="W10" s="9" t="str">
        <x:v>6cc8558ed72c30e952e25a4d6337f3a3a0e3af95f919871ea82f7497a0516262</x:v>
      </x:c>
      <x:c r="X10" s="9" t="str">
        <x:v>c1ccc(C2CC23CCN(CCCSc2nnc(-c4cnco4)[nH]2)C3)cc1</x:v>
      </x:c>
      <x:c r="Y10" s="9" t="str">
        <x:v>False</x:v>
      </x:c>
      <x:c r="Z10" s="13" t="n">
        <x:v>1</x:v>
      </x:c>
      <x:c r="AA10" s="9" t="str">
        <x:v>include</x:v>
      </x:c>
      <x:c r="AB10" s="9" t="str"/>
      <x:c r="AC10" s="9" t="str">
        <x:v>pKi</x:v>
      </x:c>
      <x:c r="AD10" s="9" t="str">
        <x:v>5.8</x:v>
      </x:c>
      <x:c r="AE10" s="9" t="str"/>
      <x:c r="AF10" s="9" t="str">
        <x:v>=</x:v>
      </x:c>
      <x:c r="AG10" s="9" t="str">
        <x:v>Ki</x:v>
      </x:c>
      <x:c r="AH10" s="11" t="n">
        <x:v>1584.89</x:v>
      </x:c>
      <x:c r="AI10" s="9" t="str">
        <x:v>nM</x:v>
      </x:c>
      <x:c r="AJ10" s="9" t="str">
        <x:v>=</x:v>
      </x:c>
      <x:c r="AK10" s="11" t="n">
        <x:v>5.8</x:v>
      </x:c>
      <x:c r="AL10" s="13" t="n">
        <x:v>0</x:v>
      </x:c>
      <x:c r="AM10" s="9" t="str"/>
      <x:c r="AN10" s="9" t="str"/>
      <x:c r="AO10" s="9" t="str">
        <x:v>https://www.ebi.ac.uk/chembl/api/data/activity/16670154.json</x:v>
      </x:c>
      <x:c r="AP10" s="9" t="str">
        <x:v>Cc1ncoc1-c1nnc(SCCCN2CCC3(CC3c3ccccc3C(F)(F)F)C2)n1C</x:v>
      </x:c>
      <x:c r="AQ10" s="9" t="str">
        <x:v>c1ccc(C2CC23CCN(CCCSc2nnc(-c4cnco4)[nH]2)C3)cc1</x:v>
      </x:c>
      <x:c r="AR10" s="11" t="n">
        <x:v>477.55600000000015</x:v>
      </x:c>
      <x:c r="AS10" s="11" t="n">
        <x:v>5.159120000000005</x:v>
      </x:c>
      <x:c r="AT10" s="11" t="n">
        <x:v>59.980000000000004</x:v>
      </x:c>
      <x:c r="AU10" s="13" t="n">
        <x:v>0</x:v>
      </x:c>
      <x:c r="AV10" s="13" t="n">
        <x:v>6</x:v>
      </x:c>
      <x:c r="AW10" s="9" t="str">
        <x:v>test</x:v>
      </x:c>
      <x:c r="AX10" s="9" t="str">
        <x:v>source_reported_experimental_pKi</x:v>
      </x:c>
      <x:c r="AY10" s="11" t="n">
        <x:v>6.185145889709037</x:v>
      </x:c>
      <x:c r="AZ10" s="11" t="n">
        <x:v>6.149473684210526</x:v>
      </x:c>
      <x:c r="BA10" s="11" t="n">
        <x:v>-0.38514588970903674</x:v>
      </x:c>
      <x:c r="BB10" s="9" t="str">
        <x:v>False</x:v>
      </x:c>
      <x:c r="BC10" s="11" t="n">
        <x:v>0.7333333333333333</x:v>
      </x:c>
    </x:row>
    <x:row r="11" ht="36" customHeight="1">
      <x:c r="A11" s="14" t="str">
        <x:v>XRDPJIJIWYVCKW-XMSQKQJNSA-N</x:v>
      </x:c>
      <x:c r="B11" s="14" t="str">
        <x:v>CHEMBL3912029</x:v>
      </x:c>
      <x:c r="C11" s="14" t="str">
        <x:v>CHEMBL3912029</x:v>
      </x:c>
      <x:c r="D11" s="14" t="str">
        <x:v>16670157</x:v>
      </x:c>
      <x:c r="E11" s="14" t="str">
        <x:v>16670157</x:v>
      </x:c>
      <x:c r="F11" s="14" t="str">
        <x:v>CHEMBL3855278</x:v>
      </x:c>
      <x:c r="G11" s="14" t="str">
        <x:v>CHEMBL217</x:v>
      </x:c>
      <x:c r="H11" s="14" t="str">
        <x:v>CHEMBL3853329</x:v>
      </x:c>
      <x:c r="I11" s="14" t="str">
        <x:v>Cc1ncoc1-c1nnc(SCCCN2CC[C@@]3(C[C@@H]3c3ccc(F)cc3)C2)n1C</x:v>
      </x:c>
      <x:c r="J11" s="14" t="str">
        <x:v>Cc1ncoc1-c1nnc(SCCCN2CC[C@@]3(C[C@@H]3c3ccc(F)cc3)C2)n1C</x:v>
      </x:c>
      <x:c r="K11" s="14" t="str">
        <x:v>source_reported_pKi</x:v>
      </x:c>
      <x:c r="L11" s="15" t="n">
        <x:v>6.1</x:v>
      </x:c>
      <x:c r="M11" s="15" t="n">
        <x:v>794.3282347242822</x:v>
      </x:c>
      <x:c r="N11" s="15" t="n">
        <x:v>794.33</x:v>
      </x:c>
      <x:c r="O11" s="15" t="n">
        <x:v>6.0999990348465305</x:v>
      </x:c>
      <x:c r="P11" s="16" t="n">
        <x:v>-9.651534691457186e-7</x:v>
      </x:c>
      <x:c r="Q11" s="16" t="n">
        <x:v>0.001765275717843906</x:v>
      </x:c>
      <x:c r="R11" s="15" t="n">
        <x:v>0.00501</x:v>
      </x:c>
      <x:c r="S11" s="14" t="str">
        <x:v>Cc1ncoc1-c1nnc(SCCCN2CC[C@@]3(C[C@@H]3c3ccc(F)cc3)C2)n1C</x:v>
      </x:c>
      <x:c r="T11" s="14" t="str">
        <x:v>Cc1ncoc1-c1nnc(SCCCN2CC[C@@]3(C[C@@H]3c3ccc(F)cc3)C2)n1C</x:v>
      </x:c>
      <x:c r="U11" s="14" t="str">
        <x:v>XRDPJIJIWYVCKW-XMSQKQJNSA-N</x:v>
      </x:c>
      <x:c r="V11" s="14" t="str">
        <x:v>Cc1ncoc1-c1nnc(SCCCN2CCC3(CC3c3ccc(F)cc3)C2)n1C</x:v>
      </x:c>
      <x:c r="W11" s="14" t="str">
        <x:v>11dae94f2537e3de53d4676993b2e8692184d1b1025b7614e70e1fcad4b3efb8</x:v>
      </x:c>
      <x:c r="X11" s="14" t="str">
        <x:v>c1ccc(C2CC23CCN(CCCSc2nnc(-c4cnco4)[nH]2)C3)cc1</x:v>
      </x:c>
      <x:c r="Y11" s="14" t="str">
        <x:v>False</x:v>
      </x:c>
      <x:c r="Z11" s="17" t="n">
        <x:v>1</x:v>
      </x:c>
      <x:c r="AA11" s="14" t="str">
        <x:v>include</x:v>
      </x:c>
      <x:c r="AB11" s="14" t="str"/>
      <x:c r="AC11" s="14" t="str">
        <x:v>pKi</x:v>
      </x:c>
      <x:c r="AD11" s="14" t="str">
        <x:v>6.1</x:v>
      </x:c>
      <x:c r="AE11" s="14" t="str"/>
      <x:c r="AF11" s="14" t="str">
        <x:v>=</x:v>
      </x:c>
      <x:c r="AG11" s="14" t="str">
        <x:v>Ki</x:v>
      </x:c>
      <x:c r="AH11" s="15" t="n">
        <x:v>794.33</x:v>
      </x:c>
      <x:c r="AI11" s="14" t="str">
        <x:v>nM</x:v>
      </x:c>
      <x:c r="AJ11" s="14" t="str">
        <x:v>=</x:v>
      </x:c>
      <x:c r="AK11" s="15" t="n">
        <x:v>6.1</x:v>
      </x:c>
      <x:c r="AL11" s="17" t="n">
        <x:v>0</x:v>
      </x:c>
      <x:c r="AM11" s="14" t="str"/>
      <x:c r="AN11" s="14" t="str"/>
      <x:c r="AO11" s="14" t="str">
        <x:v>https://www.ebi.ac.uk/chembl/api/data/activity/16670157.json</x:v>
      </x:c>
      <x:c r="AP11" s="14" t="str">
        <x:v>Cc1ncoc1-c1nnc(SCCCN2CCC3(CC3c3ccc(F)cc3)C2)n1C</x:v>
      </x:c>
      <x:c r="AQ11" s="14" t="str">
        <x:v>c1ccc(C2CC23CCN(CCCSc2nnc(-c4cnco4)[nH]2)C3)cc1</x:v>
      </x:c>
      <x:c r="AR11" s="15" t="n">
        <x:v>427.54900000000015</x:v>
      </x:c>
      <x:c r="AS11" s="15" t="n">
        <x:v>4.2794200000000036</x:v>
      </x:c>
      <x:c r="AT11" s="15" t="n">
        <x:v>59.980000000000004</x:v>
      </x:c>
      <x:c r="AU11" s="17" t="n">
        <x:v>0</x:v>
      </x:c>
      <x:c r="AV11" s="17" t="n">
        <x:v>6</x:v>
      </x:c>
      <x:c r="AW11" s="14" t="str">
        <x:v>test</x:v>
      </x:c>
      <x:c r="AX11" s="14" t="str">
        <x:v>source_reported_experimental_pKi</x:v>
      </x:c>
      <x:c r="AY11" s="15" t="n">
        <x:v>6.1305935908658125</x:v>
      </x:c>
      <x:c r="AZ11" s="15" t="n">
        <x:v>6.149473684210526</x:v>
      </x:c>
      <x:c r="BA11" s="15" t="n">
        <x:v>-0.030593590865812814</x:v>
      </x:c>
      <x:c r="BB11" s="14" t="str">
        <x:v>False</x:v>
      </x:c>
      <x:c r="BC11" s="15" t="n">
        <x:v>0.8115942028985508</x:v>
      </x:c>
    </x:row>
    <x:row r="12" ht="36" customHeight="1">
      <x:c r="A12" s="9" t="str">
        <x:v>XRDPJIJIWYVCKW-PGRDOPGGSA-N</x:v>
      </x:c>
      <x:c r="B12" s="9" t="str">
        <x:v>CHEMBL3963783</x:v>
      </x:c>
      <x:c r="C12" s="9" t="str">
        <x:v>CHEMBL3963783</x:v>
      </x:c>
      <x:c r="D12" s="9" t="str">
        <x:v>16670160</x:v>
      </x:c>
      <x:c r="E12" s="9" t="str">
        <x:v>16670160</x:v>
      </x:c>
      <x:c r="F12" s="9" t="str">
        <x:v>CHEMBL3855278</x:v>
      </x:c>
      <x:c r="G12" s="9" t="str">
        <x:v>CHEMBL217</x:v>
      </x:c>
      <x:c r="H12" s="9" t="str">
        <x:v>CHEMBL3853329</x:v>
      </x:c>
      <x:c r="I12" s="9" t="str">
        <x:v>Cc1ncoc1-c1nnc(SCCCN2CC[C@@]3(C[C@H]3c3ccc(F)cc3)C2)n1C</x:v>
      </x:c>
      <x:c r="J12" s="9" t="str">
        <x:v>Cc1ncoc1-c1nnc(SCCCN2CC[C@@]3(C[C@H]3c3ccc(F)cc3)C2)n1C</x:v>
      </x:c>
      <x:c r="K12" s="9" t="str">
        <x:v>source_reported_pKi</x:v>
      </x:c>
      <x:c r="L12" s="11" t="n">
        <x:v>6.62</x:v>
      </x:c>
      <x:c r="M12" s="11" t="n">
        <x:v>239.88329190194898</x:v>
      </x:c>
      <x:c r="N12" s="11" t="n">
        <x:v>239.88</x:v>
      </x:c>
      <x:c r="O12" s="11" t="n">
        <x:v>6.620005959834258</x:v>
      </x:c>
      <x:c r="P12" s="12" t="n">
        <x:v>0.000005959834258106866</x:v>
      </x:c>
      <x:c r="Q12" s="12" t="n">
        <x:v>-0.0032919019489838774</x:v>
      </x:c>
      <x:c r="R12" s="11" t="n">
        <x:v>0.00501</x:v>
      </x:c>
      <x:c r="S12" s="9" t="str">
        <x:v>Cc1ncoc1-c1nnc(SCCCN2CC[C@@]3(C[C@H]3c3ccc(F)cc3)C2)n1C</x:v>
      </x:c>
      <x:c r="T12" s="9" t="str">
        <x:v>Cc1ncoc1-c1nnc(SCCCN2CC[C@@]3(C[C@H]3c3ccc(F)cc3)C2)n1C</x:v>
      </x:c>
      <x:c r="U12" s="9" t="str">
        <x:v>XRDPJIJIWYVCKW-PGRDOPGGSA-N</x:v>
      </x:c>
      <x:c r="V12" s="9" t="str">
        <x:v>Cc1ncoc1-c1nnc(SCCCN2CCC3(CC3c3ccc(F)cc3)C2)n1C</x:v>
      </x:c>
      <x:c r="W12" s="9" t="str">
        <x:v>11dae94f2537e3de53d4676993b2e8692184d1b1025b7614e70e1fcad4b3efb8</x:v>
      </x:c>
      <x:c r="X12" s="9" t="str">
        <x:v>c1ccc(C2CC23CCN(CCCSc2nnc(-c4cnco4)[nH]2)C3)cc1</x:v>
      </x:c>
      <x:c r="Y12" s="9" t="str">
        <x:v>False</x:v>
      </x:c>
      <x:c r="Z12" s="13" t="n">
        <x:v>1</x:v>
      </x:c>
      <x:c r="AA12" s="9" t="str">
        <x:v>include</x:v>
      </x:c>
      <x:c r="AB12" s="9" t="str"/>
      <x:c r="AC12" s="9" t="str">
        <x:v>pKi</x:v>
      </x:c>
      <x:c r="AD12" s="9" t="str">
        <x:v>6.62</x:v>
      </x:c>
      <x:c r="AE12" s="9" t="str"/>
      <x:c r="AF12" s="9" t="str">
        <x:v>=</x:v>
      </x:c>
      <x:c r="AG12" s="9" t="str">
        <x:v>Ki</x:v>
      </x:c>
      <x:c r="AH12" s="11" t="n">
        <x:v>239.88</x:v>
      </x:c>
      <x:c r="AI12" s="9" t="str">
        <x:v>nM</x:v>
      </x:c>
      <x:c r="AJ12" s="9" t="str">
        <x:v>=</x:v>
      </x:c>
      <x:c r="AK12" s="11" t="n">
        <x:v>6.62</x:v>
      </x:c>
      <x:c r="AL12" s="13" t="n">
        <x:v>0</x:v>
      </x:c>
      <x:c r="AM12" s="9" t="str"/>
      <x:c r="AN12" s="9" t="str"/>
      <x:c r="AO12" s="9" t="str">
        <x:v>https://www.ebi.ac.uk/chembl/api/data/activity/16670160.json</x:v>
      </x:c>
      <x:c r="AP12" s="9" t="str">
        <x:v>Cc1ncoc1-c1nnc(SCCCN2CCC3(CC3c3ccc(F)cc3)C2)n1C</x:v>
      </x:c>
      <x:c r="AQ12" s="9" t="str">
        <x:v>c1ccc(C2CC23CCN(CCCSc2nnc(-c4cnco4)[nH]2)C3)cc1</x:v>
      </x:c>
      <x:c r="AR12" s="11" t="n">
        <x:v>427.54900000000015</x:v>
      </x:c>
      <x:c r="AS12" s="11" t="n">
        <x:v>4.2794200000000036</x:v>
      </x:c>
      <x:c r="AT12" s="11" t="n">
        <x:v>59.980000000000004</x:v>
      </x:c>
      <x:c r="AU12" s="13" t="n">
        <x:v>0</x:v>
      </x:c>
      <x:c r="AV12" s="13" t="n">
        <x:v>6</x:v>
      </x:c>
      <x:c r="AW12" s="9" t="str">
        <x:v>test</x:v>
      </x:c>
      <x:c r="AX12" s="9" t="str">
        <x:v>source_reported_experimental_pKi</x:v>
      </x:c>
      <x:c r="AY12" s="11" t="n">
        <x:v>6.1305935908658125</x:v>
      </x:c>
      <x:c r="AZ12" s="11" t="n">
        <x:v>6.149473684210526</x:v>
      </x:c>
      <x:c r="BA12" s="11" t="n">
        <x:v>0.48940640913418765</x:v>
      </x:c>
      <x:c r="BB12" s="9" t="str">
        <x:v>False</x:v>
      </x:c>
      <x:c r="BC12" s="11" t="n">
        <x:v>0.8115942028985508</x:v>
      </x:c>
    </x:row>
    <x:row r="13" ht="36" customHeight="1">
      <x:c r="A13" s="14" t="str">
        <x:v>XIHOJUYAGODVFH-VGOFRKELSA-N</x:v>
      </x:c>
      <x:c r="B13" s="14" t="str">
        <x:v>CHEMBL3945775</x:v>
      </x:c>
      <x:c r="C13" s="14" t="str">
        <x:v>CHEMBL3945775</x:v>
      </x:c>
      <x:c r="D13" s="14" t="str">
        <x:v>16670163</x:v>
      </x:c>
      <x:c r="E13" s="14" t="str">
        <x:v>16670163</x:v>
      </x:c>
      <x:c r="F13" s="14" t="str">
        <x:v>CHEMBL3855278</x:v>
      </x:c>
      <x:c r="G13" s="14" t="str">
        <x:v>CHEMBL217</x:v>
      </x:c>
      <x:c r="H13" s="14" t="str">
        <x:v>CHEMBL3853329</x:v>
      </x:c>
      <x:c r="I13" s="14" t="str">
        <x:v>Cc1ncoc1-c1nnc(SCCCN2CC[C@@]3(C[C@@H]3c3ccc(F)cc3F)C2)n1C</x:v>
      </x:c>
      <x:c r="J13" s="14" t="str">
        <x:v>Cc1ncoc1-c1nnc(SCCCN2CC[C@@]3(C[C@@H]3c3ccc(F)cc3F)C2)n1C</x:v>
      </x:c>
      <x:c r="K13" s="14" t="str">
        <x:v>source_reported_pKi</x:v>
      </x:c>
      <x:c r="L13" s="15" t="n">
        <x:v>6.02</x:v>
      </x:c>
      <x:c r="M13" s="15" t="n">
        <x:v>954.9925860214369</x:v>
      </x:c>
      <x:c r="N13" s="15" t="n">
        <x:v>954.99</x:v>
      </x:c>
      <x:c r="O13" s="15" t="n">
        <x:v>6.020001176026261</x:v>
      </x:c>
      <x:c r="P13" s="16" t="n">
        <x:v>0.0000011760262612625638</x:v>
      </x:c>
      <x:c r="Q13" s="16" t="n">
        <x:v>-0.002586021436854935</x:v>
      </x:c>
      <x:c r="R13" s="15" t="n">
        <x:v>0.00501</x:v>
      </x:c>
      <x:c r="S13" s="14" t="str">
        <x:v>Cc1ncoc1-c1nnc(SCCCN2CC[C@@]3(C[C@@H]3c3ccc(F)cc3F)C2)n1C</x:v>
      </x:c>
      <x:c r="T13" s="14" t="str">
        <x:v>Cc1ncoc1-c1nnc(SCCCN2CC[C@@]3(C[C@@H]3c3ccc(F)cc3F)C2)n1C</x:v>
      </x:c>
      <x:c r="U13" s="14" t="str">
        <x:v>XIHOJUYAGODVFH-VGOFRKELSA-N</x:v>
      </x:c>
      <x:c r="V13" s="14" t="str">
        <x:v>Cc1ncoc1-c1nnc(SCCCN2CCC3(CC3c3ccc(F)cc3F)C2)n1C</x:v>
      </x:c>
      <x:c r="W13" s="14" t="str">
        <x:v>c9bb72c84834730b0cbc7844a15d094f61b850161fa051c0501826f0896ec0e8</x:v>
      </x:c>
      <x:c r="X13" s="14" t="str">
        <x:v>c1ccc(C2CC23CCN(CCCSc2nnc(-c4cnco4)[nH]2)C3)cc1</x:v>
      </x:c>
      <x:c r="Y13" s="14" t="str">
        <x:v>False</x:v>
      </x:c>
      <x:c r="Z13" s="17" t="n">
        <x:v>1</x:v>
      </x:c>
      <x:c r="AA13" s="14" t="str">
        <x:v>include</x:v>
      </x:c>
      <x:c r="AB13" s="14" t="str"/>
      <x:c r="AC13" s="14" t="str">
        <x:v>pKi</x:v>
      </x:c>
      <x:c r="AD13" s="14" t="str">
        <x:v>6.02</x:v>
      </x:c>
      <x:c r="AE13" s="14" t="str"/>
      <x:c r="AF13" s="14" t="str">
        <x:v>=</x:v>
      </x:c>
      <x:c r="AG13" s="14" t="str">
        <x:v>Ki</x:v>
      </x:c>
      <x:c r="AH13" s="15" t="n">
        <x:v>954.99</x:v>
      </x:c>
      <x:c r="AI13" s="14" t="str">
        <x:v>nM</x:v>
      </x:c>
      <x:c r="AJ13" s="14" t="str">
        <x:v>=</x:v>
      </x:c>
      <x:c r="AK13" s="15" t="n">
        <x:v>6.02</x:v>
      </x:c>
      <x:c r="AL13" s="17" t="n">
        <x:v>0</x:v>
      </x:c>
      <x:c r="AM13" s="14" t="str"/>
      <x:c r="AN13" s="14" t="str"/>
      <x:c r="AO13" s="14" t="str">
        <x:v>https://www.ebi.ac.uk/chembl/api/data/activity/16670163.json</x:v>
      </x:c>
      <x:c r="AP13" s="14" t="str">
        <x:v>Cc1ncoc1-c1nnc(SCCCN2CCC3(CC3c3ccc(F)cc3F)C2)n1C</x:v>
      </x:c>
      <x:c r="AQ13" s="14" t="str">
        <x:v>c1ccc(C2CC23CCN(CCCSc2nnc(-c4cnco4)[nH]2)C3)cc1</x:v>
      </x:c>
      <x:c r="AR13" s="15" t="n">
        <x:v>445.53900000000016</x:v>
      </x:c>
      <x:c r="AS13" s="15" t="n">
        <x:v>4.4185200000000036</x:v>
      </x:c>
      <x:c r="AT13" s="15" t="n">
        <x:v>59.980000000000004</x:v>
      </x:c>
      <x:c r="AU13" s="17" t="n">
        <x:v>0</x:v>
      </x:c>
      <x:c r="AV13" s="17" t="n">
        <x:v>6</x:v>
      </x:c>
      <x:c r="AW13" s="14" t="str">
        <x:v>test</x:v>
      </x:c>
      <x:c r="AX13" s="14" t="str">
        <x:v>source_reported_experimental_pKi</x:v>
      </x:c>
      <x:c r="AY13" s="15" t="n">
        <x:v>6.124502497025376</x:v>
      </x:c>
      <x:c r="AZ13" s="15" t="n">
        <x:v>6.149473684210526</x:v>
      </x:c>
      <x:c r="BA13" s="15" t="n">
        <x:v>-0.1045024970253765</x:v>
      </x:c>
      <x:c r="BB13" s="14" t="str">
        <x:v>False</x:v>
      </x:c>
      <x:c r="BC13" s="15" t="n">
        <x:v>0.6973684210526315</x:v>
      </x:c>
    </x:row>
    <x:row r="14" ht="36" customHeight="1">
      <x:c r="A14" s="9" t="str">
        <x:v>XIHOJUYAGODVFH-HTAPYJJXSA-N</x:v>
      </x:c>
      <x:c r="B14" s="9" t="str">
        <x:v>CHEMBL3926847</x:v>
      </x:c>
      <x:c r="C14" s="9" t="str">
        <x:v>CHEMBL3926847</x:v>
      </x:c>
      <x:c r="D14" s="9" t="str">
        <x:v>16670166</x:v>
      </x:c>
      <x:c r="E14" s="9" t="str">
        <x:v>16670166</x:v>
      </x:c>
      <x:c r="F14" s="9" t="str">
        <x:v>CHEMBL3855278</x:v>
      </x:c>
      <x:c r="G14" s="9" t="str">
        <x:v>CHEMBL217</x:v>
      </x:c>
      <x:c r="H14" s="9" t="str">
        <x:v>CHEMBL3853329</x:v>
      </x:c>
      <x:c r="I14" s="9" t="str">
        <x:v>Cc1ncoc1-c1nnc(SCCCN2CC[C@@]3(C[C@H]3c3ccc(F)cc3F)C2)n1C</x:v>
      </x:c>
      <x:c r="J14" s="9" t="str">
        <x:v>Cc1ncoc1-c1nnc(SCCCN2CC[C@@]3(C[C@H]3c3ccc(F)cc3F)C2)n1C</x:v>
      </x:c>
      <x:c r="K14" s="9" t="str">
        <x:v>source_reported_pKi</x:v>
      </x:c>
      <x:c r="L14" s="11" t="n">
        <x:v>6.59</x:v>
      </x:c>
      <x:c r="M14" s="11" t="n">
        <x:v>257.03957827688646</x:v>
      </x:c>
      <x:c r="N14" s="11" t="n">
        <x:v>257.04</x:v>
      </x:c>
      <x:c r="O14" s="11" t="n">
        <x:v>6.589999287456538</x:v>
      </x:c>
      <x:c r="P14" s="12" t="n">
        <x:v>-7.125434615673498e-7</x:v>
      </x:c>
      <x:c r="Q14" s="12" t="n">
        <x:v>0.00042172311356125647</x:v>
      </x:c>
      <x:c r="R14" s="11" t="n">
        <x:v>0.00501</x:v>
      </x:c>
      <x:c r="S14" s="9" t="str">
        <x:v>Cc1ncoc1-c1nnc(SCCCN2CC[C@@]3(C[C@H]3c3ccc(F)cc3F)C2)n1C</x:v>
      </x:c>
      <x:c r="T14" s="9" t="str">
        <x:v>Cc1ncoc1-c1nnc(SCCCN2CC[C@@]3(C[C@H]3c3ccc(F)cc3F)C2)n1C</x:v>
      </x:c>
      <x:c r="U14" s="9" t="str">
        <x:v>XIHOJUYAGODVFH-HTAPYJJXSA-N</x:v>
      </x:c>
      <x:c r="V14" s="9" t="str">
        <x:v>Cc1ncoc1-c1nnc(SCCCN2CCC3(CC3c3ccc(F)cc3F)C2)n1C</x:v>
      </x:c>
      <x:c r="W14" s="9" t="str">
        <x:v>c9bb72c84834730b0cbc7844a15d094f61b850161fa051c0501826f0896ec0e8</x:v>
      </x:c>
      <x:c r="X14" s="9" t="str">
        <x:v>c1ccc(C2CC23CCN(CCCSc2nnc(-c4cnco4)[nH]2)C3)cc1</x:v>
      </x:c>
      <x:c r="Y14" s="9" t="str">
        <x:v>False</x:v>
      </x:c>
      <x:c r="Z14" s="13" t="n">
        <x:v>1</x:v>
      </x:c>
      <x:c r="AA14" s="9" t="str">
        <x:v>include</x:v>
      </x:c>
      <x:c r="AB14" s="9" t="str"/>
      <x:c r="AC14" s="9" t="str">
        <x:v>pKi</x:v>
      </x:c>
      <x:c r="AD14" s="9" t="str">
        <x:v>6.59</x:v>
      </x:c>
      <x:c r="AE14" s="9" t="str"/>
      <x:c r="AF14" s="9" t="str">
        <x:v>=</x:v>
      </x:c>
      <x:c r="AG14" s="9" t="str">
        <x:v>Ki</x:v>
      </x:c>
      <x:c r="AH14" s="11" t="n">
        <x:v>257.04</x:v>
      </x:c>
      <x:c r="AI14" s="9" t="str">
        <x:v>nM</x:v>
      </x:c>
      <x:c r="AJ14" s="9" t="str">
        <x:v>=</x:v>
      </x:c>
      <x:c r="AK14" s="11" t="n">
        <x:v>6.59</x:v>
      </x:c>
      <x:c r="AL14" s="13" t="n">
        <x:v>0</x:v>
      </x:c>
      <x:c r="AM14" s="9" t="str"/>
      <x:c r="AN14" s="9" t="str"/>
      <x:c r="AO14" s="9" t="str">
        <x:v>https://www.ebi.ac.uk/chembl/api/data/activity/16670166.json</x:v>
      </x:c>
      <x:c r="AP14" s="9" t="str">
        <x:v>Cc1ncoc1-c1nnc(SCCCN2CCC3(CC3c3ccc(F)cc3F)C2)n1C</x:v>
      </x:c>
      <x:c r="AQ14" s="9" t="str">
        <x:v>c1ccc(C2CC23CCN(CCCSc2nnc(-c4cnco4)[nH]2)C3)cc1</x:v>
      </x:c>
      <x:c r="AR14" s="11" t="n">
        <x:v>445.53900000000016</x:v>
      </x:c>
      <x:c r="AS14" s="11" t="n">
        <x:v>4.4185200000000036</x:v>
      </x:c>
      <x:c r="AT14" s="11" t="n">
        <x:v>59.980000000000004</x:v>
      </x:c>
      <x:c r="AU14" s="13" t="n">
        <x:v>0</x:v>
      </x:c>
      <x:c r="AV14" s="13" t="n">
        <x:v>6</x:v>
      </x:c>
      <x:c r="AW14" s="9" t="str">
        <x:v>test</x:v>
      </x:c>
      <x:c r="AX14" s="9" t="str">
        <x:v>source_reported_experimental_pKi</x:v>
      </x:c>
      <x:c r="AY14" s="11" t="n">
        <x:v>6.124502497025376</x:v>
      </x:c>
      <x:c r="AZ14" s="11" t="n">
        <x:v>6.149473684210526</x:v>
      </x:c>
      <x:c r="BA14" s="11" t="n">
        <x:v>0.4654975029746238</x:v>
      </x:c>
      <x:c r="BB14" s="9" t="str">
        <x:v>False</x:v>
      </x:c>
      <x:c r="BC14" s="11" t="n">
        <x:v>0.6973684210526315</x:v>
      </x:c>
    </x:row>
    <x:row r="15" ht="36" customHeight="1">
      <x:c r="A15" s="14" t="str">
        <x:v>ZIQDGXNDXRMRPM-VGOFRKELSA-N</x:v>
      </x:c>
      <x:c r="B15" s="14" t="str">
        <x:v>CHEMBL3901587</x:v>
      </x:c>
      <x:c r="C15" s="14" t="str">
        <x:v>CHEMBL3901587</x:v>
      </x:c>
      <x:c r="D15" s="14" t="str">
        <x:v>16670169</x:v>
      </x:c>
      <x:c r="E15" s="14" t="str">
        <x:v>16670169</x:v>
      </x:c>
      <x:c r="F15" s="14" t="str">
        <x:v>CHEMBL3855278</x:v>
      </x:c>
      <x:c r="G15" s="14" t="str">
        <x:v>CHEMBL217</x:v>
      </x:c>
      <x:c r="H15" s="14" t="str">
        <x:v>CHEMBL3853329</x:v>
      </x:c>
      <x:c r="I15" s="14" t="str">
        <x:v>Cc1ncoc1-c1nnc(SCCCN2CC[C@@]3(C[C@@H]3c3ccc(C(F)(F)F)cc3F)C2)n1C</x:v>
      </x:c>
      <x:c r="J15" s="14" t="str">
        <x:v>Cc1ncoc1-c1nnc(SCCCN2CC[C@@]3(C[C@@H]3c3ccc(C(F)(F)F)cc3F)C2)n1C</x:v>
      </x:c>
      <x:c r="K15" s="14" t="str">
        <x:v>source_reported_pKi</x:v>
      </x:c>
      <x:c r="L15" s="15" t="n">
        <x:v>6.01</x:v>
      </x:c>
      <x:c r="M15" s="15" t="n">
        <x:v>977.2372209558112</x:v>
      </x:c>
      <x:c r="N15" s="15" t="n">
        <x:v>977.24</x:v>
      </x:c>
      <x:c r="O15" s="15" t="n">
        <x:v>6.009998764965339</x:v>
      </x:c>
      <x:c r="P15" s="16" t="n">
        <x:v>-0.0000012350346612066687</x:v>
      </x:c>
      <x:c r="Q15" s="16" t="n">
        <x:v>0.0027790441888555506</x:v>
      </x:c>
      <x:c r="R15" s="15" t="n">
        <x:v>0.00501</x:v>
      </x:c>
      <x:c r="S15" s="14" t="str">
        <x:v>Cc1ncoc1-c1nnc(SCCCN2CC[C@@]3(C[C@@H]3c3ccc(C(F)(F)F)cc3F)C2)n1C</x:v>
      </x:c>
      <x:c r="T15" s="14" t="str">
        <x:v>Cc1ncoc1-c1nnc(SCCCN2CC[C@@]3(C[C@@H]3c3ccc(C(F)(F)F)cc3F)C2)n1C</x:v>
      </x:c>
      <x:c r="U15" s="14" t="str">
        <x:v>ZIQDGXNDXRMRPM-VGOFRKELSA-N</x:v>
      </x:c>
      <x:c r="V15" s="14" t="str">
        <x:v>Cc1ncoc1-c1nnc(SCCCN2CCC3(CC3c3ccc(C(F)(F)F)cc3F)C2)n1C</x:v>
      </x:c>
      <x:c r="W15" s="14" t="str">
        <x:v>3a87350678a10d266285c519cd6d008e1adf4761974c26280d14b6f7333b44bd</x:v>
      </x:c>
      <x:c r="X15" s="14" t="str">
        <x:v>c1ccc(C2CC23CCN(CCCSc2nnc(-c4cnco4)[nH]2)C3)cc1</x:v>
      </x:c>
      <x:c r="Y15" s="14" t="str">
        <x:v>False</x:v>
      </x:c>
      <x:c r="Z15" s="17" t="n">
        <x:v>1</x:v>
      </x:c>
      <x:c r="AA15" s="14" t="str">
        <x:v>include</x:v>
      </x:c>
      <x:c r="AB15" s="14" t="str"/>
      <x:c r="AC15" s="14" t="str">
        <x:v>pKi</x:v>
      </x:c>
      <x:c r="AD15" s="14" t="str">
        <x:v>6.01</x:v>
      </x:c>
      <x:c r="AE15" s="14" t="str"/>
      <x:c r="AF15" s="14" t="str">
        <x:v>=</x:v>
      </x:c>
      <x:c r="AG15" s="14" t="str">
        <x:v>Ki</x:v>
      </x:c>
      <x:c r="AH15" s="15" t="n">
        <x:v>977.24</x:v>
      </x:c>
      <x:c r="AI15" s="14" t="str">
        <x:v>nM</x:v>
      </x:c>
      <x:c r="AJ15" s="14" t="str">
        <x:v>=</x:v>
      </x:c>
      <x:c r="AK15" s="15" t="n">
        <x:v>6.01</x:v>
      </x:c>
      <x:c r="AL15" s="17" t="n">
        <x:v>0</x:v>
      </x:c>
      <x:c r="AM15" s="14" t="str"/>
      <x:c r="AN15" s="14" t="str"/>
      <x:c r="AO15" s="14" t="str">
        <x:v>https://www.ebi.ac.uk/chembl/api/data/activity/16670169.json</x:v>
      </x:c>
      <x:c r="AP15" s="14" t="str">
        <x:v>Cc1ncoc1-c1nnc(SCCCN2CCC3(CC3c3ccc(C(F)(F)F)cc3F)C2)n1C</x:v>
      </x:c>
      <x:c r="AQ15" s="14" t="str">
        <x:v>c1ccc(C2CC23CCN(CCCSc2nnc(-c4cnco4)[nH]2)C3)cc1</x:v>
      </x:c>
      <x:c r="AR15" s="15" t="n">
        <x:v>495.54600000000016</x:v>
      </x:c>
      <x:c r="AS15" s="15" t="n">
        <x:v>5.298220000000005</x:v>
      </x:c>
      <x:c r="AT15" s="15" t="n">
        <x:v>59.980000000000004</x:v>
      </x:c>
      <x:c r="AU15" s="17" t="n">
        <x:v>0</x:v>
      </x:c>
      <x:c r="AV15" s="17" t="n">
        <x:v>6</x:v>
      </x:c>
      <x:c r="AW15" s="14" t="str">
        <x:v>test</x:v>
      </x:c>
      <x:c r="AX15" s="14" t="str">
        <x:v>source_reported_experimental_pKi</x:v>
      </x:c>
      <x:c r="AY15" s="15" t="n">
        <x:v>6.1790547958686</x:v>
      </x:c>
      <x:c r="AZ15" s="15" t="n">
        <x:v>6.149473684210526</x:v>
      </x:c>
      <x:c r="BA15" s="15" t="n">
        <x:v>-0.1690547958686004</x:v>
      </x:c>
      <x:c r="BB15" s="14" t="str">
        <x:v>False</x:v>
      </x:c>
      <x:c r="BC15" s="15" t="n">
        <x:v>0.7733333333333333</x:v>
      </x:c>
    </x:row>
    <x:row r="16" ht="36" customHeight="1">
      <x:c r="A16" s="9" t="str">
        <x:v>ZIQDGXNDXRMRPM-HTAPYJJXSA-N</x:v>
      </x:c>
      <x:c r="B16" s="9" t="str">
        <x:v>CHEMBL3955505</x:v>
      </x:c>
      <x:c r="C16" s="9" t="str">
        <x:v>CHEMBL3955505</x:v>
      </x:c>
      <x:c r="D16" s="9" t="str">
        <x:v>16670172</x:v>
      </x:c>
      <x:c r="E16" s="9" t="str">
        <x:v>16670172</x:v>
      </x:c>
      <x:c r="F16" s="9" t="str">
        <x:v>CHEMBL3855278</x:v>
      </x:c>
      <x:c r="G16" s="9" t="str">
        <x:v>CHEMBL217</x:v>
      </x:c>
      <x:c r="H16" s="9" t="str">
        <x:v>CHEMBL3853329</x:v>
      </x:c>
      <x:c r="I16" s="9" t="str">
        <x:v>Cc1ncoc1-c1nnc(SCCCN2CC[C@@]3(C[C@H]3c3ccc(C(F)(F)F)cc3F)C2)n1C</x:v>
      </x:c>
      <x:c r="J16" s="9" t="str">
        <x:v>Cc1ncoc1-c1nnc(SCCCN2CC[C@@]3(C[C@H]3c3ccc(C(F)(F)F)cc3F)C2)n1C</x:v>
      </x:c>
      <x:c r="K16" s="9" t="str">
        <x:v>source_reported_pKi</x:v>
      </x:c>
      <x:c r="L16" s="11" t="n">
        <x:v>6.65</x:v>
      </x:c>
      <x:c r="M16" s="11" t="n">
        <x:v>223.87211385683378</x:v>
      </x:c>
      <x:c r="N16" s="11" t="n">
        <x:v>223.87</x:v>
      </x:c>
      <x:c r="O16" s="11" t="n">
        <x:v>6.650004100737144</x:v>
      </x:c>
      <x:c r="P16" s="12" t="n">
        <x:v>0.000004100737143630795</x:v>
      </x:c>
      <x:c r="Q16" s="12" t="n">
        <x:v>-0.0021138568337732977</x:v>
      </x:c>
      <x:c r="R16" s="11" t="n">
        <x:v>0.00501</x:v>
      </x:c>
      <x:c r="S16" s="9" t="str">
        <x:v>Cc1ncoc1-c1nnc(SCCCN2CC[C@@]3(C[C@H]3c3ccc(C(F)(F)F)cc3F)C2)n1C</x:v>
      </x:c>
      <x:c r="T16" s="9" t="str">
        <x:v>Cc1ncoc1-c1nnc(SCCCN2CC[C@@]3(C[C@H]3c3ccc(C(F)(F)F)cc3F)C2)n1C</x:v>
      </x:c>
      <x:c r="U16" s="9" t="str">
        <x:v>ZIQDGXNDXRMRPM-HTAPYJJXSA-N</x:v>
      </x:c>
      <x:c r="V16" s="9" t="str">
        <x:v>Cc1ncoc1-c1nnc(SCCCN2CCC3(CC3c3ccc(C(F)(F)F)cc3F)C2)n1C</x:v>
      </x:c>
      <x:c r="W16" s="9" t="str">
        <x:v>3a87350678a10d266285c519cd6d008e1adf4761974c26280d14b6f7333b44bd</x:v>
      </x:c>
      <x:c r="X16" s="9" t="str">
        <x:v>c1ccc(C2CC23CCN(CCCSc2nnc(-c4cnco4)[nH]2)C3)cc1</x:v>
      </x:c>
      <x:c r="Y16" s="9" t="str">
        <x:v>False</x:v>
      </x:c>
      <x:c r="Z16" s="13" t="n">
        <x:v>1</x:v>
      </x:c>
      <x:c r="AA16" s="9" t="str">
        <x:v>include</x:v>
      </x:c>
      <x:c r="AB16" s="9" t="str"/>
      <x:c r="AC16" s="9" t="str">
        <x:v>pKi</x:v>
      </x:c>
      <x:c r="AD16" s="9" t="str">
        <x:v>6.65</x:v>
      </x:c>
      <x:c r="AE16" s="9" t="str"/>
      <x:c r="AF16" s="9" t="str">
        <x:v>=</x:v>
      </x:c>
      <x:c r="AG16" s="9" t="str">
        <x:v>Ki</x:v>
      </x:c>
      <x:c r="AH16" s="11" t="n">
        <x:v>223.87</x:v>
      </x:c>
      <x:c r="AI16" s="9" t="str">
        <x:v>nM</x:v>
      </x:c>
      <x:c r="AJ16" s="9" t="str">
        <x:v>=</x:v>
      </x:c>
      <x:c r="AK16" s="11" t="n">
        <x:v>6.65</x:v>
      </x:c>
      <x:c r="AL16" s="13" t="n">
        <x:v>0</x:v>
      </x:c>
      <x:c r="AM16" s="9" t="str"/>
      <x:c r="AN16" s="9" t="str"/>
      <x:c r="AO16" s="9" t="str">
        <x:v>https://www.ebi.ac.uk/chembl/api/data/activity/16670172.json</x:v>
      </x:c>
      <x:c r="AP16" s="9" t="str">
        <x:v>Cc1ncoc1-c1nnc(SCCCN2CCC3(CC3c3ccc(C(F)(F)F)cc3F)C2)n1C</x:v>
      </x:c>
      <x:c r="AQ16" s="9" t="str">
        <x:v>c1ccc(C2CC23CCN(CCCSc2nnc(-c4cnco4)[nH]2)C3)cc1</x:v>
      </x:c>
      <x:c r="AR16" s="11" t="n">
        <x:v>495.54600000000016</x:v>
      </x:c>
      <x:c r="AS16" s="11" t="n">
        <x:v>5.298220000000005</x:v>
      </x:c>
      <x:c r="AT16" s="11" t="n">
        <x:v>59.980000000000004</x:v>
      </x:c>
      <x:c r="AU16" s="13" t="n">
        <x:v>0</x:v>
      </x:c>
      <x:c r="AV16" s="13" t="n">
        <x:v>6</x:v>
      </x:c>
      <x:c r="AW16" s="9" t="str">
        <x:v>test</x:v>
      </x:c>
      <x:c r="AX16" s="9" t="str">
        <x:v>source_reported_experimental_pKi</x:v>
      </x:c>
      <x:c r="AY16" s="11" t="n">
        <x:v>6.1790547958686</x:v>
      </x:c>
      <x:c r="AZ16" s="11" t="n">
        <x:v>6.149473684210526</x:v>
      </x:c>
      <x:c r="BA16" s="11" t="n">
        <x:v>0.4709452041314002</x:v>
      </x:c>
      <x:c r="BB16" s="9" t="str">
        <x:v>False</x:v>
      </x:c>
      <x:c r="BC16" s="11" t="n">
        <x:v>0.7733333333333333</x:v>
      </x:c>
    </x:row>
    <x:row r="17" ht="36" customHeight="1">
      <x:c r="A17" s="14" t="str">
        <x:v>LRMWMKQIJLOEPF-AVRDEDQJSA-N</x:v>
      </x:c>
      <x:c r="B17" s="14" t="str">
        <x:v>CHEMBL3985877</x:v>
      </x:c>
      <x:c r="C17" s="14" t="str">
        <x:v>CHEMBL3985877</x:v>
      </x:c>
      <x:c r="D17" s="14" t="str">
        <x:v>16670173</x:v>
      </x:c>
      <x:c r="E17" s="14" t="str">
        <x:v>16670173</x:v>
      </x:c>
      <x:c r="F17" s="14" t="str">
        <x:v>CHEMBL3855278</x:v>
      </x:c>
      <x:c r="G17" s="14" t="str">
        <x:v>CHEMBL217</x:v>
      </x:c>
      <x:c r="H17" s="14" t="str">
        <x:v>CHEMBL3853329</x:v>
      </x:c>
      <x:c r="I17" s="14" t="str">
        <x:v>Cc1ncoc1-c1nnc(SCCCN2CC[C@]3(C[C@H]3c3ccc(F)cc3C(F)(F)F)C2)n1C</x:v>
      </x:c>
      <x:c r="J17" s="14" t="str">
        <x:v>Cc1ncoc1-c1nnc(SCCCN2CC[C@]3(C[C@H]3c3ccc(F)cc3C(F)(F)F)C2)n1C</x:v>
      </x:c>
      <x:c r="K17" s="14" t="str">
        <x:v>source_reported_pKi</x:v>
      </x:c>
      <x:c r="L17" s="15" t="n">
        <x:v>6.78</x:v>
      </x:c>
      <x:c r="M17" s="15" t="n">
        <x:v>165.95869074375597</x:v>
      </x:c>
      <x:c r="N17" s="15" t="n">
        <x:v>165.96</x:v>
      </x:c>
      <x:c r="O17" s="15" t="n">
        <x:v>6.779996573843064</x:v>
      </x:c>
      <x:c r="P17" s="16" t="n">
        <x:v>-0.0000034261569359372857</x:v>
      </x:c>
      <x:c r="Q17" s="16" t="n">
        <x:v>0.0013092562440419897</x:v>
      </x:c>
      <x:c r="R17" s="15" t="n">
        <x:v>0.00501</x:v>
      </x:c>
      <x:c r="S17" s="14" t="str">
        <x:v>Cc1ncoc1-c1nnc(SCCCN2CC[C@]3(C[C@H]3c3ccc(F)cc3C(F)(F)F)C2)n1C</x:v>
      </x:c>
      <x:c r="T17" s="14" t="str">
        <x:v>Cc1ncoc1-c1nnc(SCCCN2CC[C@]3(C[C@H]3c3ccc(F)cc3C(F)(F)F)C2)n1C</x:v>
      </x:c>
      <x:c r="U17" s="14" t="str">
        <x:v>LRMWMKQIJLOEPF-AVRDEDQJSA-N</x:v>
      </x:c>
      <x:c r="V17" s="14" t="str">
        <x:v>Cc1ncoc1-c1nnc(SCCCN2CCC3(CC3c3ccc(F)cc3C(F)(F)F)C2)n1C</x:v>
      </x:c>
      <x:c r="W17" s="14" t="str">
        <x:v>ecd0a33a54e86ee86092bde14ba6502a5f45358129e40fb8939f2550280752bb</x:v>
      </x:c>
      <x:c r="X17" s="14" t="str">
        <x:v>c1ccc(C2CC23CCN(CCCSc2nnc(-c4cnco4)[nH]2)C3)cc1</x:v>
      </x:c>
      <x:c r="Y17" s="14" t="str">
        <x:v>False</x:v>
      </x:c>
      <x:c r="Z17" s="17" t="n">
        <x:v>1</x:v>
      </x:c>
      <x:c r="AA17" s="14" t="str">
        <x:v>include</x:v>
      </x:c>
      <x:c r="AB17" s="14" t="str"/>
      <x:c r="AC17" s="14" t="str">
        <x:v>pKi</x:v>
      </x:c>
      <x:c r="AD17" s="14" t="str">
        <x:v>6.78</x:v>
      </x:c>
      <x:c r="AE17" s="14" t="str"/>
      <x:c r="AF17" s="14" t="str">
        <x:v>=</x:v>
      </x:c>
      <x:c r="AG17" s="14" t="str">
        <x:v>Ki</x:v>
      </x:c>
      <x:c r="AH17" s="15" t="n">
        <x:v>165.96</x:v>
      </x:c>
      <x:c r="AI17" s="14" t="str">
        <x:v>nM</x:v>
      </x:c>
      <x:c r="AJ17" s="14" t="str">
        <x:v>=</x:v>
      </x:c>
      <x:c r="AK17" s="15" t="n">
        <x:v>6.78</x:v>
      </x:c>
      <x:c r="AL17" s="17" t="n">
        <x:v>0</x:v>
      </x:c>
      <x:c r="AM17" s="14" t="str"/>
      <x:c r="AN17" s="14" t="str"/>
      <x:c r="AO17" s="14" t="str">
        <x:v>https://www.ebi.ac.uk/chembl/api/data/activity/16670173.json</x:v>
      </x:c>
      <x:c r="AP17" s="14" t="str">
        <x:v>Cc1ncoc1-c1nnc(SCCCN2CCC3(CC3c3ccc(F)cc3C(F)(F)F)C2)n1C</x:v>
      </x:c>
      <x:c r="AQ17" s="14" t="str">
        <x:v>c1ccc(C2CC23CCN(CCCSc2nnc(-c4cnco4)[nH]2)C3)cc1</x:v>
      </x:c>
      <x:c r="AR17" s="15" t="n">
        <x:v>495.54600000000016</x:v>
      </x:c>
      <x:c r="AS17" s="15" t="n">
        <x:v>5.298220000000005</x:v>
      </x:c>
      <x:c r="AT17" s="15" t="n">
        <x:v>59.980000000000004</x:v>
      </x:c>
      <x:c r="AU17" s="17" t="n">
        <x:v>0</x:v>
      </x:c>
      <x:c r="AV17" s="17" t="n">
        <x:v>6</x:v>
      </x:c>
      <x:c r="AW17" s="14" t="str">
        <x:v>test</x:v>
      </x:c>
      <x:c r="AX17" s="14" t="str">
        <x:v>source_reported_experimental_pKi</x:v>
      </x:c>
      <x:c r="AY17" s="15" t="n">
        <x:v>6.1790547958686</x:v>
      </x:c>
      <x:c r="AZ17" s="15" t="n">
        <x:v>6.149473684210526</x:v>
      </x:c>
      <x:c r="BA17" s="15" t="n">
        <x:v>0.6009452041314001</x:v>
      </x:c>
      <x:c r="BB17" s="14" t="str">
        <x:v>False</x:v>
      </x:c>
      <x:c r="BC17" s="15" t="n">
        <x:v>0.7142857142857143</x:v>
      </x:c>
    </x:row>
    <x:row r="18" ht="36" customHeight="1">
      <x:c r="A18" s="9" t="str">
        <x:v>LRMWMKQIJLOEPF-XMSQKQJNSA-N</x:v>
      </x:c>
      <x:c r="B18" s="9" t="str">
        <x:v>CHEMBL3966647</x:v>
      </x:c>
      <x:c r="C18" s="9" t="str">
        <x:v>CHEMBL3966647</x:v>
      </x:c>
      <x:c r="D18" s="9" t="str">
        <x:v>16670174</x:v>
      </x:c>
      <x:c r="E18" s="9" t="str">
        <x:v>16670174</x:v>
      </x:c>
      <x:c r="F18" s="9" t="str">
        <x:v>CHEMBL3855278</x:v>
      </x:c>
      <x:c r="G18" s="9" t="str">
        <x:v>CHEMBL217</x:v>
      </x:c>
      <x:c r="H18" s="9" t="str">
        <x:v>CHEMBL3853329</x:v>
      </x:c>
      <x:c r="I18" s="9" t="str">
        <x:v>Cc1ncoc1-c1nnc(SCCCN2CC[C@@]3(C[C@@H]3c3ccc(F)cc3C(F)(F)F)C2)n1C</x:v>
      </x:c>
      <x:c r="J18" s="9" t="str">
        <x:v>Cc1ncoc1-c1nnc(SCCCN2CC[C@@]3(C[C@@H]3c3ccc(F)cc3C(F)(F)F)C2)n1C</x:v>
      </x:c>
      <x:c r="K18" s="9" t="str">
        <x:v>source_reported_pKi</x:v>
      </x:c>
      <x:c r="L18" s="11" t="n">
        <x:v>5.66</x:v>
      </x:c>
      <x:c r="M18" s="11" t="n">
        <x:v>2187.761623949552</x:v>
      </x:c>
      <x:c r="N18" s="11" t="n">
        <x:v>2187.76</x:v>
      </x:c>
      <x:c r="O18" s="11" t="n">
        <x:v>5.660000322371772</x:v>
      </x:c>
      <x:c r="P18" s="12" t="n">
        <x:v>3.223717719436081e-7</x:v>
      </x:c>
      <x:c r="Q18" s="12" t="n">
        <x:v>-0.001623949551685655</x:v>
      </x:c>
      <x:c r="R18" s="11" t="n">
        <x:v>0.00501</x:v>
      </x:c>
      <x:c r="S18" s="9" t="str">
        <x:v>Cc1ncoc1-c1nnc(SCCCN2CC[C@@]3(C[C@@H]3c3ccc(F)cc3C(F)(F)F)C2)n1C</x:v>
      </x:c>
      <x:c r="T18" s="9" t="str">
        <x:v>Cc1ncoc1-c1nnc(SCCCN2CC[C@@]3(C[C@@H]3c3ccc(F)cc3C(F)(F)F)C2)n1C</x:v>
      </x:c>
      <x:c r="U18" s="9" t="str">
        <x:v>LRMWMKQIJLOEPF-XMSQKQJNSA-N</x:v>
      </x:c>
      <x:c r="V18" s="9" t="str">
        <x:v>Cc1ncoc1-c1nnc(SCCCN2CCC3(CC3c3ccc(F)cc3C(F)(F)F)C2)n1C</x:v>
      </x:c>
      <x:c r="W18" s="9" t="str">
        <x:v>ecd0a33a54e86ee86092bde14ba6502a5f45358129e40fb8939f2550280752bb</x:v>
      </x:c>
      <x:c r="X18" s="9" t="str">
        <x:v>c1ccc(C2CC23CCN(CCCSc2nnc(-c4cnco4)[nH]2)C3)cc1</x:v>
      </x:c>
      <x:c r="Y18" s="9" t="str">
        <x:v>False</x:v>
      </x:c>
      <x:c r="Z18" s="13" t="n">
        <x:v>1</x:v>
      </x:c>
      <x:c r="AA18" s="9" t="str">
        <x:v>include</x:v>
      </x:c>
      <x:c r="AB18" s="9" t="str"/>
      <x:c r="AC18" s="9" t="str">
        <x:v>pKi</x:v>
      </x:c>
      <x:c r="AD18" s="9" t="str">
        <x:v>5.66</x:v>
      </x:c>
      <x:c r="AE18" s="9" t="str"/>
      <x:c r="AF18" s="9" t="str">
        <x:v>=</x:v>
      </x:c>
      <x:c r="AG18" s="9" t="str">
        <x:v>Ki</x:v>
      </x:c>
      <x:c r="AH18" s="11" t="n">
        <x:v>2187.76</x:v>
      </x:c>
      <x:c r="AI18" s="9" t="str">
        <x:v>nM</x:v>
      </x:c>
      <x:c r="AJ18" s="9" t="str">
        <x:v>=</x:v>
      </x:c>
      <x:c r="AK18" s="11" t="n">
        <x:v>5.66</x:v>
      </x:c>
      <x:c r="AL18" s="13" t="n">
        <x:v>0</x:v>
      </x:c>
      <x:c r="AM18" s="9" t="str"/>
      <x:c r="AN18" s="9" t="str"/>
      <x:c r="AO18" s="9" t="str">
        <x:v>https://www.ebi.ac.uk/chembl/api/data/activity/16670174.json</x:v>
      </x:c>
      <x:c r="AP18" s="9" t="str">
        <x:v>Cc1ncoc1-c1nnc(SCCCN2CCC3(CC3c3ccc(F)cc3C(F)(F)F)C2)n1C</x:v>
      </x:c>
      <x:c r="AQ18" s="9" t="str">
        <x:v>c1ccc(C2CC23CCN(CCCSc2nnc(-c4cnco4)[nH]2)C3)cc1</x:v>
      </x:c>
      <x:c r="AR18" s="11" t="n">
        <x:v>495.54600000000016</x:v>
      </x:c>
      <x:c r="AS18" s="11" t="n">
        <x:v>5.298220000000005</x:v>
      </x:c>
      <x:c r="AT18" s="11" t="n">
        <x:v>59.980000000000004</x:v>
      </x:c>
      <x:c r="AU18" s="13" t="n">
        <x:v>0</x:v>
      </x:c>
      <x:c r="AV18" s="13" t="n">
        <x:v>6</x:v>
      </x:c>
      <x:c r="AW18" s="9" t="str">
        <x:v>test</x:v>
      </x:c>
      <x:c r="AX18" s="9" t="str">
        <x:v>source_reported_experimental_pKi</x:v>
      </x:c>
      <x:c r="AY18" s="11" t="n">
        <x:v>6.1790547958686</x:v>
      </x:c>
      <x:c r="AZ18" s="11" t="n">
        <x:v>6.149473684210526</x:v>
      </x:c>
      <x:c r="BA18" s="11" t="n">
        <x:v>-0.5190547958686</x:v>
      </x:c>
      <x:c r="BB18" s="9" t="str">
        <x:v>False</x:v>
      </x:c>
      <x:c r="BC18" s="11" t="n">
        <x:v>0.7142857142857143</x:v>
      </x:c>
    </x:row>
    <x:row r="19" ht="36" customHeight="1">
      <x:c r="A19" s="14" t="str">
        <x:v>LRMWMKQIJLOEPF-GCJKJVERSA-N</x:v>
      </x:c>
      <x:c r="B19" s="14" t="str">
        <x:v>CHEMBL3945776</x:v>
      </x:c>
      <x:c r="C19" s="14" t="str">
        <x:v>CHEMBL3945776</x:v>
      </x:c>
      <x:c r="D19" s="14" t="str">
        <x:v>16670175</x:v>
      </x:c>
      <x:c r="E19" s="14" t="str">
        <x:v>16670175</x:v>
      </x:c>
      <x:c r="F19" s="14" t="str">
        <x:v>CHEMBL3855278</x:v>
      </x:c>
      <x:c r="G19" s="14" t="str">
        <x:v>CHEMBL217</x:v>
      </x:c>
      <x:c r="H19" s="14" t="str">
        <x:v>CHEMBL3853329</x:v>
      </x:c>
      <x:c r="I19" s="14" t="str">
        <x:v>Cc1ncoc1-c1nnc(SCCCN2CC[C@]3(C[C@@H]3c3ccc(F)cc3C(F)(F)F)C2)n1C</x:v>
      </x:c>
      <x:c r="J19" s="14" t="str">
        <x:v>Cc1ncoc1-c1nnc(SCCCN2CC[C@]3(C[C@@H]3c3ccc(F)cc3C(F)(F)F)C2)n1C</x:v>
      </x:c>
      <x:c r="K19" s="14" t="str">
        <x:v>source_reported_pKi</x:v>
      </x:c>
      <x:c r="L19" s="15" t="n">
        <x:v>5.42</x:v>
      </x:c>
      <x:c r="M19" s="15" t="n">
        <x:v>3801.8939632056126</x:v>
      </x:c>
      <x:c r="N19" s="15" t="n">
        <x:v>3801.89</x:v>
      </x:c>
      <x:c r="O19" s="15" t="n">
        <x:v>5.420000452721522</x:v>
      </x:c>
      <x:c r="P19" s="16" t="n">
        <x:v>4.527215224925385e-7</x:v>
      </x:c>
      <x:c r="Q19" s="16" t="n">
        <x:v>-0.003963205612762977</x:v>
      </x:c>
      <x:c r="R19" s="15" t="n">
        <x:v>0.00501</x:v>
      </x:c>
      <x:c r="S19" s="14" t="str">
        <x:v>Cc1ncoc1-c1nnc(SCCCN2CC[C@]3(C[C@@H]3c3ccc(F)cc3C(F)(F)F)C2)n1C</x:v>
      </x:c>
      <x:c r="T19" s="14" t="str">
        <x:v>Cc1ncoc1-c1nnc(SCCCN2CC[C@]3(C[C@@H]3c3ccc(F)cc3C(F)(F)F)C2)n1C</x:v>
      </x:c>
      <x:c r="U19" s="14" t="str">
        <x:v>LRMWMKQIJLOEPF-GCJKJVERSA-N</x:v>
      </x:c>
      <x:c r="V19" s="14" t="str">
        <x:v>Cc1ncoc1-c1nnc(SCCCN2CCC3(CC3c3ccc(F)cc3C(F)(F)F)C2)n1C</x:v>
      </x:c>
      <x:c r="W19" s="14" t="str">
        <x:v>ecd0a33a54e86ee86092bde14ba6502a5f45358129e40fb8939f2550280752bb</x:v>
      </x:c>
      <x:c r="X19" s="14" t="str">
        <x:v>c1ccc(C2CC23CCN(CCCSc2nnc(-c4cnco4)[nH]2)C3)cc1</x:v>
      </x:c>
      <x:c r="Y19" s="14" t="str">
        <x:v>False</x:v>
      </x:c>
      <x:c r="Z19" s="17" t="n">
        <x:v>1</x:v>
      </x:c>
      <x:c r="AA19" s="14" t="str">
        <x:v>include</x:v>
      </x:c>
      <x:c r="AB19" s="14" t="str"/>
      <x:c r="AC19" s="14" t="str">
        <x:v>pKi</x:v>
      </x:c>
      <x:c r="AD19" s="14" t="str">
        <x:v>5.42</x:v>
      </x:c>
      <x:c r="AE19" s="14" t="str"/>
      <x:c r="AF19" s="14" t="str">
        <x:v>=</x:v>
      </x:c>
      <x:c r="AG19" s="14" t="str">
        <x:v>Ki</x:v>
      </x:c>
      <x:c r="AH19" s="15" t="n">
        <x:v>3801.89</x:v>
      </x:c>
      <x:c r="AI19" s="14" t="str">
        <x:v>nM</x:v>
      </x:c>
      <x:c r="AJ19" s="14" t="str">
        <x:v>=</x:v>
      </x:c>
      <x:c r="AK19" s="15" t="n">
        <x:v>5.42</x:v>
      </x:c>
      <x:c r="AL19" s="17" t="n">
        <x:v>0</x:v>
      </x:c>
      <x:c r="AM19" s="14" t="str"/>
      <x:c r="AN19" s="14" t="str"/>
      <x:c r="AO19" s="14" t="str">
        <x:v>https://www.ebi.ac.uk/chembl/api/data/activity/16670175.json</x:v>
      </x:c>
      <x:c r="AP19" s="14" t="str">
        <x:v>Cc1ncoc1-c1nnc(SCCCN2CCC3(CC3c3ccc(F)cc3C(F)(F)F)C2)n1C</x:v>
      </x:c>
      <x:c r="AQ19" s="14" t="str">
        <x:v>c1ccc(C2CC23CCN(CCCSc2nnc(-c4cnco4)[nH]2)C3)cc1</x:v>
      </x:c>
      <x:c r="AR19" s="15" t="n">
        <x:v>495.54600000000016</x:v>
      </x:c>
      <x:c r="AS19" s="15" t="n">
        <x:v>5.298220000000005</x:v>
      </x:c>
      <x:c r="AT19" s="15" t="n">
        <x:v>59.980000000000004</x:v>
      </x:c>
      <x:c r="AU19" s="17" t="n">
        <x:v>0</x:v>
      </x:c>
      <x:c r="AV19" s="17" t="n">
        <x:v>6</x:v>
      </x:c>
      <x:c r="AW19" s="14" t="str">
        <x:v>test</x:v>
      </x:c>
      <x:c r="AX19" s="14" t="str">
        <x:v>source_reported_experimental_pKi</x:v>
      </x:c>
      <x:c r="AY19" s="15" t="n">
        <x:v>6.1790547958686</x:v>
      </x:c>
      <x:c r="AZ19" s="15" t="n">
        <x:v>6.149473684210526</x:v>
      </x:c>
      <x:c r="BA19" s="15" t="n">
        <x:v>-0.7590547958686003</x:v>
      </x:c>
      <x:c r="BB19" s="14" t="str">
        <x:v>False</x:v>
      </x:c>
      <x:c r="BC19" s="15" t="n">
        <x:v>0.7142857142857143</x:v>
      </x:c>
    </x:row>
    <x:row r="20" ht="36" customHeight="1">
      <x:c r="A20" s="9" t="str">
        <x:v>LRMWMKQIJLOEPF-PGRDOPGGSA-N</x:v>
      </x:c>
      <x:c r="B20" s="9" t="str">
        <x:v>CHEMBL3975147</x:v>
      </x:c>
      <x:c r="C20" s="9" t="str">
        <x:v>CHEMBL3975147</x:v>
      </x:c>
      <x:c r="D20" s="9" t="str">
        <x:v>16670176</x:v>
      </x:c>
      <x:c r="E20" s="9" t="str">
        <x:v>16670176</x:v>
      </x:c>
      <x:c r="F20" s="9" t="str">
        <x:v>CHEMBL3855278</x:v>
      </x:c>
      <x:c r="G20" s="9" t="str">
        <x:v>CHEMBL217</x:v>
      </x:c>
      <x:c r="H20" s="9" t="str">
        <x:v>CHEMBL3853329</x:v>
      </x:c>
      <x:c r="I20" s="9" t="str">
        <x:v>Cc1ncoc1-c1nnc(SCCCN2CC[C@@]3(C[C@H]3c3ccc(F)cc3C(F)(F)F)C2)n1C</x:v>
      </x:c>
      <x:c r="J20" s="9" t="str">
        <x:v>Cc1ncoc1-c1nnc(SCCCN2CC[C@@]3(C[C@H]3c3ccc(F)cc3C(F)(F)F)C2)n1C</x:v>
      </x:c>
      <x:c r="K20" s="9" t="str">
        <x:v>source_reported_pKi</x:v>
      </x:c>
      <x:c r="L20" s="11" t="n">
        <x:v>5.89</x:v>
      </x:c>
      <x:c r="M20" s="11" t="n">
        <x:v>1288.249551693135</x:v>
      </x:c>
      <x:c r="N20" s="11" t="n">
        <x:v>1288.25</x:v>
      </x:c>
      <x:c r="O20" s="11" t="n">
        <x:v>5.889999848866887</x:v>
      </x:c>
      <x:c r="P20" s="12" t="n">
        <x:v>-1.5113311224723702e-7</x:v>
      </x:c>
      <x:c r="Q20" s="12" t="n">
        <x:v>0.000448306865109771</x:v>
      </x:c>
      <x:c r="R20" s="11" t="n">
        <x:v>0.00501</x:v>
      </x:c>
      <x:c r="S20" s="9" t="str">
        <x:v>Cc1ncoc1-c1nnc(SCCCN2CC[C@@]3(C[C@H]3c3ccc(F)cc3C(F)(F)F)C2)n1C</x:v>
      </x:c>
      <x:c r="T20" s="9" t="str">
        <x:v>Cc1ncoc1-c1nnc(SCCCN2CC[C@@]3(C[C@H]3c3ccc(F)cc3C(F)(F)F)C2)n1C</x:v>
      </x:c>
      <x:c r="U20" s="9" t="str">
        <x:v>LRMWMKQIJLOEPF-PGRDOPGGSA-N</x:v>
      </x:c>
      <x:c r="V20" s="9" t="str">
        <x:v>Cc1ncoc1-c1nnc(SCCCN2CCC3(CC3c3ccc(F)cc3C(F)(F)F)C2)n1C</x:v>
      </x:c>
      <x:c r="W20" s="9" t="str">
        <x:v>ecd0a33a54e86ee86092bde14ba6502a5f45358129e40fb8939f2550280752bb</x:v>
      </x:c>
      <x:c r="X20" s="9" t="str">
        <x:v>c1ccc(C2CC23CCN(CCCSc2nnc(-c4cnco4)[nH]2)C3)cc1</x:v>
      </x:c>
      <x:c r="Y20" s="9" t="str">
        <x:v>False</x:v>
      </x:c>
      <x:c r="Z20" s="13" t="n">
        <x:v>1</x:v>
      </x:c>
      <x:c r="AA20" s="9" t="str">
        <x:v>include</x:v>
      </x:c>
      <x:c r="AB20" s="9" t="str"/>
      <x:c r="AC20" s="9" t="str">
        <x:v>pKi</x:v>
      </x:c>
      <x:c r="AD20" s="9" t="str">
        <x:v>5.89</x:v>
      </x:c>
      <x:c r="AE20" s="9" t="str"/>
      <x:c r="AF20" s="9" t="str">
        <x:v>=</x:v>
      </x:c>
      <x:c r="AG20" s="9" t="str">
        <x:v>Ki</x:v>
      </x:c>
      <x:c r="AH20" s="11" t="n">
        <x:v>1288.25</x:v>
      </x:c>
      <x:c r="AI20" s="9" t="str">
        <x:v>nM</x:v>
      </x:c>
      <x:c r="AJ20" s="9" t="str">
        <x:v>=</x:v>
      </x:c>
      <x:c r="AK20" s="11" t="n">
        <x:v>5.89</x:v>
      </x:c>
      <x:c r="AL20" s="13" t="n">
        <x:v>0</x:v>
      </x:c>
      <x:c r="AM20" s="9" t="str"/>
      <x:c r="AN20" s="9" t="str"/>
      <x:c r="AO20" s="9" t="str">
        <x:v>https://www.ebi.ac.uk/chembl/api/data/activity/16670176.json</x:v>
      </x:c>
      <x:c r="AP20" s="9" t="str">
        <x:v>Cc1ncoc1-c1nnc(SCCCN2CCC3(CC3c3ccc(F)cc3C(F)(F)F)C2)n1C</x:v>
      </x:c>
      <x:c r="AQ20" s="9" t="str">
        <x:v>c1ccc(C2CC23CCN(CCCSc2nnc(-c4cnco4)[nH]2)C3)cc1</x:v>
      </x:c>
      <x:c r="AR20" s="11" t="n">
        <x:v>495.54600000000016</x:v>
      </x:c>
      <x:c r="AS20" s="11" t="n">
        <x:v>5.298220000000005</x:v>
      </x:c>
      <x:c r="AT20" s="11" t="n">
        <x:v>59.980000000000004</x:v>
      </x:c>
      <x:c r="AU20" s="13" t="n">
        <x:v>0</x:v>
      </x:c>
      <x:c r="AV20" s="13" t="n">
        <x:v>6</x:v>
      </x:c>
      <x:c r="AW20" s="9" t="str">
        <x:v>test</x:v>
      </x:c>
      <x:c r="AX20" s="9" t="str">
        <x:v>source_reported_experimental_pKi</x:v>
      </x:c>
      <x:c r="AY20" s="11" t="n">
        <x:v>6.1790547958686</x:v>
      </x:c>
      <x:c r="AZ20" s="11" t="n">
        <x:v>6.149473684210526</x:v>
      </x:c>
      <x:c r="BA20" s="11" t="n">
        <x:v>-0.2890547958686005</x:v>
      </x:c>
      <x:c r="BB20" s="9" t="str">
        <x:v>False</x:v>
      </x:c>
      <x:c r="BC20" s="11" t="n">
        <x:v>0.7142857142857143</x:v>
      </x:c>
    </x:row>
    <x:row r="21" ht="36" customHeight="1">
      <x:c r="A21" s="14" t="str">
        <x:v>GNVATANRVUMZDM-RXJZEZJSSA-N</x:v>
      </x:c>
      <x:c r="B21" s="14" t="str">
        <x:v>CHEMBL3954490</x:v>
      </x:c>
      <x:c r="C21" s="14" t="str">
        <x:v>CHEMBL3954490</x:v>
      </x:c>
      <x:c r="D21" s="14" t="str">
        <x:v>16670177</x:v>
      </x:c>
      <x:c r="E21" s="14" t="str">
        <x:v>16670177</x:v>
      </x:c>
      <x:c r="F21" s="14" t="str">
        <x:v>CHEMBL3855278</x:v>
      </x:c>
      <x:c r="G21" s="14" t="str">
        <x:v>CHEMBL217</x:v>
      </x:c>
      <x:c r="H21" s="14" t="str">
        <x:v>CHEMBL3853329</x:v>
      </x:c>
      <x:c r="I21" s="14" t="str">
        <x:v>Cc1ncoc1-c1nnc(SCC(O)CN2CC[C@@]3(C[C@H]3c3ccc(C(F)(F)F)cc3)C2)n1C</x:v>
      </x:c>
      <x:c r="J21" s="14" t="str">
        <x:v>Cc1ncoc1-c1nnc(SCC(O)CN2CC[C@@]3(C[C@H]3c3ccc(C(F)(F)F)cc3)C2)n1C</x:v>
      </x:c>
      <x:c r="K21" s="14" t="str">
        <x:v>source_reported_pKi</x:v>
      </x:c>
      <x:c r="L21" s="15" t="n">
        <x:v>5.76</x:v>
      </x:c>
      <x:c r="M21" s="15" t="n">
        <x:v>1737.8008287493763</x:v>
      </x:c>
      <x:c r="N21" s="15" t="n">
        <x:v>1737.8</x:v>
      </x:c>
      <x:c r="O21" s="15" t="n">
        <x:v>5.760000207113128</x:v>
      </x:c>
      <x:c r="P21" s="16" t="n">
        <x:v>2.0711312842536245e-7</x:v>
      </x:c>
      <x:c r="Q21" s="16" t="n">
        <x:v>-0.0008287493762964004</x:v>
      </x:c>
      <x:c r="R21" s="15" t="n">
        <x:v>0.00501</x:v>
      </x:c>
      <x:c r="S21" s="14" t="str">
        <x:v>Cc1ncoc1-c1nnc(SCC(O)CN2CC[C@@]3(C[C@H]3c3ccc(C(F)(F)F)cc3)C2)n1C</x:v>
      </x:c>
      <x:c r="T21" s="14" t="str">
        <x:v>Cc1ncoc1-c1nnc(SCC(O)CN2CC[C@@]3(C[C@H]3c3ccc(C(F)(F)F)cc3)C2)n1C</x:v>
      </x:c>
      <x:c r="U21" s="14" t="str">
        <x:v>GNVATANRVUMZDM-RXJZEZJSSA-N</x:v>
      </x:c>
      <x:c r="V21" s="14" t="str">
        <x:v>Cc1ncoc1-c1nnc(SCC(O)CN2CCC3(CC3c3ccc(C(F)(F)F)cc3)C2)n1C</x:v>
      </x:c>
      <x:c r="W21" s="14" t="str">
        <x:v>f9dd1a7b94a4e018fc1d145ad30a4628e11311dbe1188f815f403d1b098521b5</x:v>
      </x:c>
      <x:c r="X21" s="14" t="str">
        <x:v>c1ccc(C2CC23CCN(CCCSc2nnc(-c4cnco4)[nH]2)C3)cc1</x:v>
      </x:c>
      <x:c r="Y21" s="14" t="str">
        <x:v>False</x:v>
      </x:c>
      <x:c r="Z21" s="17" t="n">
        <x:v>1</x:v>
      </x:c>
      <x:c r="AA21" s="14" t="str">
        <x:v>include</x:v>
      </x:c>
      <x:c r="AB21" s="14" t="str"/>
      <x:c r="AC21" s="14" t="str">
        <x:v>pKi</x:v>
      </x:c>
      <x:c r="AD21" s="14" t="str">
        <x:v>5.76</x:v>
      </x:c>
      <x:c r="AE21" s="14" t="str"/>
      <x:c r="AF21" s="14" t="str">
        <x:v>=</x:v>
      </x:c>
      <x:c r="AG21" s="14" t="str">
        <x:v>Ki</x:v>
      </x:c>
      <x:c r="AH21" s="15" t="n">
        <x:v>1737.8</x:v>
      </x:c>
      <x:c r="AI21" s="14" t="str">
        <x:v>nM</x:v>
      </x:c>
      <x:c r="AJ21" s="14" t="str">
        <x:v>=</x:v>
      </x:c>
      <x:c r="AK21" s="15" t="n">
        <x:v>5.76</x:v>
      </x:c>
      <x:c r="AL21" s="17" t="n">
        <x:v>0</x:v>
      </x:c>
      <x:c r="AM21" s="14" t="str"/>
      <x:c r="AN21" s="14" t="str"/>
      <x:c r="AO21" s="14" t="str">
        <x:v>https://www.ebi.ac.uk/chembl/api/data/activity/16670177.json</x:v>
      </x:c>
      <x:c r="AP21" s="14" t="str">
        <x:v>Cc1ncoc1-c1nnc(SCC(O)CN2CCC3(CC3c3ccc(C(F)(F)F)cc3)C2)n1C</x:v>
      </x:c>
      <x:c r="AQ21" s="14" t="str">
        <x:v>c1ccc(C2CC23CCN(CCCSc2nnc(-c4cnco4)[nH]2)C3)cc1</x:v>
      </x:c>
      <x:c r="AR21" s="15" t="n">
        <x:v>493.55500000000023</x:v>
      </x:c>
      <x:c r="AS21" s="15" t="n">
        <x:v>4.129920000000003</x:v>
      </x:c>
      <x:c r="AT21" s="15" t="n">
        <x:v>80.21000000000001</x:v>
      </x:c>
      <x:c r="AU21" s="17" t="n">
        <x:v>1</x:v>
      </x:c>
      <x:c r="AV21" s="17" t="n">
        <x:v>7</x:v>
      </x:c>
      <x:c r="AW21" s="14" t="str">
        <x:v>test</x:v>
      </x:c>
      <x:c r="AX21" s="14" t="str">
        <x:v>source_reported_experimental_pKi</x:v>
      </x:c>
      <x:c r="AY21" s="15" t="n">
        <x:v>6.360883933639146</x:v>
      </x:c>
      <x:c r="AZ21" s="15" t="n">
        <x:v>6.149473684210526</x:v>
      </x:c>
      <x:c r="BA21" s="15" t="n">
        <x:v>-0.600883933639146</x:v>
      </x:c>
      <x:c r="BB21" s="14" t="str">
        <x:v>True</x:v>
      </x:c>
      <x:c r="BC21" s="15" t="n">
        <x:v>0.7808219178082192</x:v>
      </x:c>
    </x:row>
    <x:row r="22" ht="36" customHeight="1">
      <x:c r="A22" s="9" t="str">
        <x:v>FCYQRIODPYABJL-AVRDEDQJSA-N</x:v>
      </x:c>
      <x:c r="B22" s="9" t="str">
        <x:v>CHEMBL3983121</x:v>
      </x:c>
      <x:c r="C22" s="9" t="str">
        <x:v>CHEMBL3983121</x:v>
      </x:c>
      <x:c r="D22" s="9" t="str">
        <x:v>16670178</x:v>
      </x:c>
      <x:c r="E22" s="9" t="str">
        <x:v>16670178</x:v>
      </x:c>
      <x:c r="F22" s="9" t="str">
        <x:v>CHEMBL3855278</x:v>
      </x:c>
      <x:c r="G22" s="9" t="str">
        <x:v>CHEMBL217</x:v>
      </x:c>
      <x:c r="H22" s="9" t="str">
        <x:v>CHEMBL3853329</x:v>
      </x:c>
      <x:c r="I22" s="9" t="str">
        <x:v>Cc1ncoc1-c1nnc(SCCCN2CC[C@]3(C[C@H]3c3cc(Cl)cc(Cl)c3)C2)n1C</x:v>
      </x:c>
      <x:c r="J22" s="9" t="str">
        <x:v>Cc1ncoc1-c1nnc(SCCCN2CC[C@]3(C[C@H]3c3cc(Cl)cc(Cl)c3)C2)n1C</x:v>
      </x:c>
      <x:c r="K22" s="9" t="str">
        <x:v>source_reported_pKi</x:v>
      </x:c>
      <x:c r="L22" s="11" t="n">
        <x:v>7.18</x:v>
      </x:c>
      <x:c r="M22" s="11" t="n">
        <x:v>66.06934480075964</x:v>
      </x:c>
      <x:c r="N22" s="11" t="n">
        <x:v>66.07</x:v>
      </x:c>
      <x:c r="O22" s="11" t="n">
        <x:v>7.179995693191682</x:v>
      </x:c>
      <x:c r="P22" s="12" t="n">
        <x:v>-0.000004306808317977584</x:v>
      </x:c>
      <x:c r="Q22" s="12" t="n">
        <x:v>0.0006551992403558415</x:v>
      </x:c>
      <x:c r="R22" s="11" t="n">
        <x:v>0.00501</x:v>
      </x:c>
      <x:c r="S22" s="9" t="str">
        <x:v>Cc1ncoc1-c1nnc(SCCCN2CC[C@]3(C[C@H]3c3cc(Cl)cc(Cl)c3)C2)n1C</x:v>
      </x:c>
      <x:c r="T22" s="9" t="str">
        <x:v>Cc1ncoc1-c1nnc(SCCCN2CC[C@]3(C[C@H]3c3cc(Cl)cc(Cl)c3)C2)n1C</x:v>
      </x:c>
      <x:c r="U22" s="9" t="str">
        <x:v>FCYQRIODPYABJL-AVRDEDQJSA-N</x:v>
      </x:c>
      <x:c r="V22" s="9" t="str">
        <x:v>Cc1ncoc1-c1nnc(SCCCN2CCC3(CC3c3cc(Cl)cc(Cl)c3)C2)n1C</x:v>
      </x:c>
      <x:c r="W22" s="9" t="str">
        <x:v>3d1b01f172b95fa970bdbde7a881107f16a11e0edc4e493db8df12af9404d052</x:v>
      </x:c>
      <x:c r="X22" s="9" t="str">
        <x:v>c1ccc(C2CC23CCN(CCCSc2nnc(-c4cnco4)[nH]2)C3)cc1</x:v>
      </x:c>
      <x:c r="Y22" s="9" t="str">
        <x:v>False</x:v>
      </x:c>
      <x:c r="Z22" s="13" t="n">
        <x:v>1</x:v>
      </x:c>
      <x:c r="AA22" s="9" t="str">
        <x:v>include</x:v>
      </x:c>
      <x:c r="AB22" s="9" t="str"/>
      <x:c r="AC22" s="9" t="str">
        <x:v>pKi</x:v>
      </x:c>
      <x:c r="AD22" s="9" t="str">
        <x:v>7.18</x:v>
      </x:c>
      <x:c r="AE22" s="9" t="str"/>
      <x:c r="AF22" s="9" t="str">
        <x:v>=</x:v>
      </x:c>
      <x:c r="AG22" s="9" t="str">
        <x:v>Ki</x:v>
      </x:c>
      <x:c r="AH22" s="11" t="n">
        <x:v>66.07</x:v>
      </x:c>
      <x:c r="AI22" s="9" t="str">
        <x:v>nM</x:v>
      </x:c>
      <x:c r="AJ22" s="9" t="str">
        <x:v>=</x:v>
      </x:c>
      <x:c r="AK22" s="11" t="n">
        <x:v>7.18</x:v>
      </x:c>
      <x:c r="AL22" s="13" t="n">
        <x:v>0</x:v>
      </x:c>
      <x:c r="AM22" s="9" t="str"/>
      <x:c r="AN22" s="9" t="str"/>
      <x:c r="AO22" s="9" t="str">
        <x:v>https://www.ebi.ac.uk/chembl/api/data/activity/16670178.json</x:v>
      </x:c>
      <x:c r="AP22" s="9" t="str">
        <x:v>Cc1ncoc1-c1nnc(SCCCN2CCC3(CC3c3cc(Cl)cc(Cl)c3)C2)n1C</x:v>
      </x:c>
      <x:c r="AQ22" s="9" t="str">
        <x:v>c1ccc(C2CC23CCN(CCCSc2nnc(-c4cnco4)[nH]2)C3)cc1</x:v>
      </x:c>
      <x:c r="AR22" s="11" t="n">
        <x:v>478.4490000000002</x:v>
      </x:c>
      <x:c r="AS22" s="11" t="n">
        <x:v>5.447120000000005</x:v>
      </x:c>
      <x:c r="AT22" s="11" t="n">
        <x:v>59.980000000000004</x:v>
      </x:c>
      <x:c r="AU22" s="13" t="n">
        <x:v>0</x:v>
      </x:c>
      <x:c r="AV22" s="13" t="n">
        <x:v>6</x:v>
      </x:c>
      <x:c r="AW22" s="9" t="str">
        <x:v>test</x:v>
      </x:c>
      <x:c r="AX22" s="9" t="str">
        <x:v>source_reported_experimental_pKi</x:v>
      </x:c>
      <x:c r="AY22" s="11" t="n">
        <x:v>6.225598163061324</x:v>
      </x:c>
      <x:c r="AZ22" s="11" t="n">
        <x:v>6.149473684210526</x:v>
      </x:c>
      <x:c r="BA22" s="11" t="n">
        <x:v>0.9544018369386755</x:v>
      </x:c>
      <x:c r="BB22" s="9" t="str">
        <x:v>False</x:v>
      </x:c>
      <x:c r="BC22" s="11" t="n">
        <x:v>0.7123287671232876</x:v>
      </x:c>
    </x:row>
    <x:row r="23" ht="36" customHeight="1">
      <x:c r="A23" s="14" t="str">
        <x:v>FCYQRIODPYABJL-GCJKJVERSA-N</x:v>
      </x:c>
      <x:c r="B23" s="14" t="str">
        <x:v>CHEMBL3899336</x:v>
      </x:c>
      <x:c r="C23" s="14" t="str">
        <x:v>CHEMBL3899336</x:v>
      </x:c>
      <x:c r="D23" s="14" t="str">
        <x:v>16670179</x:v>
      </x:c>
      <x:c r="E23" s="14" t="str">
        <x:v>16670179</x:v>
      </x:c>
      <x:c r="F23" s="14" t="str">
        <x:v>CHEMBL3855278</x:v>
      </x:c>
      <x:c r="G23" s="14" t="str">
        <x:v>CHEMBL217</x:v>
      </x:c>
      <x:c r="H23" s="14" t="str">
        <x:v>CHEMBL3853329</x:v>
      </x:c>
      <x:c r="I23" s="14" t="str">
        <x:v>Cc1ncoc1-c1nnc(SCCCN2CC[C@]3(C[C@@H]3c3cc(Cl)cc(Cl)c3)C2)n1C</x:v>
      </x:c>
      <x:c r="J23" s="14" t="str">
        <x:v>Cc1ncoc1-c1nnc(SCCCN2CC[C@]3(C[C@@H]3c3cc(Cl)cc(Cl)c3)C2)n1C</x:v>
      </x:c>
      <x:c r="K23" s="14" t="str">
        <x:v>source_reported_pKi</x:v>
      </x:c>
      <x:c r="L23" s="15" t="n">
        <x:v>7.21</x:v>
      </x:c>
      <x:c r="M23" s="15" t="n">
        <x:v>61.65950018614822</x:v>
      </x:c>
      <x:c r="N23" s="15" t="n">
        <x:v>61.66</x:v>
      </x:c>
      <x:c r="O23" s="15" t="n">
        <x:v>7.209996479609511</x:v>
      </x:c>
      <x:c r="P23" s="16" t="n">
        <x:v>-0.0000035203904893421623</x:v>
      </x:c>
      <x:c r="Q23" s="16" t="n">
        <x:v>0.0004998138517748885</x:v>
      </x:c>
      <x:c r="R23" s="15" t="n">
        <x:v>0.00501</x:v>
      </x:c>
      <x:c r="S23" s="14" t="str">
        <x:v>Cc1ncoc1-c1nnc(SCCCN2CC[C@]3(C[C@@H]3c3cc(Cl)cc(Cl)c3)C2)n1C</x:v>
      </x:c>
      <x:c r="T23" s="14" t="str">
        <x:v>Cc1ncoc1-c1nnc(SCCCN2CC[C@]3(C[C@@H]3c3cc(Cl)cc(Cl)c3)C2)n1C</x:v>
      </x:c>
      <x:c r="U23" s="14" t="str">
        <x:v>FCYQRIODPYABJL-GCJKJVERSA-N</x:v>
      </x:c>
      <x:c r="V23" s="14" t="str">
        <x:v>Cc1ncoc1-c1nnc(SCCCN2CCC3(CC3c3cc(Cl)cc(Cl)c3)C2)n1C</x:v>
      </x:c>
      <x:c r="W23" s="14" t="str">
        <x:v>3d1b01f172b95fa970bdbde7a881107f16a11e0edc4e493db8df12af9404d052</x:v>
      </x:c>
      <x:c r="X23" s="14" t="str">
        <x:v>c1ccc(C2CC23CCN(CCCSc2nnc(-c4cnco4)[nH]2)C3)cc1</x:v>
      </x:c>
      <x:c r="Y23" s="14" t="str">
        <x:v>False</x:v>
      </x:c>
      <x:c r="Z23" s="17" t="n">
        <x:v>1</x:v>
      </x:c>
      <x:c r="AA23" s="14" t="str">
        <x:v>include</x:v>
      </x:c>
      <x:c r="AB23" s="14" t="str"/>
      <x:c r="AC23" s="14" t="str">
        <x:v>pKi</x:v>
      </x:c>
      <x:c r="AD23" s="14" t="str">
        <x:v>7.21</x:v>
      </x:c>
      <x:c r="AE23" s="14" t="str"/>
      <x:c r="AF23" s="14" t="str">
        <x:v>=</x:v>
      </x:c>
      <x:c r="AG23" s="14" t="str">
        <x:v>Ki</x:v>
      </x:c>
      <x:c r="AH23" s="15" t="n">
        <x:v>61.66</x:v>
      </x:c>
      <x:c r="AI23" s="14" t="str">
        <x:v>nM</x:v>
      </x:c>
      <x:c r="AJ23" s="14" t="str">
        <x:v>=</x:v>
      </x:c>
      <x:c r="AK23" s="15" t="n">
        <x:v>7.21</x:v>
      </x:c>
      <x:c r="AL23" s="17" t="n">
        <x:v>0</x:v>
      </x:c>
      <x:c r="AM23" s="14" t="str"/>
      <x:c r="AN23" s="14" t="str"/>
      <x:c r="AO23" s="14" t="str">
        <x:v>https://www.ebi.ac.uk/chembl/api/data/activity/16670179.json</x:v>
      </x:c>
      <x:c r="AP23" s="14" t="str">
        <x:v>Cc1ncoc1-c1nnc(SCCCN2CCC3(CC3c3cc(Cl)cc(Cl)c3)C2)n1C</x:v>
      </x:c>
      <x:c r="AQ23" s="14" t="str">
        <x:v>c1ccc(C2CC23CCN(CCCSc2nnc(-c4cnco4)[nH]2)C3)cc1</x:v>
      </x:c>
      <x:c r="AR23" s="15" t="n">
        <x:v>478.4490000000002</x:v>
      </x:c>
      <x:c r="AS23" s="15" t="n">
        <x:v>5.447120000000005</x:v>
      </x:c>
      <x:c r="AT23" s="15" t="n">
        <x:v>59.980000000000004</x:v>
      </x:c>
      <x:c r="AU23" s="17" t="n">
        <x:v>0</x:v>
      </x:c>
      <x:c r="AV23" s="17" t="n">
        <x:v>6</x:v>
      </x:c>
      <x:c r="AW23" s="14" t="str">
        <x:v>test</x:v>
      </x:c>
      <x:c r="AX23" s="14" t="str">
        <x:v>source_reported_experimental_pKi</x:v>
      </x:c>
      <x:c r="AY23" s="15" t="n">
        <x:v>6.225598163061324</x:v>
      </x:c>
      <x:c r="AZ23" s="15" t="n">
        <x:v>6.149473684210526</x:v>
      </x:c>
      <x:c r="BA23" s="15" t="n">
        <x:v>0.9844018369386758</x:v>
      </x:c>
      <x:c r="BB23" s="14" t="str">
        <x:v>False</x:v>
      </x:c>
      <x:c r="BC23" s="15" t="n">
        <x:v>0.7123287671232876</x:v>
      </x:c>
    </x:row>
    <x:row r="24" ht="36" customHeight="1">
      <x:c r="A24" s="9" t="str">
        <x:v>NFIANDWIUXYLJZ-AVRDEDQJSA-N</x:v>
      </x:c>
      <x:c r="B24" s="9" t="str">
        <x:v>CHEMBL3894257</x:v>
      </x:c>
      <x:c r="C24" s="9" t="str">
        <x:v>CHEMBL3894257</x:v>
      </x:c>
      <x:c r="D24" s="9" t="str">
        <x:v>16670256</x:v>
      </x:c>
      <x:c r="E24" s="9" t="str">
        <x:v>16670256</x:v>
      </x:c>
      <x:c r="F24" s="9" t="str">
        <x:v>CHEMBL3855278</x:v>
      </x:c>
      <x:c r="G24" s="9" t="str">
        <x:v>CHEMBL217</x:v>
      </x:c>
      <x:c r="H24" s="9" t="str">
        <x:v>CHEMBL3853329</x:v>
      </x:c>
      <x:c r="I24" s="9" t="str">
        <x:v>Cc1ncsc1-c1nnc(SCCCN2CC[C@]3(C[C@H]3c3ccc(C(F)(F)F)cc3)C2)n1C</x:v>
      </x:c>
      <x:c r="J24" s="9" t="str">
        <x:v>Cc1ncsc1-c1nnc(SCCCN2CC[C@]3(C[C@H]3c3ccc(C(F)(F)F)cc3)C2)n1C</x:v>
      </x:c>
      <x:c r="K24" s="9" t="str">
        <x:v>source_reported_pKi</x:v>
      </x:c>
      <x:c r="L24" s="11" t="n">
        <x:v>5.91</x:v>
      </x:c>
      <x:c r="M24" s="11" t="n">
        <x:v>1230.268770812381</x:v>
      </x:c>
      <x:c r="N24" s="11" t="n">
        <x:v>1230.27</x:v>
      </x:c>
      <x:c r="O24" s="11" t="n">
        <x:v>5.90999956608739</x:v>
      </x:c>
      <x:c r="P24" s="12" t="n">
        <x:v>-4.3391260984293467e-7</x:v>
      </x:c>
      <x:c r="Q24" s="12" t="n">
        <x:v>0.0012291876189465256</x:v>
      </x:c>
      <x:c r="R24" s="11" t="n">
        <x:v>0.00501</x:v>
      </x:c>
      <x:c r="S24" s="9" t="str">
        <x:v>Cc1ncsc1-c1nnc(SCCCN2CC[C@]3(C[C@H]3c3ccc(C(F)(F)F)cc3)C2)n1C</x:v>
      </x:c>
      <x:c r="T24" s="9" t="str">
        <x:v>Cc1ncsc1-c1nnc(SCCCN2CC[C@]3(C[C@H]3c3ccc(C(F)(F)F)cc3)C2)n1C</x:v>
      </x:c>
      <x:c r="U24" s="9" t="str">
        <x:v>NFIANDWIUXYLJZ-AVRDEDQJSA-N</x:v>
      </x:c>
      <x:c r="V24" s="9" t="str">
        <x:v>Cc1ncsc1-c1nnc(SCCCN2CCC3(CC3c3ccc(C(F)(F)F)cc3)C2)n1C</x:v>
      </x:c>
      <x:c r="W24" s="9" t="str">
        <x:v>aa93f130e59cdde1eb0297d2ae3c90ed4403c6728ea01dda8ebf759b0dbc77c9</x:v>
      </x:c>
      <x:c r="X24" s="9" t="str">
        <x:v>c1ccc(C2CC23CCN(CCCSc2nnc(-c4cncs4)[nH]2)C3)cc1</x:v>
      </x:c>
      <x:c r="Y24" s="9" t="str">
        <x:v>False</x:v>
      </x:c>
      <x:c r="Z24" s="13" t="n">
        <x:v>1</x:v>
      </x:c>
      <x:c r="AA24" s="9" t="str">
        <x:v>include</x:v>
      </x:c>
      <x:c r="AB24" s="9" t="str"/>
      <x:c r="AC24" s="9" t="str">
        <x:v>pKi</x:v>
      </x:c>
      <x:c r="AD24" s="9" t="str">
        <x:v>5.91</x:v>
      </x:c>
      <x:c r="AE24" s="9" t="str"/>
      <x:c r="AF24" s="9" t="str">
        <x:v>=</x:v>
      </x:c>
      <x:c r="AG24" s="9" t="str">
        <x:v>Ki</x:v>
      </x:c>
      <x:c r="AH24" s="11" t="n">
        <x:v>1230.27</x:v>
      </x:c>
      <x:c r="AI24" s="9" t="str">
        <x:v>nM</x:v>
      </x:c>
      <x:c r="AJ24" s="9" t="str">
        <x:v>=</x:v>
      </x:c>
      <x:c r="AK24" s="11" t="n">
        <x:v>5.91</x:v>
      </x:c>
      <x:c r="AL24" s="13" t="n">
        <x:v>0</x:v>
      </x:c>
      <x:c r="AM24" s="9" t="str"/>
      <x:c r="AN24" s="9" t="str"/>
      <x:c r="AO24" s="9" t="str">
        <x:v>https://www.ebi.ac.uk/chembl/api/data/activity/16670256.json</x:v>
      </x:c>
      <x:c r="AP24" s="9" t="str">
        <x:v>Cc1ncsc1-c1nnc(SCCCN2CCC3(CC3c3ccc(C(F)(F)F)cc3)C2)n1C</x:v>
      </x:c>
      <x:c r="AQ24" s="9" t="str">
        <x:v>c1ccc(C2CC23CCN(CCCSc2nnc(-c4cncs4)[nH]2)C3)cc1</x:v>
      </x:c>
      <x:c r="AR24" s="11" t="n">
        <x:v>493.6240000000002</x:v>
      </x:c>
      <x:c r="AS24" s="11" t="n">
        <x:v>5.627620000000006</x:v>
      </x:c>
      <x:c r="AT24" s="11" t="n">
        <x:v>46.84</x:v>
      </x:c>
      <x:c r="AU24" s="13" t="n">
        <x:v>0</x:v>
      </x:c>
      <x:c r="AV24" s="13" t="n">
        <x:v>6</x:v>
      </x:c>
      <x:c r="AW24" s="9" t="str">
        <x:v>train</x:v>
      </x:c>
      <x:c r="AX24" s="9" t="str">
        <x:v>source_reported_experimental_pKi</x:v>
      </x:c>
      <x:c r="AY24" s="11" t="n">
        <x:v>6.23004249197308</x:v>
      </x:c>
      <x:c r="AZ24" s="11" t="n">
        <x:v>6.149473684210526</x:v>
      </x:c>
      <x:c r="BA24" s="11" t="n">
        <x:v>-0.32004249197308</x:v>
      </x:c>
      <x:c r="BB24" s="9" t="str">
        <x:v>False</x:v>
      </x:c>
      <x:c r="BC24" s="11" t="n">
        <x:v>1</x:v>
      </x:c>
    </x:row>
    <x:row r="25" ht="36" customHeight="1">
      <x:c r="A25" s="14" t="str">
        <x:v>NFIANDWIUXYLJZ-GCJKJVERSA-N</x:v>
      </x:c>
      <x:c r="B25" s="14" t="str">
        <x:v>CHEMBL3923578</x:v>
      </x:c>
      <x:c r="C25" s="14" t="str">
        <x:v>CHEMBL3923578</x:v>
      </x:c>
      <x:c r="D25" s="14" t="str">
        <x:v>16670257</x:v>
      </x:c>
      <x:c r="E25" s="14" t="str">
        <x:v>16670257</x:v>
      </x:c>
      <x:c r="F25" s="14" t="str">
        <x:v>CHEMBL3855278</x:v>
      </x:c>
      <x:c r="G25" s="14" t="str">
        <x:v>CHEMBL217</x:v>
      </x:c>
      <x:c r="H25" s="14" t="str">
        <x:v>CHEMBL3853329</x:v>
      </x:c>
      <x:c r="I25" s="14" t="str">
        <x:v>Cc1ncsc1-c1nnc(SCCCN2CC[C@]3(C[C@@H]3c3ccc(C(F)(F)F)cc3)C2)n1C</x:v>
      </x:c>
      <x:c r="J25" s="14" t="str">
        <x:v>Cc1ncsc1-c1nnc(SCCCN2CC[C@]3(C[C@@H]3c3ccc(C(F)(F)F)cc3)C2)n1C</x:v>
      </x:c>
      <x:c r="K25" s="14" t="str">
        <x:v>source_reported_pKi</x:v>
      </x:c>
      <x:c r="L25" s="15" t="n">
        <x:v>5.79</x:v>
      </x:c>
      <x:c r="M25" s="15" t="n">
        <x:v>1621.8100973589299</x:v>
      </x:c>
      <x:c r="N25" s="15" t="n">
        <x:v>1621.81</x:v>
      </x:c>
      <x:c r="O25" s="15" t="n">
        <x:v>5.790000026071146</x:v>
      </x:c>
      <x:c r="P25" s="16" t="n">
        <x:v>2.6071146130846046e-8</x:v>
      </x:c>
      <x:c r="Q25" s="16" t="n">
        <x:v>-0.00009735892990647699</x:v>
      </x:c>
      <x:c r="R25" s="15" t="n">
        <x:v>0.00501</x:v>
      </x:c>
      <x:c r="S25" s="14" t="str">
        <x:v>Cc1ncsc1-c1nnc(SCCCN2CC[C@]3(C[C@@H]3c3ccc(C(F)(F)F)cc3)C2)n1C</x:v>
      </x:c>
      <x:c r="T25" s="14" t="str">
        <x:v>Cc1ncsc1-c1nnc(SCCCN2CC[C@]3(C[C@@H]3c3ccc(C(F)(F)F)cc3)C2)n1C</x:v>
      </x:c>
      <x:c r="U25" s="14" t="str">
        <x:v>NFIANDWIUXYLJZ-GCJKJVERSA-N</x:v>
      </x:c>
      <x:c r="V25" s="14" t="str">
        <x:v>Cc1ncsc1-c1nnc(SCCCN2CCC3(CC3c3ccc(C(F)(F)F)cc3)C2)n1C</x:v>
      </x:c>
      <x:c r="W25" s="14" t="str">
        <x:v>aa93f130e59cdde1eb0297d2ae3c90ed4403c6728ea01dda8ebf759b0dbc77c9</x:v>
      </x:c>
      <x:c r="X25" s="14" t="str">
        <x:v>c1ccc(C2CC23CCN(CCCSc2nnc(-c4cncs4)[nH]2)C3)cc1</x:v>
      </x:c>
      <x:c r="Y25" s="14" t="str">
        <x:v>False</x:v>
      </x:c>
      <x:c r="Z25" s="17" t="n">
        <x:v>1</x:v>
      </x:c>
      <x:c r="AA25" s="14" t="str">
        <x:v>include</x:v>
      </x:c>
      <x:c r="AB25" s="14" t="str"/>
      <x:c r="AC25" s="14" t="str">
        <x:v>pKi</x:v>
      </x:c>
      <x:c r="AD25" s="14" t="str">
        <x:v>5.79</x:v>
      </x:c>
      <x:c r="AE25" s="14" t="str"/>
      <x:c r="AF25" s="14" t="str">
        <x:v>=</x:v>
      </x:c>
      <x:c r="AG25" s="14" t="str">
        <x:v>Ki</x:v>
      </x:c>
      <x:c r="AH25" s="15" t="n">
        <x:v>1621.81</x:v>
      </x:c>
      <x:c r="AI25" s="14" t="str">
        <x:v>nM</x:v>
      </x:c>
      <x:c r="AJ25" s="14" t="str">
        <x:v>=</x:v>
      </x:c>
      <x:c r="AK25" s="15" t="n">
        <x:v>5.79</x:v>
      </x:c>
      <x:c r="AL25" s="17" t="n">
        <x:v>0</x:v>
      </x:c>
      <x:c r="AM25" s="14" t="str"/>
      <x:c r="AN25" s="14" t="str"/>
      <x:c r="AO25" s="14" t="str">
        <x:v>https://www.ebi.ac.uk/chembl/api/data/activity/16670257.json</x:v>
      </x:c>
      <x:c r="AP25" s="14" t="str">
        <x:v>Cc1ncsc1-c1nnc(SCCCN2CCC3(CC3c3ccc(C(F)(F)F)cc3)C2)n1C</x:v>
      </x:c>
      <x:c r="AQ25" s="14" t="str">
        <x:v>c1ccc(C2CC23CCN(CCCSc2nnc(-c4cncs4)[nH]2)C3)cc1</x:v>
      </x:c>
      <x:c r="AR25" s="15" t="n">
        <x:v>493.6240000000002</x:v>
      </x:c>
      <x:c r="AS25" s="15" t="n">
        <x:v>5.627620000000006</x:v>
      </x:c>
      <x:c r="AT25" s="15" t="n">
        <x:v>46.84</x:v>
      </x:c>
      <x:c r="AU25" s="17" t="n">
        <x:v>0</x:v>
      </x:c>
      <x:c r="AV25" s="17" t="n">
        <x:v>6</x:v>
      </x:c>
      <x:c r="AW25" s="14" t="str">
        <x:v>train</x:v>
      </x:c>
      <x:c r="AX25" s="14" t="str">
        <x:v>source_reported_experimental_pKi</x:v>
      </x:c>
      <x:c r="AY25" s="15" t="n">
        <x:v>6.23004249197308</x:v>
      </x:c>
      <x:c r="AZ25" s="15" t="n">
        <x:v>6.149473684210526</x:v>
      </x:c>
      <x:c r="BA25" s="15" t="n">
        <x:v>-0.4400424919730801</x:v>
      </x:c>
      <x:c r="BB25" s="14" t="str">
        <x:v>False</x:v>
      </x:c>
      <x:c r="BC25" s="15" t="n">
        <x:v>1</x:v>
      </x:c>
    </x:row>
    <x:row r="26" ht="36" customHeight="1">
      <x:c r="A26" s="9" t="str">
        <x:v>YMMKVLDFUKHZTJ-UWJYYQICSA-N</x:v>
      </x:c>
      <x:c r="B26" s="9" t="str">
        <x:v>CHEMBL3895585</x:v>
      </x:c>
      <x:c r="C26" s="9" t="str">
        <x:v>CHEMBL3895585</x:v>
      </x:c>
      <x:c r="D26" s="9" t="str">
        <x:v>16670258</x:v>
      </x:c>
      <x:c r="E26" s="9" t="str">
        <x:v>16670258</x:v>
      </x:c>
      <x:c r="F26" s="9" t="str">
        <x:v>CHEMBL3855278</x:v>
      </x:c>
      <x:c r="G26" s="9" t="str">
        <x:v>CHEMBL217</x:v>
      </x:c>
      <x:c r="H26" s="9" t="str">
        <x:v>CHEMBL3853329</x:v>
      </x:c>
      <x:c r="I26" s="9" t="str">
        <x:v>Cn1c(SCCCN2CC[C@]3(C[C@H]3c3ccc(C(F)(F)F)cc3)C2)nnc1-c1nccs1</x:v>
      </x:c>
      <x:c r="J26" s="9" t="str">
        <x:v>Cn1c(SCCCN2CC[C@]3(C[C@H]3c3ccc(C(F)(F)F)cc3)C2)nnc1-c1nccs1</x:v>
      </x:c>
      <x:c r="K26" s="9" t="str">
        <x:v>source_reported_pKi</x:v>
      </x:c>
      <x:c r="L26" s="11" t="n">
        <x:v>6.33</x:v>
      </x:c>
      <x:c r="M26" s="11" t="n">
        <x:v>467.73514128719813</x:v>
      </x:c>
      <x:c r="N26" s="11" t="n">
        <x:v>467.74</x:v>
      </x:c>
      <x:c r="O26" s="11" t="n">
        <x:v>6.329995488683631</x:v>
      </x:c>
      <x:c r="P26" s="12" t="n">
        <x:v>-0.0000045113163693599745</x:v>
      </x:c>
      <x:c r="Q26" s="12" t="n">
        <x:v>0.0048587128018766634</x:v>
      </x:c>
      <x:c r="R26" s="11" t="n">
        <x:v>0.00501</x:v>
      </x:c>
      <x:c r="S26" s="9" t="str">
        <x:v>Cn1c(SCCCN2CC[C@]3(C[C@H]3c3ccc(C(F)(F)F)cc3)C2)nnc1-c1nccs1</x:v>
      </x:c>
      <x:c r="T26" s="9" t="str">
        <x:v>Cn1c(SCCCN2CC[C@]3(C[C@H]3c3ccc(C(F)(F)F)cc3)C2)nnc1-c1nccs1</x:v>
      </x:c>
      <x:c r="U26" s="9" t="str">
        <x:v>YMMKVLDFUKHZTJ-UWJYYQICSA-N</x:v>
      </x:c>
      <x:c r="V26" s="9" t="str">
        <x:v>Cn1c(SCCCN2CCC3(CC3c3ccc(C(F)(F)F)cc3)C2)nnc1-c1nccs1</x:v>
      </x:c>
      <x:c r="W26" s="9" t="str">
        <x:v>da8edb5b33e4d90c3f6aec243a3bff1fcafe26434a7eb4fe62fa45b4c05f0700</x:v>
      </x:c>
      <x:c r="X26" s="9" t="str">
        <x:v>c1ccc(C2CC23CCN(CCCSc2nnc(-c4nccs4)[nH]2)C3)cc1</x:v>
      </x:c>
      <x:c r="Y26" s="9" t="str">
        <x:v>False</x:v>
      </x:c>
      <x:c r="Z26" s="13" t="n">
        <x:v>1</x:v>
      </x:c>
      <x:c r="AA26" s="9" t="str">
        <x:v>include</x:v>
      </x:c>
      <x:c r="AB26" s="9" t="str"/>
      <x:c r="AC26" s="9" t="str">
        <x:v>pKi</x:v>
      </x:c>
      <x:c r="AD26" s="9" t="str">
        <x:v>6.33</x:v>
      </x:c>
      <x:c r="AE26" s="9" t="str"/>
      <x:c r="AF26" s="9" t="str">
        <x:v>=</x:v>
      </x:c>
      <x:c r="AG26" s="9" t="str">
        <x:v>Ki</x:v>
      </x:c>
      <x:c r="AH26" s="11" t="n">
        <x:v>467.74</x:v>
      </x:c>
      <x:c r="AI26" s="9" t="str">
        <x:v>nM</x:v>
      </x:c>
      <x:c r="AJ26" s="9" t="str">
        <x:v>=</x:v>
      </x:c>
      <x:c r="AK26" s="11" t="n">
        <x:v>6.33</x:v>
      </x:c>
      <x:c r="AL26" s="13" t="n">
        <x:v>0</x:v>
      </x:c>
      <x:c r="AM26" s="9" t="str"/>
      <x:c r="AN26" s="9" t="str"/>
      <x:c r="AO26" s="9" t="str">
        <x:v>https://www.ebi.ac.uk/chembl/api/data/activity/16670258.json</x:v>
      </x:c>
      <x:c r="AP26" s="9" t="str">
        <x:v>Cn1c(SCCCN2CCC3(CC3c3ccc(C(F)(F)F)cc3)C2)nnc1-c1nccs1</x:v>
      </x:c>
      <x:c r="AQ26" s="9" t="str">
        <x:v>c1ccc(C2CC23CCN(CCCSc2nnc(-c4nccs4)[nH]2)C3)cc1</x:v>
      </x:c>
      <x:c r="AR26" s="11" t="n">
        <x:v>479.5970000000001</x:v>
      </x:c>
      <x:c r="AS26" s="11" t="n">
        <x:v>5.319200000000005</x:v>
      </x:c>
      <x:c r="AT26" s="11" t="n">
        <x:v>46.84</x:v>
      </x:c>
      <x:c r="AU26" s="13" t="n">
        <x:v>0</x:v>
      </x:c>
      <x:c r="AV26" s="13" t="n">
        <x:v>6</x:v>
      </x:c>
      <x:c r="AW26" s="9" t="str">
        <x:v>train</x:v>
      </x:c>
      <x:c r="AX26" s="9" t="str">
        <x:v>source_reported_experimental_pKi</x:v>
      </x:c>
      <x:c r="AY26" s="11" t="n">
        <x:v>6.205800241789347</x:v>
      </x:c>
      <x:c r="AZ26" s="11" t="n">
        <x:v>6.149473684210526</x:v>
      </x:c>
      <x:c r="BA26" s="11" t="n">
        <x:v>0.12419975821065332</x:v>
      </x:c>
      <x:c r="BB26" s="9" t="str">
        <x:v>False</x:v>
      </x:c>
      <x:c r="BC26" s="11" t="n">
        <x:v>1</x:v>
      </x:c>
    </x:row>
    <x:row r="27" ht="36" customHeight="1">
      <x:c r="A27" s="14" t="str">
        <x:v>YMMKVLDFUKHZTJ-UTKZUKDTSA-N</x:v>
      </x:c>
      <x:c r="B27" s="14" t="str">
        <x:v>CHEMBL3914556</x:v>
      </x:c>
      <x:c r="C27" s="14" t="str">
        <x:v>CHEMBL3914556</x:v>
      </x:c>
      <x:c r="D27" s="14" t="str">
        <x:v>16670259</x:v>
      </x:c>
      <x:c r="E27" s="14" t="str">
        <x:v>16670259</x:v>
      </x:c>
      <x:c r="F27" s="14" t="str">
        <x:v>CHEMBL3855278</x:v>
      </x:c>
      <x:c r="G27" s="14" t="str">
        <x:v>CHEMBL217</x:v>
      </x:c>
      <x:c r="H27" s="14" t="str">
        <x:v>CHEMBL3853329</x:v>
      </x:c>
      <x:c r="I27" s="14" t="str">
        <x:v>Cn1c(SCCCN2CC[C@]3(C[C@@H]3c3ccc(C(F)(F)F)cc3)C2)nnc1-c1nccs1</x:v>
      </x:c>
      <x:c r="J27" s="14" t="str">
        <x:v>Cn1c(SCCCN2CC[C@]3(C[C@@H]3c3ccc(C(F)(F)F)cc3)C2)nnc1-c1nccs1</x:v>
      </x:c>
      <x:c r="K27" s="14" t="str">
        <x:v>source_reported_pKi</x:v>
      </x:c>
      <x:c r="L27" s="15" t="n">
        <x:v>6.37</x:v>
      </x:c>
      <x:c r="M27" s="15" t="n">
        <x:v>426.57951880159254</x:v>
      </x:c>
      <x:c r="N27" s="15" t="n">
        <x:v>426.58</x:v>
      </x:c>
      <x:c r="O27" s="15" t="n">
        <x:v>6.369999510099088</x:v>
      </x:c>
      <x:c r="P27" s="16" t="n">
        <x:v>-4.899009118375375e-7</x:v>
      </x:c>
      <x:c r="Q27" s="16" t="n">
        <x:v>0.0004811984074422071</x:v>
      </x:c>
      <x:c r="R27" s="15" t="n">
        <x:v>0.00501</x:v>
      </x:c>
      <x:c r="S27" s="14" t="str">
        <x:v>Cn1c(SCCCN2CC[C@]3(C[C@@H]3c3ccc(C(F)(F)F)cc3)C2)nnc1-c1nccs1</x:v>
      </x:c>
      <x:c r="T27" s="14" t="str">
        <x:v>Cn1c(SCCCN2CC[C@]3(C[C@@H]3c3ccc(C(F)(F)F)cc3)C2)nnc1-c1nccs1</x:v>
      </x:c>
      <x:c r="U27" s="14" t="str">
        <x:v>YMMKVLDFUKHZTJ-UTKZUKDTSA-N</x:v>
      </x:c>
      <x:c r="V27" s="14" t="str">
        <x:v>Cn1c(SCCCN2CCC3(CC3c3ccc(C(F)(F)F)cc3)C2)nnc1-c1nccs1</x:v>
      </x:c>
      <x:c r="W27" s="14" t="str">
        <x:v>da8edb5b33e4d90c3f6aec243a3bff1fcafe26434a7eb4fe62fa45b4c05f0700</x:v>
      </x:c>
      <x:c r="X27" s="14" t="str">
        <x:v>c1ccc(C2CC23CCN(CCCSc2nnc(-c4nccs4)[nH]2)C3)cc1</x:v>
      </x:c>
      <x:c r="Y27" s="14" t="str">
        <x:v>False</x:v>
      </x:c>
      <x:c r="Z27" s="17" t="n">
        <x:v>1</x:v>
      </x:c>
      <x:c r="AA27" s="14" t="str">
        <x:v>include</x:v>
      </x:c>
      <x:c r="AB27" s="14" t="str"/>
      <x:c r="AC27" s="14" t="str">
        <x:v>pKi</x:v>
      </x:c>
      <x:c r="AD27" s="14" t="str">
        <x:v>6.37</x:v>
      </x:c>
      <x:c r="AE27" s="14" t="str"/>
      <x:c r="AF27" s="14" t="str">
        <x:v>=</x:v>
      </x:c>
      <x:c r="AG27" s="14" t="str">
        <x:v>Ki</x:v>
      </x:c>
      <x:c r="AH27" s="15" t="n">
        <x:v>426.58</x:v>
      </x:c>
      <x:c r="AI27" s="14" t="str">
        <x:v>nM</x:v>
      </x:c>
      <x:c r="AJ27" s="14" t="str">
        <x:v>=</x:v>
      </x:c>
      <x:c r="AK27" s="15" t="n">
        <x:v>6.37</x:v>
      </x:c>
      <x:c r="AL27" s="17" t="n">
        <x:v>0</x:v>
      </x:c>
      <x:c r="AM27" s="14" t="str"/>
      <x:c r="AN27" s="14" t="str"/>
      <x:c r="AO27" s="14" t="str">
        <x:v>https://www.ebi.ac.uk/chembl/api/data/activity/16670259.json</x:v>
      </x:c>
      <x:c r="AP27" s="14" t="str">
        <x:v>Cn1c(SCCCN2CCC3(CC3c3ccc(C(F)(F)F)cc3)C2)nnc1-c1nccs1</x:v>
      </x:c>
      <x:c r="AQ27" s="14" t="str">
        <x:v>c1ccc(C2CC23CCN(CCCSc2nnc(-c4nccs4)[nH]2)C3)cc1</x:v>
      </x:c>
      <x:c r="AR27" s="15" t="n">
        <x:v>479.5970000000001</x:v>
      </x:c>
      <x:c r="AS27" s="15" t="n">
        <x:v>5.319200000000005</x:v>
      </x:c>
      <x:c r="AT27" s="15" t="n">
        <x:v>46.84</x:v>
      </x:c>
      <x:c r="AU27" s="17" t="n">
        <x:v>0</x:v>
      </x:c>
      <x:c r="AV27" s="17" t="n">
        <x:v>6</x:v>
      </x:c>
      <x:c r="AW27" s="14" t="str">
        <x:v>train</x:v>
      </x:c>
      <x:c r="AX27" s="14" t="str">
        <x:v>source_reported_experimental_pKi</x:v>
      </x:c>
      <x:c r="AY27" s="15" t="n">
        <x:v>6.205800241789347</x:v>
      </x:c>
      <x:c r="AZ27" s="15" t="n">
        <x:v>6.149473684210526</x:v>
      </x:c>
      <x:c r="BA27" s="15" t="n">
        <x:v>0.16419975821065336</x:v>
      </x:c>
      <x:c r="BB27" s="14" t="str">
        <x:v>False</x:v>
      </x:c>
      <x:c r="BC27" s="15" t="n">
        <x:v>1</x:v>
      </x:c>
    </x:row>
    <x:row r="28" ht="36" customHeight="1">
      <x:c r="A28" s="9" t="str">
        <x:v>KDMBMLINAPXLCW-JXFKEZNVSA-N</x:v>
      </x:c>
      <x:c r="B28" s="9" t="str">
        <x:v>CHEMBL3984387</x:v>
      </x:c>
      <x:c r="C28" s="9" t="str">
        <x:v>CHEMBL3984387</x:v>
      </x:c>
      <x:c r="D28" s="9" t="str">
        <x:v>16670260</x:v>
      </x:c>
      <x:c r="E28" s="9" t="str">
        <x:v>16670260</x:v>
      </x:c>
      <x:c r="F28" s="9" t="str">
        <x:v>CHEMBL3855278</x:v>
      </x:c>
      <x:c r="G28" s="9" t="str">
        <x:v>CHEMBL217</x:v>
      </x:c>
      <x:c r="H28" s="9" t="str">
        <x:v>CHEMBL3853329</x:v>
      </x:c>
      <x:c r="I28" s="9" t="str">
        <x:v>Cn1c(SCCCN2CC[C@]3(C[C@H]3c3ccc(C(F)(F)F)cc3)C2)nnc1-c1csnn1</x:v>
      </x:c>
      <x:c r="J28" s="9" t="str">
        <x:v>Cn1c(SCCCN2CC[C@]3(C[C@H]3c3ccc(C(F)(F)F)cc3)C2)nnc1-c1csnn1</x:v>
      </x:c>
      <x:c r="K28" s="9" t="str">
        <x:v>source_reported_pKi</x:v>
      </x:c>
      <x:c r="L28" s="11" t="n">
        <x:v>6.93</x:v>
      </x:c>
      <x:c r="M28" s="11" t="n">
        <x:v>117.48975549395303</x:v>
      </x:c>
      <x:c r="N28" s="11" t="n">
        <x:v>117.49</x:v>
      </x:c>
      <x:c r="O28" s="11" t="n">
        <x:v>6.929999096197655</x:v>
      </x:c>
      <x:c r="P28" s="12" t="n">
        <x:v>-9.038023449647881e-7</x:v>
      </x:c>
      <x:c r="Q28" s="12" t="n">
        <x:v>0.0002445060469682403</x:v>
      </x:c>
      <x:c r="R28" s="11" t="n">
        <x:v>0.00501</x:v>
      </x:c>
      <x:c r="S28" s="9" t="str">
        <x:v>Cn1c(SCCCN2CC[C@]3(C[C@H]3c3ccc(C(F)(F)F)cc3)C2)nnc1-c1csnn1</x:v>
      </x:c>
      <x:c r="T28" s="9" t="str">
        <x:v>Cn1c(SCCCN2CC[C@]3(C[C@H]3c3ccc(C(F)(F)F)cc3)C2)nnc1-c1csnn1</x:v>
      </x:c>
      <x:c r="U28" s="9" t="str">
        <x:v>KDMBMLINAPXLCW-JXFKEZNVSA-N</x:v>
      </x:c>
      <x:c r="V28" s="9" t="str">
        <x:v>Cn1c(SCCCN2CCC3(CC3c3ccc(C(F)(F)F)cc3)C2)nnc1-c1csnn1</x:v>
      </x:c>
      <x:c r="W28" s="9" t="str">
        <x:v>da9d442a1c5a36ff02ea697bd698ae7d2efd2ce5f010ac4715e4baf981cb464b</x:v>
      </x:c>
      <x:c r="X28" s="9" t="str">
        <x:v>c1ccc(C2CC23CCN(CCCSc2nnc(-c4csnn4)[nH]2)C3)cc1</x:v>
      </x:c>
      <x:c r="Y28" s="9" t="str">
        <x:v>False</x:v>
      </x:c>
      <x:c r="Z28" s="13" t="n">
        <x:v>1</x:v>
      </x:c>
      <x:c r="AA28" s="9" t="str">
        <x:v>include</x:v>
      </x:c>
      <x:c r="AB28" s="9" t="str"/>
      <x:c r="AC28" s="9" t="str">
        <x:v>pKi</x:v>
      </x:c>
      <x:c r="AD28" s="9" t="str">
        <x:v>6.93</x:v>
      </x:c>
      <x:c r="AE28" s="9" t="str"/>
      <x:c r="AF28" s="9" t="str">
        <x:v>=</x:v>
      </x:c>
      <x:c r="AG28" s="9" t="str">
        <x:v>Ki</x:v>
      </x:c>
      <x:c r="AH28" s="11" t="n">
        <x:v>117.49</x:v>
      </x:c>
      <x:c r="AI28" s="9" t="str">
        <x:v>nM</x:v>
      </x:c>
      <x:c r="AJ28" s="9" t="str">
        <x:v>=</x:v>
      </x:c>
      <x:c r="AK28" s="11" t="n">
        <x:v>6.93</x:v>
      </x:c>
      <x:c r="AL28" s="13" t="n">
        <x:v>0</x:v>
      </x:c>
      <x:c r="AM28" s="9" t="str"/>
      <x:c r="AN28" s="9" t="str"/>
      <x:c r="AO28" s="9" t="str">
        <x:v>https://www.ebi.ac.uk/chembl/api/data/activity/16670260.json</x:v>
      </x:c>
      <x:c r="AP28" s="9" t="str">
        <x:v>Cn1c(SCCCN2CCC3(CC3c3ccc(C(F)(F)F)cc3)C2)nnc1-c1csnn1</x:v>
      </x:c>
      <x:c r="AQ28" s="9" t="str">
        <x:v>c1ccc(C2CC23CCN(CCCSc2nnc(-c4csnn4)[nH]2)C3)cc1</x:v>
      </x:c>
      <x:c r="AR28" s="11" t="n">
        <x:v>480.5850000000001</x:v>
      </x:c>
      <x:c r="AS28" s="11" t="n">
        <x:v>4.714200000000004</x:v>
      </x:c>
      <x:c r="AT28" s="11" t="n">
        <x:v>59.730000000000004</x:v>
      </x:c>
      <x:c r="AU28" s="13" t="n">
        <x:v>0</x:v>
      </x:c>
      <x:c r="AV28" s="13" t="n">
        <x:v>7</x:v>
      </x:c>
      <x:c r="AW28" s="9" t="str">
        <x:v>train</x:v>
      </x:c>
      <x:c r="AX28" s="9" t="str">
        <x:v>source_reported_experimental_pKi</x:v>
      </x:c>
      <x:c r="AY28" s="11" t="n">
        <x:v>6.214281743724101</x:v>
      </x:c>
      <x:c r="AZ28" s="11" t="n">
        <x:v>6.149473684210526</x:v>
      </x:c>
      <x:c r="BA28" s="11" t="n">
        <x:v>0.715718256275899</x:v>
      </x:c>
      <x:c r="BB28" s="9" t="str">
        <x:v>False</x:v>
      </x:c>
      <x:c r="BC28" s="11" t="n">
        <x:v>1</x:v>
      </x:c>
    </x:row>
    <x:row r="29" ht="36" customHeight="1">
      <x:c r="A29" s="14" t="str">
        <x:v>KDMBMLINAPXLCW-UZLBHIALSA-N</x:v>
      </x:c>
      <x:c r="B29" s="14" t="str">
        <x:v>CHEMBL3905582</x:v>
      </x:c>
      <x:c r="C29" s="14" t="str">
        <x:v>CHEMBL3905582</x:v>
      </x:c>
      <x:c r="D29" s="14" t="str">
        <x:v>16670261</x:v>
      </x:c>
      <x:c r="E29" s="14" t="str">
        <x:v>16670261</x:v>
      </x:c>
      <x:c r="F29" s="14" t="str">
        <x:v>CHEMBL3855278</x:v>
      </x:c>
      <x:c r="G29" s="14" t="str">
        <x:v>CHEMBL217</x:v>
      </x:c>
      <x:c r="H29" s="14" t="str">
        <x:v>CHEMBL3853329</x:v>
      </x:c>
      <x:c r="I29" s="14" t="str">
        <x:v>Cn1c(SCCCN2CC[C@]3(C[C@@H]3c3ccc(C(F)(F)F)cc3)C2)nnc1-c1csnn1</x:v>
      </x:c>
      <x:c r="J29" s="14" t="str">
        <x:v>Cn1c(SCCCN2CC[C@]3(C[C@@H]3c3ccc(C(F)(F)F)cc3)C2)nnc1-c1csnn1</x:v>
      </x:c>
      <x:c r="K29" s="14" t="str">
        <x:v>source_reported_pKi</x:v>
      </x:c>
      <x:c r="L29" s="15" t="n">
        <x:v>6.89</x:v>
      </x:c>
      <x:c r="M29" s="15" t="n">
        <x:v>128.82495516931348</x:v>
      </x:c>
      <x:c r="N29" s="15" t="n">
        <x:v>128.82</x:v>
      </x:c>
      <x:c r="O29" s="15" t="n">
        <x:v>6.890016705180107</x:v>
      </x:c>
      <x:c r="P29" s="16" t="n">
        <x:v>0.00001670518010765676</x:v>
      </x:c>
      <x:c r="Q29" s="16" t="n">
        <x:v>-0.00495516931349016</x:v>
      </x:c>
      <x:c r="R29" s="15" t="n">
        <x:v>0.00501</x:v>
      </x:c>
      <x:c r="S29" s="14" t="str">
        <x:v>Cn1c(SCCCN2CC[C@]3(C[C@@H]3c3ccc(C(F)(F)F)cc3)C2)nnc1-c1csnn1</x:v>
      </x:c>
      <x:c r="T29" s="14" t="str">
        <x:v>Cn1c(SCCCN2CC[C@]3(C[C@@H]3c3ccc(C(F)(F)F)cc3)C2)nnc1-c1csnn1</x:v>
      </x:c>
      <x:c r="U29" s="14" t="str">
        <x:v>KDMBMLINAPXLCW-UZLBHIALSA-N</x:v>
      </x:c>
      <x:c r="V29" s="14" t="str">
        <x:v>Cn1c(SCCCN2CCC3(CC3c3ccc(C(F)(F)F)cc3)C2)nnc1-c1csnn1</x:v>
      </x:c>
      <x:c r="W29" s="14" t="str">
        <x:v>da9d442a1c5a36ff02ea697bd698ae7d2efd2ce5f010ac4715e4baf981cb464b</x:v>
      </x:c>
      <x:c r="X29" s="14" t="str">
        <x:v>c1ccc(C2CC23CCN(CCCSc2nnc(-c4csnn4)[nH]2)C3)cc1</x:v>
      </x:c>
      <x:c r="Y29" s="14" t="str">
        <x:v>False</x:v>
      </x:c>
      <x:c r="Z29" s="17" t="n">
        <x:v>1</x:v>
      </x:c>
      <x:c r="AA29" s="14" t="str">
        <x:v>include</x:v>
      </x:c>
      <x:c r="AB29" s="14" t="str"/>
      <x:c r="AC29" s="14" t="str">
        <x:v>pKi</x:v>
      </x:c>
      <x:c r="AD29" s="14" t="str">
        <x:v>6.89</x:v>
      </x:c>
      <x:c r="AE29" s="14" t="str"/>
      <x:c r="AF29" s="14" t="str">
        <x:v>=</x:v>
      </x:c>
      <x:c r="AG29" s="14" t="str">
        <x:v>Ki</x:v>
      </x:c>
      <x:c r="AH29" s="15" t="n">
        <x:v>128.82</x:v>
      </x:c>
      <x:c r="AI29" s="14" t="str">
        <x:v>nM</x:v>
      </x:c>
      <x:c r="AJ29" s="14" t="str">
        <x:v>=</x:v>
      </x:c>
      <x:c r="AK29" s="15" t="n">
        <x:v>6.89</x:v>
      </x:c>
      <x:c r="AL29" s="17" t="n">
        <x:v>0</x:v>
      </x:c>
      <x:c r="AM29" s="14" t="str"/>
      <x:c r="AN29" s="14" t="str"/>
      <x:c r="AO29" s="14" t="str">
        <x:v>https://www.ebi.ac.uk/chembl/api/data/activity/16670261.json</x:v>
      </x:c>
      <x:c r="AP29" s="14" t="str">
        <x:v>Cn1c(SCCCN2CCC3(CC3c3ccc(C(F)(F)F)cc3)C2)nnc1-c1csnn1</x:v>
      </x:c>
      <x:c r="AQ29" s="14" t="str">
        <x:v>c1ccc(C2CC23CCN(CCCSc2nnc(-c4csnn4)[nH]2)C3)cc1</x:v>
      </x:c>
      <x:c r="AR29" s="15" t="n">
        <x:v>480.5850000000001</x:v>
      </x:c>
      <x:c r="AS29" s="15" t="n">
        <x:v>4.714200000000004</x:v>
      </x:c>
      <x:c r="AT29" s="15" t="n">
        <x:v>59.730000000000004</x:v>
      </x:c>
      <x:c r="AU29" s="17" t="n">
        <x:v>0</x:v>
      </x:c>
      <x:c r="AV29" s="17" t="n">
        <x:v>7</x:v>
      </x:c>
      <x:c r="AW29" s="14" t="str">
        <x:v>train</x:v>
      </x:c>
      <x:c r="AX29" s="14" t="str">
        <x:v>source_reported_experimental_pKi</x:v>
      </x:c>
      <x:c r="AY29" s="15" t="n">
        <x:v>6.214281743724101</x:v>
      </x:c>
      <x:c r="AZ29" s="15" t="n">
        <x:v>6.149473684210526</x:v>
      </x:c>
      <x:c r="BA29" s="15" t="n">
        <x:v>0.675718256275899</x:v>
      </x:c>
      <x:c r="BB29" s="14" t="str">
        <x:v>False</x:v>
      </x:c>
      <x:c r="BC29" s="15" t="n">
        <x:v>1</x:v>
      </x:c>
    </x:row>
    <x:row r="30" ht="36" customHeight="1">
      <x:c r="A30" s="9" t="str">
        <x:v>ZWINHZKEJACBFT-GCJKJVERSA-N</x:v>
      </x:c>
      <x:c r="B30" s="9" t="str">
        <x:v>CHEMBL3976319</x:v>
      </x:c>
      <x:c r="C30" s="9" t="str">
        <x:v>CHEMBL3976319</x:v>
      </x:c>
      <x:c r="D30" s="9" t="str">
        <x:v>16670262</x:v>
      </x:c>
      <x:c r="E30" s="9" t="str">
        <x:v>16670262</x:v>
      </x:c>
      <x:c r="F30" s="9" t="str">
        <x:v>CHEMBL3855278</x:v>
      </x:c>
      <x:c r="G30" s="9" t="str">
        <x:v>CHEMBL217</x:v>
      </x:c>
      <x:c r="H30" s="9" t="str">
        <x:v>CHEMBL3853329</x:v>
      </x:c>
      <x:c r="I30" s="9" t="str">
        <x:v>Cn1c(SCCCN2CC[C@]3(C[C@@H]3c3ccc(C(F)(F)F)cc3)C2)nnc1-c1cccs1</x:v>
      </x:c>
      <x:c r="J30" s="9" t="str">
        <x:v>Cn1c(SCCCN2CC[C@]3(C[C@@H]3c3ccc(C(F)(F)F)cc3)C2)nnc1-c1cccs1</x:v>
      </x:c>
      <x:c r="K30" s="9" t="str">
        <x:v>source_reported_pKi</x:v>
      </x:c>
      <x:c r="L30" s="11" t="n">
        <x:v>6.46</x:v>
      </x:c>
      <x:c r="M30" s="11" t="n">
        <x:v>346.73685045253166</x:v>
      </x:c>
      <x:c r="N30" s="11" t="n">
        <x:v>346.74</x:v>
      </x:c>
      <x:c r="O30" s="11" t="n">
        <x:v>6.459996055149974</x:v>
      </x:c>
      <x:c r="P30" s="12" t="n">
        <x:v>-0.000003944850026194047</x:v>
      </x:c>
      <x:c r="Q30" s="12" t="n">
        <x:v>0.0031495474683538305</x:v>
      </x:c>
      <x:c r="R30" s="11" t="n">
        <x:v>0.00501</x:v>
      </x:c>
      <x:c r="S30" s="9" t="str">
        <x:v>Cn1c(SCCCN2CC[C@]3(C[C@@H]3c3ccc(C(F)(F)F)cc3)C2)nnc1-c1cccs1</x:v>
      </x:c>
      <x:c r="T30" s="9" t="str">
        <x:v>Cn1c(SCCCN2CC[C@]3(C[C@@H]3c3ccc(C(F)(F)F)cc3)C2)nnc1-c1cccs1</x:v>
      </x:c>
      <x:c r="U30" s="9" t="str">
        <x:v>ZWINHZKEJACBFT-GCJKJVERSA-N</x:v>
      </x:c>
      <x:c r="V30" s="9" t="str">
        <x:v>Cn1c(SCCCN2CCC3(CC3c3ccc(C(F)(F)F)cc3)C2)nnc1-c1cccs1</x:v>
      </x:c>
      <x:c r="W30" s="9" t="str">
        <x:v>9bb34131081e1fd76aad54c44ebdec1acb17d1e4c9a76cc731007a6ad6437833</x:v>
      </x:c>
      <x:c r="X30" s="9" t="str">
        <x:v>c1ccc(C2CC23CCN(CCCSc2nnc(-c4cccs4)[nH]2)C3)cc1</x:v>
      </x:c>
      <x:c r="Y30" s="9" t="str">
        <x:v>False</x:v>
      </x:c>
      <x:c r="Z30" s="13" t="n">
        <x:v>1</x:v>
      </x:c>
      <x:c r="AA30" s="9" t="str">
        <x:v>include</x:v>
      </x:c>
      <x:c r="AB30" s="9" t="str"/>
      <x:c r="AC30" s="9" t="str">
        <x:v>pKi</x:v>
      </x:c>
      <x:c r="AD30" s="9" t="str">
        <x:v>6.46</x:v>
      </x:c>
      <x:c r="AE30" s="9" t="str"/>
      <x:c r="AF30" s="9" t="str">
        <x:v>=</x:v>
      </x:c>
      <x:c r="AG30" s="9" t="str">
        <x:v>Ki</x:v>
      </x:c>
      <x:c r="AH30" s="11" t="n">
        <x:v>346.74</x:v>
      </x:c>
      <x:c r="AI30" s="9" t="str">
        <x:v>nM</x:v>
      </x:c>
      <x:c r="AJ30" s="9" t="str">
        <x:v>=</x:v>
      </x:c>
      <x:c r="AK30" s="11" t="n">
        <x:v>6.46</x:v>
      </x:c>
      <x:c r="AL30" s="13" t="n">
        <x:v>0</x:v>
      </x:c>
      <x:c r="AM30" s="9" t="str"/>
      <x:c r="AN30" s="9" t="str"/>
      <x:c r="AO30" s="9" t="str">
        <x:v>https://www.ebi.ac.uk/chembl/api/data/activity/16670262.json</x:v>
      </x:c>
      <x:c r="AP30" s="9" t="str">
        <x:v>Cn1c(SCCCN2CCC3(CC3c3ccc(C(F)(F)F)cc3)C2)nnc1-c1cccs1</x:v>
      </x:c>
      <x:c r="AQ30" s="9" t="str">
        <x:v>c1ccc(C2CC23CCN(CCCSc2nnc(-c4cccs4)[nH]2)C3)cc1</x:v>
      </x:c>
      <x:c r="AR30" s="11" t="n">
        <x:v>478.6090000000001</x:v>
      </x:c>
      <x:c r="AS30" s="11" t="n">
        <x:v>5.924200000000005</x:v>
      </x:c>
      <x:c r="AT30" s="11" t="n">
        <x:v>33.95</x:v>
      </x:c>
      <x:c r="AU30" s="13" t="n">
        <x:v>0</x:v>
      </x:c>
      <x:c r="AV30" s="13" t="n">
        <x:v>5</x:v>
      </x:c>
      <x:c r="AW30" s="9" t="str">
        <x:v>test</x:v>
      </x:c>
      <x:c r="AX30" s="9" t="str">
        <x:v>source_reported_experimental_pKi</x:v>
      </x:c>
      <x:c r="AY30" s="11" t="n">
        <x:v>6.197318739854593</x:v>
      </x:c>
      <x:c r="AZ30" s="11" t="n">
        <x:v>6.149473684210526</x:v>
      </x:c>
      <x:c r="BA30" s="11" t="n">
        <x:v>0.26268126014540716</x:v>
      </x:c>
      <x:c r="BB30" s="9" t="str">
        <x:v>False</x:v>
      </x:c>
      <x:c r="BC30" s="11" t="n">
        <x:v>0.7746478873239436</x:v>
      </x:c>
    </x:row>
    <x:row r="31" ht="36" customHeight="1">
      <x:c r="A31" s="14" t="str">
        <x:v>SPXBIHAHCCAKBB-KNQAVFIVSA-N</x:v>
      </x:c>
      <x:c r="B31" s="14" t="str">
        <x:v>CHEMBL3896638</x:v>
      </x:c>
      <x:c r="C31" s="14" t="str">
        <x:v>CHEMBL3896638</x:v>
      </x:c>
      <x:c r="D31" s="14" t="str">
        <x:v>16670263</x:v>
      </x:c>
      <x:c r="E31" s="14" t="str">
        <x:v>16670263</x:v>
      </x:c>
      <x:c r="F31" s="14" t="str">
        <x:v>CHEMBL3855278</x:v>
      </x:c>
      <x:c r="G31" s="14" t="str">
        <x:v>CHEMBL217</x:v>
      </x:c>
      <x:c r="H31" s="14" t="str">
        <x:v>CHEMBL3853329</x:v>
      </x:c>
      <x:c r="I31" s="14" t="str">
        <x:v>Cn1c(SCCCN2CC[C@]3(C[C@@H]3c3ccc(C(F)(F)F)cc3)C2)nnc1-c1ccsc1</x:v>
      </x:c>
      <x:c r="J31" s="14" t="str">
        <x:v>Cn1c(SCCCN2CC[C@]3(C[C@@H]3c3ccc(C(F)(F)F)cc3)C2)nnc1-c1ccsc1</x:v>
      </x:c>
      <x:c r="K31" s="14" t="str">
        <x:v>source_reported_pKi</x:v>
      </x:c>
      <x:c r="L31" s="15" t="n">
        <x:v>6.48</x:v>
      </x:c>
      <x:c r="M31" s="15" t="n">
        <x:v>331.13112148259074</x:v>
      </x:c>
      <x:c r="N31" s="15" t="n">
        <x:v>331.13</x:v>
      </x:c>
      <x:c r="O31" s="15" t="n">
        <x:v>6.480001470881152</x:v>
      </x:c>
      <x:c r="P31" s="16" t="n">
        <x:v>0.0000014708811519881237</x:v>
      </x:c>
      <x:c r="Q31" s="16" t="n">
        <x:v>-0.0011214825907472914</x:v>
      </x:c>
      <x:c r="R31" s="15" t="n">
        <x:v>0.00501</x:v>
      </x:c>
      <x:c r="S31" s="14" t="str">
        <x:v>Cn1c(SCCCN2CC[C@]3(C[C@@H]3c3ccc(C(F)(F)F)cc3)C2)nnc1-c1ccsc1</x:v>
      </x:c>
      <x:c r="T31" s="14" t="str">
        <x:v>Cn1c(SCCCN2CC[C@]3(C[C@@H]3c3ccc(C(F)(F)F)cc3)C2)nnc1-c1ccsc1</x:v>
      </x:c>
      <x:c r="U31" s="14" t="str">
        <x:v>SPXBIHAHCCAKBB-KNQAVFIVSA-N</x:v>
      </x:c>
      <x:c r="V31" s="14" t="str">
        <x:v>Cn1c(SCCCN2CCC3(CC3c3ccc(C(F)(F)F)cc3)C2)nnc1-c1ccsc1</x:v>
      </x:c>
      <x:c r="W31" s="14" t="str">
        <x:v>a336df216fd140810fe569d838fe0d18d2c2eb0376748da1fd75ac2718c59b64</x:v>
      </x:c>
      <x:c r="X31" s="14" t="str">
        <x:v>c1ccc(C2CC23CCN(CCCSc2nnc(-c4ccsc4)[nH]2)C3)cc1</x:v>
      </x:c>
      <x:c r="Y31" s="14" t="str">
        <x:v>False</x:v>
      </x:c>
      <x:c r="Z31" s="17" t="n">
        <x:v>1</x:v>
      </x:c>
      <x:c r="AA31" s="14" t="str">
        <x:v>include</x:v>
      </x:c>
      <x:c r="AB31" s="14" t="str"/>
      <x:c r="AC31" s="14" t="str">
        <x:v>pKi</x:v>
      </x:c>
      <x:c r="AD31" s="14" t="str">
        <x:v>6.48</x:v>
      </x:c>
      <x:c r="AE31" s="14" t="str"/>
      <x:c r="AF31" s="14" t="str">
        <x:v>=</x:v>
      </x:c>
      <x:c r="AG31" s="14" t="str">
        <x:v>Ki</x:v>
      </x:c>
      <x:c r="AH31" s="15" t="n">
        <x:v>331.13</x:v>
      </x:c>
      <x:c r="AI31" s="14" t="str">
        <x:v>nM</x:v>
      </x:c>
      <x:c r="AJ31" s="14" t="str">
        <x:v>=</x:v>
      </x:c>
      <x:c r="AK31" s="15" t="n">
        <x:v>6.48</x:v>
      </x:c>
      <x:c r="AL31" s="17" t="n">
        <x:v>0</x:v>
      </x:c>
      <x:c r="AM31" s="14" t="str"/>
      <x:c r="AN31" s="14" t="str"/>
      <x:c r="AO31" s="14" t="str">
        <x:v>https://www.ebi.ac.uk/chembl/api/data/activity/16670263.json</x:v>
      </x:c>
      <x:c r="AP31" s="14" t="str">
        <x:v>Cn1c(SCCCN2CCC3(CC3c3ccc(C(F)(F)F)cc3)C2)nnc1-c1ccsc1</x:v>
      </x:c>
      <x:c r="AQ31" s="14" t="str">
        <x:v>c1ccc(C2CC23CCN(CCCSc2nnc(-c4ccsc4)[nH]2)C3)cc1</x:v>
      </x:c>
      <x:c r="AR31" s="15" t="n">
        <x:v>478.6090000000001</x:v>
      </x:c>
      <x:c r="AS31" s="15" t="n">
        <x:v>5.924200000000005</x:v>
      </x:c>
      <x:c r="AT31" s="15" t="n">
        <x:v>33.95</x:v>
      </x:c>
      <x:c r="AU31" s="17" t="n">
        <x:v>0</x:v>
      </x:c>
      <x:c r="AV31" s="17" t="n">
        <x:v>5</x:v>
      </x:c>
      <x:c r="AW31" s="14" t="str">
        <x:v>train</x:v>
      </x:c>
      <x:c r="AX31" s="14" t="str">
        <x:v>source_reported_experimental_pKi</x:v>
      </x:c>
      <x:c r="AY31" s="15" t="n">
        <x:v>6.197318739854593</x:v>
      </x:c>
      <x:c r="AZ31" s="15" t="n">
        <x:v>6.149473684210526</x:v>
      </x:c>
      <x:c r="BA31" s="15" t="n">
        <x:v>0.2826812601454076</x:v>
      </x:c>
      <x:c r="BB31" s="14" t="str">
        <x:v>False</x:v>
      </x:c>
      <x:c r="BC31" s="15" t="n">
        <x:v>0.8208955223880597</x:v>
      </x:c>
    </x:row>
    <x:row r="32" ht="36" customHeight="1">
      <x:c r="A32" s="9" t="str">
        <x:v>WPKZTODVTLZQPZ-GCJKJVERSA-N</x:v>
      </x:c>
      <x:c r="B32" s="9" t="str">
        <x:v>CHEMBL3967806</x:v>
      </x:c>
      <x:c r="C32" s="9" t="str">
        <x:v>CHEMBL3967806</x:v>
      </x:c>
      <x:c r="D32" s="9" t="str">
        <x:v>16670264</x:v>
      </x:c>
      <x:c r="E32" s="9" t="str">
        <x:v>16670264</x:v>
      </x:c>
      <x:c r="F32" s="9" t="str">
        <x:v>CHEMBL3855278</x:v>
      </x:c>
      <x:c r="G32" s="9" t="str">
        <x:v>CHEMBL217</x:v>
      </x:c>
      <x:c r="H32" s="9" t="str">
        <x:v>CHEMBL3853329</x:v>
      </x:c>
      <x:c r="I32" s="9" t="str">
        <x:v>Cn1c(SCCCN2CC[C@]3(C[C@@H]3c3ccc(C(F)(F)F)cc3)C2)nnc1-c1ccco1</x:v>
      </x:c>
      <x:c r="J32" s="9" t="str">
        <x:v>Cn1c(SCCCN2CC[C@]3(C[C@@H]3c3ccc(C(F)(F)F)cc3)C2)nnc1-c1ccco1</x:v>
      </x:c>
      <x:c r="K32" s="9" t="str">
        <x:v>source_reported_pKi</x:v>
      </x:c>
      <x:c r="L32" s="11" t="n">
        <x:v>6.32</x:v>
      </x:c>
      <x:c r="M32" s="11" t="n">
        <x:v>478.630092322638</x:v>
      </x:c>
      <x:c r="N32" s="11" t="n">
        <x:v>478.63</x:v>
      </x:c>
      <x:c r="O32" s="11" t="n">
        <x:v>6.32000008377078</x:v>
      </x:c>
      <x:c r="P32" s="12" t="n">
        <x:v>8.377077964638602e-8</x:v>
      </x:c>
      <x:c r="Q32" s="12" t="n">
        <x:v>-0.00009232263801095542</x:v>
      </x:c>
      <x:c r="R32" s="11" t="n">
        <x:v>0.00501</x:v>
      </x:c>
      <x:c r="S32" s="9" t="str">
        <x:v>Cn1c(SCCCN2CC[C@]3(C[C@@H]3c3ccc(C(F)(F)F)cc3)C2)nnc1-c1ccco1</x:v>
      </x:c>
      <x:c r="T32" s="9" t="str">
        <x:v>Cn1c(SCCCN2CC[C@]3(C[C@@H]3c3ccc(C(F)(F)F)cc3)C2)nnc1-c1ccco1</x:v>
      </x:c>
      <x:c r="U32" s="9" t="str">
        <x:v>WPKZTODVTLZQPZ-GCJKJVERSA-N</x:v>
      </x:c>
      <x:c r="V32" s="9" t="str">
        <x:v>Cn1c(SCCCN2CCC3(CC3c3ccc(C(F)(F)F)cc3)C2)nnc1-c1ccco1</x:v>
      </x:c>
      <x:c r="W32" s="9" t="str">
        <x:v>38cc9e86830164cf92368e2dc2601f44e58fbdce170d844e9d909fee90e95e68</x:v>
      </x:c>
      <x:c r="X32" s="9" t="str">
        <x:v>c1ccc(C2CC23CCN(CCCSc2nnc(-c4ccco4)[nH]2)C3)cc1</x:v>
      </x:c>
      <x:c r="Y32" s="9" t="str">
        <x:v>False</x:v>
      </x:c>
      <x:c r="Z32" s="13" t="n">
        <x:v>1</x:v>
      </x:c>
      <x:c r="AA32" s="9" t="str">
        <x:v>include</x:v>
      </x:c>
      <x:c r="AB32" s="9" t="str"/>
      <x:c r="AC32" s="9" t="str">
        <x:v>pKi</x:v>
      </x:c>
      <x:c r="AD32" s="9" t="str">
        <x:v>6.32</x:v>
      </x:c>
      <x:c r="AE32" s="9" t="str"/>
      <x:c r="AF32" s="9" t="str">
        <x:v>=</x:v>
      </x:c>
      <x:c r="AG32" s="9" t="str">
        <x:v>Ki</x:v>
      </x:c>
      <x:c r="AH32" s="11" t="n">
        <x:v>478.63</x:v>
      </x:c>
      <x:c r="AI32" s="9" t="str">
        <x:v>nM</x:v>
      </x:c>
      <x:c r="AJ32" s="9" t="str">
        <x:v>=</x:v>
      </x:c>
      <x:c r="AK32" s="11" t="n">
        <x:v>6.32</x:v>
      </x:c>
      <x:c r="AL32" s="13" t="n">
        <x:v>0</x:v>
      </x:c>
      <x:c r="AM32" s="9" t="str"/>
      <x:c r="AN32" s="9" t="str"/>
      <x:c r="AO32" s="9" t="str">
        <x:v>https://www.ebi.ac.uk/chembl/api/data/activity/16670264.json</x:v>
      </x:c>
      <x:c r="AP32" s="9" t="str">
        <x:v>Cn1c(SCCCN2CCC3(CC3c3ccc(C(F)(F)F)cc3)C2)nnc1-c1ccco1</x:v>
      </x:c>
      <x:c r="AQ32" s="9" t="str">
        <x:v>c1ccc(C2CC23CCN(CCCSc2nnc(-c4ccco4)[nH]2)C3)cc1</x:v>
      </x:c>
      <x:c r="AR32" s="11" t="n">
        <x:v>462.5410000000001</x:v>
      </x:c>
      <x:c r="AS32" s="11" t="n">
        <x:v>5.4557000000000055</x:v>
      </x:c>
      <x:c r="AT32" s="11" t="n">
        <x:v>47.09</x:v>
      </x:c>
      <x:c r="AU32" s="13" t="n">
        <x:v>0</x:v>
      </x:c>
      <x:c r="AV32" s="13" t="n">
        <x:v>5</x:v>
      </x:c>
      <x:c r="AW32" s="9" t="str">
        <x:v>train</x:v>
      </x:c>
      <x:c r="AX32" s="9" t="str">
        <x:v>source_reported_experimental_pKi</x:v>
      </x:c>
      <x:c r="AY32" s="11" t="n">
        <x:v>6.152422137590549</x:v>
      </x:c>
      <x:c r="AZ32" s="11" t="n">
        <x:v>6.149473684210526</x:v>
      </x:c>
      <x:c r="BA32" s="11" t="n">
        <x:v>0.16757786240945105</x:v>
      </x:c>
      <x:c r="BB32" s="9" t="str">
        <x:v>False</x:v>
      </x:c>
      <x:c r="BC32" s="11" t="n">
        <x:v>0.7746478873239436</x:v>
      </x:c>
    </x:row>
    <x:row r="33" ht="36" customHeight="1">
      <x:c r="A33" s="14" t="str">
        <x:v>VKQSAQSCKUZTCV-KNQAVFIVSA-N</x:v>
      </x:c>
      <x:c r="B33" s="14" t="str">
        <x:v>CHEMBL3985419</x:v>
      </x:c>
      <x:c r="C33" s="14" t="str">
        <x:v>CHEMBL3985419</x:v>
      </x:c>
      <x:c r="D33" s="14" t="str">
        <x:v>16670265</x:v>
      </x:c>
      <x:c r="E33" s="14" t="str">
        <x:v>16670265</x:v>
      </x:c>
      <x:c r="F33" s="14" t="str">
        <x:v>CHEMBL3855278</x:v>
      </x:c>
      <x:c r="G33" s="14" t="str">
        <x:v>CHEMBL217</x:v>
      </x:c>
      <x:c r="H33" s="14" t="str">
        <x:v>CHEMBL3853329</x:v>
      </x:c>
      <x:c r="I33" s="14" t="str">
        <x:v>Cn1c(SCCCN2CC[C@]3(C[C@@H]3c3ccc(C(F)(F)F)cc3)C2)nnc1-c1ccoc1</x:v>
      </x:c>
      <x:c r="J33" s="14" t="str">
        <x:v>Cn1c(SCCCN2CC[C@]3(C[C@@H]3c3ccc(C(F)(F)F)cc3)C2)nnc1-c1ccoc1</x:v>
      </x:c>
      <x:c r="K33" s="14" t="str">
        <x:v>source_reported_pKi</x:v>
      </x:c>
      <x:c r="L33" s="15" t="n">
        <x:v>6.3</x:v>
      </x:c>
      <x:c r="M33" s="15" t="n">
        <x:v>501.18723362727246</x:v>
      </x:c>
      <x:c r="N33" s="15" t="n">
        <x:v>501.19</x:v>
      </x:c>
      <x:c r="O33" s="15" t="n">
        <x:v>6.299997602857746</x:v>
      </x:c>
      <x:c r="P33" s="16" t="n">
        <x:v>-0.000002397142253585116</x:v>
      </x:c>
      <x:c r="Q33" s="16" t="n">
        <x:v>0.0027663727275353267</x:v>
      </x:c>
      <x:c r="R33" s="15" t="n">
        <x:v>0.00501</x:v>
      </x:c>
      <x:c r="S33" s="14" t="str">
        <x:v>Cn1c(SCCCN2CC[C@]3(C[C@@H]3c3ccc(C(F)(F)F)cc3)C2)nnc1-c1ccoc1</x:v>
      </x:c>
      <x:c r="T33" s="14" t="str">
        <x:v>Cn1c(SCCCN2CC[C@]3(C[C@@H]3c3ccc(C(F)(F)F)cc3)C2)nnc1-c1ccoc1</x:v>
      </x:c>
      <x:c r="U33" s="14" t="str">
        <x:v>VKQSAQSCKUZTCV-KNQAVFIVSA-N</x:v>
      </x:c>
      <x:c r="V33" s="14" t="str">
        <x:v>Cn1c(SCCCN2CCC3(CC3c3ccc(C(F)(F)F)cc3)C2)nnc1-c1ccoc1</x:v>
      </x:c>
      <x:c r="W33" s="14" t="str">
        <x:v>b589c072b35e32539259416a3d4258e40c6a8fe3479defa400007c42cda8e53f</x:v>
      </x:c>
      <x:c r="X33" s="14" t="str">
        <x:v>c1ccc(C2CC23CCN(CCCSc2nnc(-c4ccoc4)[nH]2)C3)cc1</x:v>
      </x:c>
      <x:c r="Y33" s="14" t="str">
        <x:v>False</x:v>
      </x:c>
      <x:c r="Z33" s="17" t="n">
        <x:v>1</x:v>
      </x:c>
      <x:c r="AA33" s="14" t="str">
        <x:v>include</x:v>
      </x:c>
      <x:c r="AB33" s="14" t="str"/>
      <x:c r="AC33" s="14" t="str">
        <x:v>pKi</x:v>
      </x:c>
      <x:c r="AD33" s="14" t="str">
        <x:v>6.3</x:v>
      </x:c>
      <x:c r="AE33" s="14" t="str"/>
      <x:c r="AF33" s="14" t="str">
        <x:v>=</x:v>
      </x:c>
      <x:c r="AG33" s="14" t="str">
        <x:v>Ki</x:v>
      </x:c>
      <x:c r="AH33" s="15" t="n">
        <x:v>501.19</x:v>
      </x:c>
      <x:c r="AI33" s="14" t="str">
        <x:v>nM</x:v>
      </x:c>
      <x:c r="AJ33" s="14" t="str">
        <x:v>=</x:v>
      </x:c>
      <x:c r="AK33" s="15" t="n">
        <x:v>6.3</x:v>
      </x:c>
      <x:c r="AL33" s="17" t="n">
        <x:v>0</x:v>
      </x:c>
      <x:c r="AM33" s="14" t="str"/>
      <x:c r="AN33" s="14" t="str"/>
      <x:c r="AO33" s="14" t="str">
        <x:v>https://www.ebi.ac.uk/chembl/api/data/activity/16670265.json</x:v>
      </x:c>
      <x:c r="AP33" s="14" t="str">
        <x:v>Cn1c(SCCCN2CCC3(CC3c3ccc(C(F)(F)F)cc3)C2)nnc1-c1ccoc1</x:v>
      </x:c>
      <x:c r="AQ33" s="14" t="str">
        <x:v>c1ccc(C2CC23CCN(CCCSc2nnc(-c4ccoc4)[nH]2)C3)cc1</x:v>
      </x:c>
      <x:c r="AR33" s="15" t="n">
        <x:v>462.5410000000001</x:v>
      </x:c>
      <x:c r="AS33" s="15" t="n">
        <x:v>5.4557000000000055</x:v>
      </x:c>
      <x:c r="AT33" s="15" t="n">
        <x:v>47.09</x:v>
      </x:c>
      <x:c r="AU33" s="17" t="n">
        <x:v>0</x:v>
      </x:c>
      <x:c r="AV33" s="17" t="n">
        <x:v>5</x:v>
      </x:c>
      <x:c r="AW33" s="14" t="str">
        <x:v>test</x:v>
      </x:c>
      <x:c r="AX33" s="14" t="str">
        <x:v>source_reported_experimental_pKi</x:v>
      </x:c>
      <x:c r="AY33" s="15" t="n">
        <x:v>6.152422137590549</x:v>
      </x:c>
      <x:c r="AZ33" s="15" t="n">
        <x:v>6.149473684210526</x:v>
      </x:c>
      <x:c r="BA33" s="15" t="n">
        <x:v>0.1475778624094506</x:v>
      </x:c>
      <x:c r="BB33" s="14" t="str">
        <x:v>False</x:v>
      </x:c>
      <x:c r="BC33" s="15" t="n">
        <x:v>0.7941176470588235</x:v>
      </x:c>
    </x:row>
    <x:row r="34" ht="36" customHeight="1">
      <x:c r="A34" s="9" t="str">
        <x:v>KIDLIVLNXRZSJP-KNQAVFIVSA-N</x:v>
      </x:c>
      <x:c r="B34" s="9" t="str">
        <x:v>CHEMBL3956758</x:v>
      </x:c>
      <x:c r="C34" s="9" t="str">
        <x:v>CHEMBL3956758</x:v>
      </x:c>
      <x:c r="D34" s="9" t="str">
        <x:v>16670266</x:v>
      </x:c>
      <x:c r="E34" s="9" t="str">
        <x:v>16670266</x:v>
      </x:c>
      <x:c r="F34" s="9" t="str">
        <x:v>CHEMBL3855278</x:v>
      </x:c>
      <x:c r="G34" s="9" t="str">
        <x:v>CHEMBL217</x:v>
      </x:c>
      <x:c r="H34" s="9" t="str">
        <x:v>CHEMBL3853329</x:v>
      </x:c>
      <x:c r="I34" s="9" t="str">
        <x:v>Cn1cc(-c2nnc(SCCCN3CC[C@]4(C[C@@H]4c4ccc(C(F)(F)F)cc4)C3)n2C)cn1</x:v>
      </x:c>
      <x:c r="J34" s="9" t="str">
        <x:v>Cn1cc(-c2nnc(SCCCN3CC[C@]4(C[C@@H]4c4ccc(C(F)(F)F)cc4)C3)n2C)cn1</x:v>
      </x:c>
      <x:c r="K34" s="9" t="str">
        <x:v>source_reported_pKi</x:v>
      </x:c>
      <x:c r="L34" s="11" t="n">
        <x:v>6.27</x:v>
      </x:c>
      <x:c r="M34" s="11" t="n">
        <x:v>537.0317963702532</x:v>
      </x:c>
      <x:c r="N34" s="11" t="n">
        <x:v>537.03</x:v>
      </x:c>
      <x:c r="O34" s="11" t="n">
        <x:v>6.270001452716578</x:v>
      </x:c>
      <x:c r="P34" s="12" t="n">
        <x:v>0.000001452716578143054</x:v>
      </x:c>
      <x:c r="Q34" s="12" t="n">
        <x:v>-0.001796370253259738</x:v>
      </x:c>
      <x:c r="R34" s="11" t="n">
        <x:v>0.00501</x:v>
      </x:c>
      <x:c r="S34" s="9" t="str">
        <x:v>Cn1cc(-c2nnc(SCCCN3CC[C@]4(C[C@@H]4c4ccc(C(F)(F)F)cc4)C3)n2C)cn1</x:v>
      </x:c>
      <x:c r="T34" s="9" t="str">
        <x:v>Cn1cc(-c2nnc(SCCCN3CC[C@]4(C[C@@H]4c4ccc(C(F)(F)F)cc4)C3)n2C)cn1</x:v>
      </x:c>
      <x:c r="U34" s="9" t="str">
        <x:v>KIDLIVLNXRZSJP-KNQAVFIVSA-N</x:v>
      </x:c>
      <x:c r="V34" s="9" t="str">
        <x:v>Cn1cc(-c2nnc(SCCCN3CCC4(CC4c4ccc(C(F)(F)F)cc4)C3)n2C)cn1</x:v>
      </x:c>
      <x:c r="W34" s="9" t="str">
        <x:v>ef906f7fe0f06b2ed46d3d85e5599857e4f34a84d9243aef1d108475e7deb80f</x:v>
      </x:c>
      <x:c r="X34" s="9" t="str">
        <x:v>c1ccc(C2CC23CCN(CCCSc2nnc(-c4cn[nH]c4)[nH]2)C3)cc1</x:v>
      </x:c>
      <x:c r="Y34" s="9" t="str">
        <x:v>False</x:v>
      </x:c>
      <x:c r="Z34" s="13" t="n">
        <x:v>1</x:v>
      </x:c>
      <x:c r="AA34" s="9" t="str">
        <x:v>include</x:v>
      </x:c>
      <x:c r="AB34" s="9" t="str"/>
      <x:c r="AC34" s="9" t="str">
        <x:v>pKi</x:v>
      </x:c>
      <x:c r="AD34" s="9" t="str">
        <x:v>6.27</x:v>
      </x:c>
      <x:c r="AE34" s="9" t="str"/>
      <x:c r="AF34" s="9" t="str">
        <x:v>=</x:v>
      </x:c>
      <x:c r="AG34" s="9" t="str">
        <x:v>Ki</x:v>
      </x:c>
      <x:c r="AH34" s="11" t="n">
        <x:v>537.03</x:v>
      </x:c>
      <x:c r="AI34" s="9" t="str">
        <x:v>nM</x:v>
      </x:c>
      <x:c r="AJ34" s="9" t="str">
        <x:v>=</x:v>
      </x:c>
      <x:c r="AK34" s="11" t="n">
        <x:v>6.27</x:v>
      </x:c>
      <x:c r="AL34" s="13" t="n">
        <x:v>0</x:v>
      </x:c>
      <x:c r="AM34" s="9" t="str"/>
      <x:c r="AN34" s="9" t="str"/>
      <x:c r="AO34" s="9" t="str">
        <x:v>https://www.ebi.ac.uk/chembl/api/data/activity/16670266.json</x:v>
      </x:c>
      <x:c r="AP34" s="9" t="str">
        <x:v>Cn1cc(-c2nnc(SCCCN3CCC4(CC4c4ccc(C(F)(F)F)cc4)C3)n2C)cn1</x:v>
      </x:c>
      <x:c r="AQ34" s="9" t="str">
        <x:v>c1ccc(C2CC23CCN(CCCSc2nnc(-c4cn[nH]c4)[nH]2)C3)cc1</x:v>
      </x:c>
      <x:c r="AR34" s="11" t="n">
        <x:v>476.57200000000006</x:v>
      </x:c>
      <x:c r="AS34" s="11" t="n">
        <x:v>4.596200000000004</x:v>
      </x:c>
      <x:c r="AT34" s="11" t="n">
        <x:v>51.77</x:v>
      </x:c>
      <x:c r="AU34" s="13" t="n">
        <x:v>0</x:v>
      </x:c>
      <x:c r="AV34" s="13" t="n">
        <x:v>5</x:v>
      </x:c>
      <x:c r="AW34" s="9" t="str">
        <x:v>train</x:v>
      </x:c>
      <x:c r="AX34" s="9" t="str">
        <x:v>source_reported_experimental_pKi</x:v>
      </x:c>
      <x:c r="AY34" s="11" t="n">
        <x:v>6.00717644805909</x:v>
      </x:c>
      <x:c r="AZ34" s="11" t="n">
        <x:v>6.149473684210526</x:v>
      </x:c>
      <x:c r="BA34" s="11" t="n">
        <x:v>0.2628235519409099</x:v>
      </x:c>
      <x:c r="BB34" s="9" t="str">
        <x:v>False</x:v>
      </x:c>
      <x:c r="BC34" s="11" t="n">
        <x:v>0.8059701492537313</x:v>
      </x:c>
    </x:row>
    <x:row r="35" ht="36" customHeight="1">
      <x:c r="A35" s="14" t="str">
        <x:v>BADZIIJBCNPURN-GCJKJVERSA-N</x:v>
      </x:c>
      <x:c r="B35" s="14" t="str">
        <x:v>CHEMBL3908174</x:v>
      </x:c>
      <x:c r="C35" s="14" t="str">
        <x:v>CHEMBL3908174</x:v>
      </x:c>
      <x:c r="D35" s="14" t="str">
        <x:v>16670267</x:v>
      </x:c>
      <x:c r="E35" s="14" t="str">
        <x:v>16670267</x:v>
      </x:c>
      <x:c r="F35" s="14" t="str">
        <x:v>CHEMBL3855278</x:v>
      </x:c>
      <x:c r="G35" s="14" t="str">
        <x:v>CHEMBL217</x:v>
      </x:c>
      <x:c r="H35" s="14" t="str">
        <x:v>CHEMBL3853329</x:v>
      </x:c>
      <x:c r="I35" s="14" t="str">
        <x:v>Cn1nccc1-c1nnc(SCCCN2CC[C@]3(C[C@@H]3c3ccc(C(F)(F)F)cc3)C2)n1C</x:v>
      </x:c>
      <x:c r="J35" s="14" t="str">
        <x:v>Cn1nccc1-c1nnc(SCCCN2CC[C@]3(C[C@@H]3c3ccc(C(F)(F)F)cc3)C2)n1C</x:v>
      </x:c>
      <x:c r="K35" s="14" t="str">
        <x:v>source_reported_pKi</x:v>
      </x:c>
      <x:c r="L35" s="15" t="n">
        <x:v>6.07</x:v>
      </x:c>
      <x:c r="M35" s="15" t="n">
        <x:v>851.1380382023759</x:v>
      </x:c>
      <x:c r="N35" s="15" t="n">
        <x:v>851.14</x:v>
      </x:c>
      <x:c r="O35" s="15" t="n">
        <x:v>6.069998998990925</x:v>
      </x:c>
      <x:c r="P35" s="16" t="n">
        <x:v>-0.0000010010090756296108</x:v>
      </x:c>
      <x:c r="Q35" s="16" t="n">
        <x:v>0.0019617976240624557</x:v>
      </x:c>
      <x:c r="R35" s="15" t="n">
        <x:v>0.00501</x:v>
      </x:c>
      <x:c r="S35" s="14" t="str">
        <x:v>Cn1nccc1-c1nnc(SCCCN2CC[C@]3(C[C@@H]3c3ccc(C(F)(F)F)cc3)C2)n1C</x:v>
      </x:c>
      <x:c r="T35" s="14" t="str">
        <x:v>Cn1nccc1-c1nnc(SCCCN2CC[C@]3(C[C@@H]3c3ccc(C(F)(F)F)cc3)C2)n1C</x:v>
      </x:c>
      <x:c r="U35" s="14" t="str">
        <x:v>BADZIIJBCNPURN-GCJKJVERSA-N</x:v>
      </x:c>
      <x:c r="V35" s="14" t="str">
        <x:v>Cn1nccc1-c1nnc(SCCCN2CCC3(CC3c3ccc(C(F)(F)F)cc3)C2)n1C</x:v>
      </x:c>
      <x:c r="W35" s="14" t="str">
        <x:v>fd6095840b2b7cf376b0a0d8b10a2e6aba9a0a862519a0a76b7005c5aed7f5e7</x:v>
      </x:c>
      <x:c r="X35" s="14" t="str">
        <x:v>c1ccc(C2CC23CCN(CCCSc2nnc(-c4ccn[nH]4)[nH]2)C3)cc1</x:v>
      </x:c>
      <x:c r="Y35" s="14" t="str">
        <x:v>False</x:v>
      </x:c>
      <x:c r="Z35" s="17" t="n">
        <x:v>1</x:v>
      </x:c>
      <x:c r="AA35" s="14" t="str">
        <x:v>include</x:v>
      </x:c>
      <x:c r="AB35" s="14" t="str"/>
      <x:c r="AC35" s="14" t="str">
        <x:v>pKi</x:v>
      </x:c>
      <x:c r="AD35" s="14" t="str">
        <x:v>6.07</x:v>
      </x:c>
      <x:c r="AE35" s="14" t="str"/>
      <x:c r="AF35" s="14" t="str">
        <x:v>=</x:v>
      </x:c>
      <x:c r="AG35" s="14" t="str">
        <x:v>Ki</x:v>
      </x:c>
      <x:c r="AH35" s="15" t="n">
        <x:v>851.14</x:v>
      </x:c>
      <x:c r="AI35" s="14" t="str">
        <x:v>nM</x:v>
      </x:c>
      <x:c r="AJ35" s="14" t="str">
        <x:v>=</x:v>
      </x:c>
      <x:c r="AK35" s="15" t="n">
        <x:v>6.07</x:v>
      </x:c>
      <x:c r="AL35" s="17" t="n">
        <x:v>0</x:v>
      </x:c>
      <x:c r="AM35" s="14" t="str"/>
      <x:c r="AN35" s="14" t="str"/>
      <x:c r="AO35" s="14" t="str">
        <x:v>https://www.ebi.ac.uk/chembl/api/data/activity/16670267.json</x:v>
      </x:c>
      <x:c r="AP35" s="14" t="str">
        <x:v>Cn1nccc1-c1nnc(SCCCN2CCC3(CC3c3ccc(C(F)(F)F)cc3)C2)n1C</x:v>
      </x:c>
      <x:c r="AQ35" s="14" t="str">
        <x:v>c1ccc(C2CC23CCN(CCCSc2nnc(-c4ccn[nH]4)[nH]2)C3)cc1</x:v>
      </x:c>
      <x:c r="AR35" s="15" t="n">
        <x:v>476.5720000000002</x:v>
      </x:c>
      <x:c r="AS35" s="15" t="n">
        <x:v>4.596200000000004</x:v>
      </x:c>
      <x:c r="AT35" s="15" t="n">
        <x:v>51.77</x:v>
      </x:c>
      <x:c r="AU35" s="17" t="n">
        <x:v>0</x:v>
      </x:c>
      <x:c r="AV35" s="17" t="n">
        <x:v>5</x:v>
      </x:c>
      <x:c r="AW35" s="14" t="str">
        <x:v>train</x:v>
      </x:c>
      <x:c r="AX35" s="14" t="str">
        <x:v>source_reported_experimental_pKi</x:v>
      </x:c>
      <x:c r="AY35" s="15" t="n">
        <x:v>6.00717644805909</x:v>
      </x:c>
      <x:c r="AZ35" s="15" t="n">
        <x:v>6.149473684210526</x:v>
      </x:c>
      <x:c r="BA35" s="15" t="n">
        <x:v>0.0628235519409106</x:v>
      </x:c>
      <x:c r="BB35" s="14" t="str">
        <x:v>False</x:v>
      </x:c>
      <x:c r="BC35" s="15" t="n">
        <x:v>0.7794117647058824</x:v>
      </x:c>
    </x:row>
    <x:row r="36" ht="36" customHeight="1">
      <x:c r="A36" s="9" t="str">
        <x:v>TXEGIIUTZDNUKA-GCJKJVERSA-N</x:v>
      </x:c>
      <x:c r="B36" s="9" t="str">
        <x:v>CHEMBL3978613</x:v>
      </x:c>
      <x:c r="C36" s="9" t="str">
        <x:v>CHEMBL3978613</x:v>
      </x:c>
      <x:c r="D36" s="9" t="str">
        <x:v>16670268</x:v>
      </x:c>
      <x:c r="E36" s="9" t="str">
        <x:v>16670268</x:v>
      </x:c>
      <x:c r="F36" s="9" t="str">
        <x:v>CHEMBL3855278</x:v>
      </x:c>
      <x:c r="G36" s="9" t="str">
        <x:v>CHEMBL217</x:v>
      </x:c>
      <x:c r="H36" s="9" t="str">
        <x:v>CHEMBL3853329</x:v>
      </x:c>
      <x:c r="I36" s="9" t="str">
        <x:v>Cc1cc(-c2nnc(SCCCN3CC[C@]4(C[C@@H]4c4ccc(C(F)(F)F)cc4)C3)n2C)on1</x:v>
      </x:c>
      <x:c r="J36" s="9" t="str">
        <x:v>Cc1cc(-c2nnc(SCCCN3CC[C@]4(C[C@@H]4c4ccc(C(F)(F)F)cc4)C3)n2C)on1</x:v>
      </x:c>
      <x:c r="K36" s="9" t="str">
        <x:v>source_reported_pKi</x:v>
      </x:c>
      <x:c r="L36" s="11" t="n">
        <x:v>6.28</x:v>
      </x:c>
      <x:c r="M36" s="11" t="n">
        <x:v>524.8074602497722</x:v>
      </x:c>
      <x:c r="N36" s="11" t="n">
        <x:v>524.81</x:v>
      </x:c>
      <x:c r="O36" s="11" t="n">
        <x:v>6.279997898282849</x:v>
      </x:c>
      <x:c r="P36" s="12" t="n">
        <x:v>-0.0000021017171514259303</x:v>
      </x:c>
      <x:c r="Q36" s="12" t="n">
        <x:v>0.0025397502276973682</x:v>
      </x:c>
      <x:c r="R36" s="11" t="n">
        <x:v>0.00501</x:v>
      </x:c>
      <x:c r="S36" s="9" t="str">
        <x:v>Cc1cc(-c2nnc(SCCCN3CC[C@]4(C[C@@H]4c4ccc(C(F)(F)F)cc4)C3)n2C)on1</x:v>
      </x:c>
      <x:c r="T36" s="9" t="str">
        <x:v>Cc1cc(-c2nnc(SCCCN3CC[C@]4(C[C@@H]4c4ccc(C(F)(F)F)cc4)C3)n2C)on1</x:v>
      </x:c>
      <x:c r="U36" s="9" t="str">
        <x:v>TXEGIIUTZDNUKA-GCJKJVERSA-N</x:v>
      </x:c>
      <x:c r="V36" s="9" t="str">
        <x:v>Cc1cc(-c2nnc(SCCCN3CCC4(CC4c4ccc(C(F)(F)F)cc4)C3)n2C)on1</x:v>
      </x:c>
      <x:c r="W36" s="9" t="str">
        <x:v>5f14a541ce08ba6b745449e8d8616c2a694232f6494a1298bfc2d58a9ddb0526</x:v>
      </x:c>
      <x:c r="X36" s="9" t="str">
        <x:v>c1ccc(C2CC23CCN(CCCSc2nnc(-c4ccno4)[nH]2)C3)cc1</x:v>
      </x:c>
      <x:c r="Y36" s="9" t="str">
        <x:v>False</x:v>
      </x:c>
      <x:c r="Z36" s="13" t="n">
        <x:v>1</x:v>
      </x:c>
      <x:c r="AA36" s="9" t="str">
        <x:v>include</x:v>
      </x:c>
      <x:c r="AB36" s="9" t="str"/>
      <x:c r="AC36" s="9" t="str">
        <x:v>pKi</x:v>
      </x:c>
      <x:c r="AD36" s="9" t="str">
        <x:v>6.28</x:v>
      </x:c>
      <x:c r="AE36" s="9" t="str"/>
      <x:c r="AF36" s="9" t="str">
        <x:v>=</x:v>
      </x:c>
      <x:c r="AG36" s="9" t="str">
        <x:v>Ki</x:v>
      </x:c>
      <x:c r="AH36" s="11" t="n">
        <x:v>524.81</x:v>
      </x:c>
      <x:c r="AI36" s="9" t="str">
        <x:v>nM</x:v>
      </x:c>
      <x:c r="AJ36" s="9" t="str">
        <x:v>=</x:v>
      </x:c>
      <x:c r="AK36" s="11" t="n">
        <x:v>6.28</x:v>
      </x:c>
      <x:c r="AL36" s="13" t="n">
        <x:v>0</x:v>
      </x:c>
      <x:c r="AM36" s="9" t="str"/>
      <x:c r="AN36" s="9" t="str"/>
      <x:c r="AO36" s="9" t="str">
        <x:v>https://www.ebi.ac.uk/chembl/api/data/activity/16670268.json</x:v>
      </x:c>
      <x:c r="AP36" s="9" t="str">
        <x:v>Cc1cc(-c2nnc(SCCCN3CCC4(CC4c4ccc(C(F)(F)F)cc4)C3)n2C)on1</x:v>
      </x:c>
      <x:c r="AQ36" s="9" t="str">
        <x:v>c1ccc(C2CC23CCN(CCCSc2nnc(-c4ccno4)[nH]2)C3)cc1</x:v>
      </x:c>
      <x:c r="AR36" s="11" t="n">
        <x:v>477.5560000000001</x:v>
      </x:c>
      <x:c r="AS36" s="11" t="n">
        <x:v>5.159120000000005</x:v>
      </x:c>
      <x:c r="AT36" s="11" t="n">
        <x:v>59.980000000000004</x:v>
      </x:c>
      <x:c r="AU36" s="13" t="n">
        <x:v>0</x:v>
      </x:c>
      <x:c r="AV36" s="13" t="n">
        <x:v>6</x:v>
      </x:c>
      <x:c r="AW36" s="9" t="str">
        <x:v>train</x:v>
      </x:c>
      <x:c r="AX36" s="9" t="str">
        <x:v>source_reported_experimental_pKi</x:v>
      </x:c>
      <x:c r="AY36" s="11" t="n">
        <x:v>6.185145889709037</x:v>
      </x:c>
      <x:c r="AZ36" s="11" t="n">
        <x:v>6.149473684210526</x:v>
      </x:c>
      <x:c r="BA36" s="11" t="n">
        <x:v>0.09485411029096369</x:v>
      </x:c>
      <x:c r="BB36" s="9" t="str">
        <x:v>False</x:v>
      </x:c>
      <x:c r="BC36" s="11" t="n">
        <x:v>0.7746478873239436</x:v>
      </x:c>
    </x:row>
    <x:row r="37" ht="36" customHeight="1">
      <x:c r="A37" s="14" t="str">
        <x:v>DGRHJZMAQQIHDX-BWKNWUBXSA-N</x:v>
      </x:c>
      <x:c r="B37" s="14" t="str">
        <x:v>CHEMBL3899125</x:v>
      </x:c>
      <x:c r="C37" s="14" t="str">
        <x:v>CHEMBL3899125</x:v>
      </x:c>
      <x:c r="D37" s="14" t="str">
        <x:v>16670299</x:v>
      </x:c>
      <x:c r="E37" s="14" t="str">
        <x:v>16670299</x:v>
      </x:c>
      <x:c r="F37" s="14" t="str">
        <x:v>CHEMBL3855278</x:v>
      </x:c>
      <x:c r="G37" s="14" t="str">
        <x:v>CHEMBL217</x:v>
      </x:c>
      <x:c r="H37" s="14" t="str">
        <x:v>CHEMBL3853329</x:v>
      </x:c>
      <x:c r="I37" s="14" t="str">
        <x:v>Cn1c(SCCCN2CC[C@]3(C[C@@H]3c3ccc(C(F)(F)F)cc3)C2)nnc1-c1ccc(C(N)=O)cc1</x:v>
      </x:c>
      <x:c r="J37" s="14" t="str">
        <x:v>Cn1c(SCCCN2CC[C@]3(C[C@@H]3c3ccc(C(F)(F)F)cc3)C2)nnc1-c1ccc(C(N)=O)cc1</x:v>
      </x:c>
      <x:c r="K37" s="14" t="str">
        <x:v>source_reported_pKi</x:v>
      </x:c>
      <x:c r="L37" s="15" t="n">
        <x:v>6.45</x:v>
      </x:c>
      <x:c r="M37" s="15" t="n">
        <x:v>354.8133892335753</x:v>
      </x:c>
      <x:c r="N37" s="15" t="n">
        <x:v>354.81</x:v>
      </x:c>
      <x:c r="O37" s="15" t="n">
        <x:v>6.450004148469349</x:v>
      </x:c>
      <x:c r="P37" s="16" t="n">
        <x:v>0.000004148469348486117</x:v>
      </x:c>
      <x:c r="Q37" s="16" t="n">
        <x:v>-0.0033892335753193947</x:v>
      </x:c>
      <x:c r="R37" s="15" t="n">
        <x:v>0.00501</x:v>
      </x:c>
      <x:c r="S37" s="14" t="str">
        <x:v>Cn1c(SCCCN2CC[C@]3(C[C@@H]3c3ccc(C(F)(F)F)cc3)C2)nnc1-c1ccc(C(N)=O)cc1</x:v>
      </x:c>
      <x:c r="T37" s="14" t="str">
        <x:v>Cn1c(SCCCN2CC[C@]3(C[C@@H]3c3ccc(C(F)(F)F)cc3)C2)nnc1-c1ccc(C(N)=O)cc1</x:v>
      </x:c>
      <x:c r="U37" s="14" t="str">
        <x:v>DGRHJZMAQQIHDX-BWKNWUBXSA-N</x:v>
      </x:c>
      <x:c r="V37" s="14" t="str">
        <x:v>Cn1c(SCCCN2CCC3(CC3c3ccc(C(F)(F)F)cc3)C2)nnc1-c1ccc(C(N)=O)cc1</x:v>
      </x:c>
      <x:c r="W37" s="14" t="str">
        <x:v>0635ef682e930ef699a39956879b226f7593a360c4a32b6808aaca97ff220a17</x:v>
      </x:c>
      <x:c r="X37" s="14" t="str">
        <x:v>c1ccc(-c2nnc(SCCCN3CCC4(CC4c4ccccc4)C3)[nH]2)cc1</x:v>
      </x:c>
      <x:c r="Y37" s="14" t="str">
        <x:v>False</x:v>
      </x:c>
      <x:c r="Z37" s="17" t="n">
        <x:v>1</x:v>
      </x:c>
      <x:c r="AA37" s="14" t="str">
        <x:v>include</x:v>
      </x:c>
      <x:c r="AB37" s="14" t="str"/>
      <x:c r="AC37" s="14" t="str">
        <x:v>pKi</x:v>
      </x:c>
      <x:c r="AD37" s="14" t="str">
        <x:v>6.45</x:v>
      </x:c>
      <x:c r="AE37" s="14" t="str"/>
      <x:c r="AF37" s="14" t="str">
        <x:v>=</x:v>
      </x:c>
      <x:c r="AG37" s="14" t="str">
        <x:v>Ki</x:v>
      </x:c>
      <x:c r="AH37" s="15" t="n">
        <x:v>354.81</x:v>
      </x:c>
      <x:c r="AI37" s="14" t="str">
        <x:v>nM</x:v>
      </x:c>
      <x:c r="AJ37" s="14" t="str">
        <x:v>=</x:v>
      </x:c>
      <x:c r="AK37" s="15" t="n">
        <x:v>6.45</x:v>
      </x:c>
      <x:c r="AL37" s="17" t="n">
        <x:v>0</x:v>
      </x:c>
      <x:c r="AM37" s="14" t="str"/>
      <x:c r="AN37" s="14" t="str"/>
      <x:c r="AO37" s="14" t="str">
        <x:v>https://www.ebi.ac.uk/chembl/api/data/activity/16670299.json</x:v>
      </x:c>
      <x:c r="AP37" s="14" t="str">
        <x:v>Cn1c(SCCCN2CCC3(CC3c3ccc(C(F)(F)F)cc3)C2)nnc1-c1ccc(C(N)=O)cc1</x:v>
      </x:c>
      <x:c r="AQ37" s="14" t="str">
        <x:v>c1ccc(-c2nnc(SCCCN3CCC4(CC4c4ccccc4)C3)[nH]2)cc1</x:v>
      </x:c>
      <x:c r="AR37" s="15" t="n">
        <x:v>515.6050000000002</x:v>
      </x:c>
      <x:c r="AS37" s="15" t="n">
        <x:v>4.961600000000004</x:v>
      </x:c>
      <x:c r="AT37" s="15" t="n">
        <x:v>77.03999999999999</x:v>
      </x:c>
      <x:c r="AU37" s="17" t="n">
        <x:v>1</x:v>
      </x:c>
      <x:c r="AV37" s="17" t="n">
        <x:v>5</x:v>
      </x:c>
      <x:c r="AW37" s="14" t="str">
        <x:v>train</x:v>
      </x:c>
      <x:c r="AX37" s="14" t="str">
        <x:v>source_reported_experimental_pKi</x:v>
      </x:c>
      <x:c r="AY37" s="15" t="n">
        <x:v>6.253271439936387</x:v>
      </x:c>
      <x:c r="AZ37" s="15" t="n">
        <x:v>6.149473684210526</x:v>
      </x:c>
      <x:c r="BA37" s="15" t="n">
        <x:v>0.1967285600636135</x:v>
      </x:c>
      <x:c r="BB37" s="14" t="str">
        <x:v>False</x:v>
      </x:c>
      <x:c r="BC37" s="15" t="n">
        <x:v>0.8714285714285714</x:v>
      </x:c>
    </x:row>
    <x:row r="38" ht="36" customHeight="1">
      <x:c r="A38" s="9" t="str">
        <x:v>XUTJSHVGYIHURB-BWKNWUBXSA-N</x:v>
      </x:c>
      <x:c r="B38" s="9" t="str">
        <x:v>CHEMBL3970323</x:v>
      </x:c>
      <x:c r="C38" s="9" t="str">
        <x:v>CHEMBL3970323</x:v>
      </x:c>
      <x:c r="D38" s="9" t="str">
        <x:v>16670300</x:v>
      </x:c>
      <x:c r="E38" s="9" t="str">
        <x:v>16670300</x:v>
      </x:c>
      <x:c r="F38" s="9" t="str">
        <x:v>CHEMBL3855278</x:v>
      </x:c>
      <x:c r="G38" s="9" t="str">
        <x:v>CHEMBL217</x:v>
      </x:c>
      <x:c r="H38" s="9" t="str">
        <x:v>CHEMBL3853329</x:v>
      </x:c>
      <x:c r="I38" s="9" t="str">
        <x:v>Cn1c(SCCCN2CC[C@]3(C[C@@H]3c3ccc(C(F)(F)F)cc3)C2)nnc1-c1cccc(C(N)=O)c1</x:v>
      </x:c>
      <x:c r="J38" s="9" t="str">
        <x:v>Cn1c(SCCCN2CC[C@]3(C[C@@H]3c3ccc(C(F)(F)F)cc3)C2)nnc1-c1cccc(C(N)=O)c1</x:v>
      </x:c>
      <x:c r="K38" s="9" t="str">
        <x:v>source_reported_pKi</x:v>
      </x:c>
      <x:c r="L38" s="11" t="n">
        <x:v>6.2</x:v>
      </x:c>
      <x:c r="M38" s="11" t="n">
        <x:v>630.957344480193</x:v>
      </x:c>
      <x:c r="N38" s="11" t="n">
        <x:v>630.96</x:v>
      </x:c>
      <x:c r="O38" s="11" t="n">
        <x:v>6.199998172182031</x:v>
      </x:c>
      <x:c r="P38" s="12" t="n">
        <x:v>-0.0000018278179689801277</x:v>
      </x:c>
      <x:c r="Q38" s="12" t="n">
        <x:v>0.002655519807035489</x:v>
      </x:c>
      <x:c r="R38" s="11" t="n">
        <x:v>0.00501</x:v>
      </x:c>
      <x:c r="S38" s="9" t="str">
        <x:v>Cn1c(SCCCN2CC[C@]3(C[C@@H]3c3ccc(C(F)(F)F)cc3)C2)nnc1-c1cccc(C(N)=O)c1</x:v>
      </x:c>
      <x:c r="T38" s="9" t="str">
        <x:v>Cn1c(SCCCN2CC[C@]3(C[C@@H]3c3ccc(C(F)(F)F)cc3)C2)nnc1-c1cccc(C(N)=O)c1</x:v>
      </x:c>
      <x:c r="U38" s="9" t="str">
        <x:v>XUTJSHVGYIHURB-BWKNWUBXSA-N</x:v>
      </x:c>
      <x:c r="V38" s="9" t="str">
        <x:v>Cn1c(SCCCN2CCC3(CC3c3ccc(C(F)(F)F)cc3)C2)nnc1-c1cccc(C(N)=O)c1</x:v>
      </x:c>
      <x:c r="W38" s="9" t="str">
        <x:v>78994a25e5beb7a4cc27ba58dc555a71f898cf81e548d21edd8c2f1a6b93ca62</x:v>
      </x:c>
      <x:c r="X38" s="9" t="str">
        <x:v>c1ccc(-c2nnc(SCCCN3CCC4(CC4c4ccccc4)C3)[nH]2)cc1</x:v>
      </x:c>
      <x:c r="Y38" s="9" t="str">
        <x:v>False</x:v>
      </x:c>
      <x:c r="Z38" s="13" t="n">
        <x:v>1</x:v>
      </x:c>
      <x:c r="AA38" s="9" t="str">
        <x:v>include</x:v>
      </x:c>
      <x:c r="AB38" s="9" t="str"/>
      <x:c r="AC38" s="9" t="str">
        <x:v>pKi</x:v>
      </x:c>
      <x:c r="AD38" s="9" t="str">
        <x:v>6.2</x:v>
      </x:c>
      <x:c r="AE38" s="9" t="str"/>
      <x:c r="AF38" s="9" t="str">
        <x:v>=</x:v>
      </x:c>
      <x:c r="AG38" s="9" t="str">
        <x:v>Ki</x:v>
      </x:c>
      <x:c r="AH38" s="11" t="n">
        <x:v>630.96</x:v>
      </x:c>
      <x:c r="AI38" s="9" t="str">
        <x:v>nM</x:v>
      </x:c>
      <x:c r="AJ38" s="9" t="str">
        <x:v>=</x:v>
      </x:c>
      <x:c r="AK38" s="11" t="n">
        <x:v>6.2</x:v>
      </x:c>
      <x:c r="AL38" s="13" t="n">
        <x:v>0</x:v>
      </x:c>
      <x:c r="AM38" s="9" t="str"/>
      <x:c r="AN38" s="9" t="str"/>
      <x:c r="AO38" s="9" t="str">
        <x:v>https://www.ebi.ac.uk/chembl/api/data/activity/16670300.json</x:v>
      </x:c>
      <x:c r="AP38" s="9" t="str">
        <x:v>Cn1c(SCCCN2CCC3(CC3c3ccc(C(F)(F)F)cc3)C2)nnc1-c1cccc(C(N)=O)c1</x:v>
      </x:c>
      <x:c r="AQ38" s="9" t="str">
        <x:v>c1ccc(-c2nnc(SCCCN3CCC4(CC4c4ccccc4)C3)[nH]2)cc1</x:v>
      </x:c>
      <x:c r="AR38" s="11" t="n">
        <x:v>515.6050000000002</x:v>
      </x:c>
      <x:c r="AS38" s="11" t="n">
        <x:v>4.961600000000004</x:v>
      </x:c>
      <x:c r="AT38" s="11" t="n">
        <x:v>77.03999999999999</x:v>
      </x:c>
      <x:c r="AU38" s="13" t="n">
        <x:v>1</x:v>
      </x:c>
      <x:c r="AV38" s="13" t="n">
        <x:v>5</x:v>
      </x:c>
      <x:c r="AW38" s="9" t="str">
        <x:v>train</x:v>
      </x:c>
      <x:c r="AX38" s="9" t="str">
        <x:v>source_reported_experimental_pKi</x:v>
      </x:c>
      <x:c r="AY38" s="11" t="n">
        <x:v>6.253271439936387</x:v>
      </x:c>
      <x:c r="AZ38" s="11" t="n">
        <x:v>6.149473684210526</x:v>
      </x:c>
      <x:c r="BA38" s="11" t="n">
        <x:v>-0.0532714399363865</x:v>
      </x:c>
      <x:c r="BB38" s="9" t="str">
        <x:v>False</x:v>
      </x:c>
      <x:c r="BC38" s="11" t="n">
        <x:v>0.8378378378378378</x:v>
      </x:c>
    </x:row>
    <x:row r="39" ht="36" customHeight="1">
      <x:c r="A39" s="14" t="str">
        <x:v>PGNPMTAEFDKCKN-BWKNWUBXSA-N</x:v>
      </x:c>
      <x:c r="B39" s="14" t="str">
        <x:v>CHEMBL3890178</x:v>
      </x:c>
      <x:c r="C39" s="14" t="str">
        <x:v>CHEMBL3890178</x:v>
      </x:c>
      <x:c r="D39" s="14" t="str">
        <x:v>16670301</x:v>
      </x:c>
      <x:c r="E39" s="14" t="str">
        <x:v>16670301</x:v>
      </x:c>
      <x:c r="F39" s="14" t="str">
        <x:v>CHEMBL3855278</x:v>
      </x:c>
      <x:c r="G39" s="14" t="str">
        <x:v>CHEMBL217</x:v>
      </x:c>
      <x:c r="H39" s="14" t="str">
        <x:v>CHEMBL3853329</x:v>
      </x:c>
      <x:c r="I39" s="14" t="str">
        <x:v>Cn1c(SCCCN2CC[C@]3(C[C@@H]3c3ccc(C(F)(F)F)cc3)C2)nnc1-c1ccccc1C(N)=O</x:v>
      </x:c>
      <x:c r="J39" s="14" t="str">
        <x:v>Cn1c(SCCCN2CC[C@]3(C[C@@H]3c3ccc(C(F)(F)F)cc3)C2)nnc1-c1ccccc1C(N)=O</x:v>
      </x:c>
      <x:c r="K39" s="14" t="str">
        <x:v>source_reported_pKi</x:v>
      </x:c>
      <x:c r="L39" s="15" t="n">
        <x:v>7.4</x:v>
      </x:c>
      <x:c r="M39" s="15" t="n">
        <x:v>39.81071705534969</x:v>
      </x:c>
      <x:c r="N39" s="15" t="n">
        <x:v>39.81</x:v>
      </x:c>
      <x:c r="O39" s="15" t="n">
        <x:v>7.400007822415902</x:v>
      </x:c>
      <x:c r="P39" s="16" t="n">
        <x:v>0.000007822415901692636</x:v>
      </x:c>
      <x:c r="Q39" s="16" t="n">
        <x:v>-0.000717055349689133</x:v>
      </x:c>
      <x:c r="R39" s="15" t="n">
        <x:v>0.00501</x:v>
      </x:c>
      <x:c r="S39" s="14" t="str">
        <x:v>Cn1c(SCCCN2CC[C@]3(C[C@@H]3c3ccc(C(F)(F)F)cc3)C2)nnc1-c1ccccc1C(N)=O</x:v>
      </x:c>
      <x:c r="T39" s="14" t="str">
        <x:v>Cn1c(SCCCN2CC[C@]3(C[C@@H]3c3ccc(C(F)(F)F)cc3)C2)nnc1-c1ccccc1C(N)=O</x:v>
      </x:c>
      <x:c r="U39" s="14" t="str">
        <x:v>PGNPMTAEFDKCKN-BWKNWUBXSA-N</x:v>
      </x:c>
      <x:c r="V39" s="14" t="str">
        <x:v>Cn1c(SCCCN2CCC3(CC3c3ccc(C(F)(F)F)cc3)C2)nnc1-c1ccccc1C(N)=O</x:v>
      </x:c>
      <x:c r="W39" s="14" t="str">
        <x:v>6df6013354923bfff948bd55095e26cbd39551aa6c0b195764e3d2d157e3faea</x:v>
      </x:c>
      <x:c r="X39" s="14" t="str">
        <x:v>c1ccc(-c2nnc(SCCCN3CCC4(CC4c4ccccc4)C3)[nH]2)cc1</x:v>
      </x:c>
      <x:c r="Y39" s="14" t="str">
        <x:v>False</x:v>
      </x:c>
      <x:c r="Z39" s="17" t="n">
        <x:v>1</x:v>
      </x:c>
      <x:c r="AA39" s="14" t="str">
        <x:v>include</x:v>
      </x:c>
      <x:c r="AB39" s="14" t="str"/>
      <x:c r="AC39" s="14" t="str">
        <x:v>pKi</x:v>
      </x:c>
      <x:c r="AD39" s="14" t="str">
        <x:v>7.4</x:v>
      </x:c>
      <x:c r="AE39" s="14" t="str"/>
      <x:c r="AF39" s="14" t="str">
        <x:v>=</x:v>
      </x:c>
      <x:c r="AG39" s="14" t="str">
        <x:v>Ki</x:v>
      </x:c>
      <x:c r="AH39" s="15" t="n">
        <x:v>39.81</x:v>
      </x:c>
      <x:c r="AI39" s="14" t="str">
        <x:v>nM</x:v>
      </x:c>
      <x:c r="AJ39" s="14" t="str">
        <x:v>=</x:v>
      </x:c>
      <x:c r="AK39" s="15" t="n">
        <x:v>7.4</x:v>
      </x:c>
      <x:c r="AL39" s="17" t="n">
        <x:v>0</x:v>
      </x:c>
      <x:c r="AM39" s="14" t="str"/>
      <x:c r="AN39" s="14" t="str"/>
      <x:c r="AO39" s="14" t="str">
        <x:v>https://www.ebi.ac.uk/chembl/api/data/activity/16670301.json</x:v>
      </x:c>
      <x:c r="AP39" s="14" t="str">
        <x:v>Cn1c(SCCCN2CCC3(CC3c3ccc(C(F)(F)F)cc3)C2)nnc1-c1ccccc1C(N)=O</x:v>
      </x:c>
      <x:c r="AQ39" s="14" t="str">
        <x:v>c1ccc(-c2nnc(SCCCN3CCC4(CC4c4ccccc4)C3)[nH]2)cc1</x:v>
      </x:c>
      <x:c r="AR39" s="15" t="n">
        <x:v>515.6050000000001</x:v>
      </x:c>
      <x:c r="AS39" s="15" t="n">
        <x:v>4.961600000000004</x:v>
      </x:c>
      <x:c r="AT39" s="15" t="n">
        <x:v>77.03999999999999</x:v>
      </x:c>
      <x:c r="AU39" s="17" t="n">
        <x:v>1</x:v>
      </x:c>
      <x:c r="AV39" s="17" t="n">
        <x:v>5</x:v>
      </x:c>
      <x:c r="AW39" s="14" t="str">
        <x:v>train</x:v>
      </x:c>
      <x:c r="AX39" s="14" t="str">
        <x:v>source_reported_experimental_pKi</x:v>
      </x:c>
      <x:c r="AY39" s="15" t="n">
        <x:v>6.253271439936387</x:v>
      </x:c>
      <x:c r="AZ39" s="15" t="n">
        <x:v>6.149473684210526</x:v>
      </x:c>
      <x:c r="BA39" s="15" t="n">
        <x:v>1.1467285600636137</x:v>
      </x:c>
      <x:c r="BB39" s="14" t="str">
        <x:v>False</x:v>
      </x:c>
      <x:c r="BC39" s="15" t="n">
        <x:v>0.7763157894736842</x:v>
      </x:c>
    </x:row>
    <x:row r="40" ht="36" customHeight="1">
      <x:c r="A40" s="9" t="str">
        <x:v>HZISGJVOPZSKRZ-QPPBQGQZSA-N</x:v>
      </x:c>
      <x:c r="B40" s="9" t="str">
        <x:v>CHEMBL3959240</x:v>
      </x:c>
      <x:c r="C40" s="9" t="str">
        <x:v>CHEMBL3959240</x:v>
      </x:c>
      <x:c r="D40" s="9" t="str">
        <x:v>16670302</x:v>
      </x:c>
      <x:c r="E40" s="9" t="str">
        <x:v>16670302</x:v>
      </x:c>
      <x:c r="F40" s="9" t="str">
        <x:v>CHEMBL3855278</x:v>
      </x:c>
      <x:c r="G40" s="9" t="str">
        <x:v>CHEMBL217</x:v>
      </x:c>
      <x:c r="H40" s="9" t="str">
        <x:v>CHEMBL3853329</x:v>
      </x:c>
      <x:c r="I40" s="9" t="str">
        <x:v>Cn1c(SCCCN2CC[C@]3(C[C@@H]3c3ccc(C(F)(F)F)cc3)C2)nnc1-c1ccc(S(N)(=O)=O)cc1</x:v>
      </x:c>
      <x:c r="J40" s="9" t="str">
        <x:v>Cn1c(SCCCN2CC[C@]3(C[C@@H]3c3ccc(C(F)(F)F)cc3)C2)nnc1-c1ccc(S(N)(=O)=O)cc1</x:v>
      </x:c>
      <x:c r="K40" s="9" t="str">
        <x:v>source_reported_pKi</x:v>
      </x:c>
      <x:c r="L40" s="11" t="n">
        <x:v>6.66</x:v>
      </x:c>
      <x:c r="M40" s="11" t="n">
        <x:v>218.77616239495518</x:v>
      </x:c>
      <x:c r="N40" s="11" t="n">
        <x:v>218.78</x:v>
      </x:c>
      <x:c r="O40" s="11" t="n">
        <x:v>6.6599923820033275</x:v>
      </x:c>
      <x:c r="P40" s="12" t="n">
        <x:v>-0.000007617996672593108</x:v>
      </x:c>
      <x:c r="Q40" s="12" t="n">
        <x:v>0.003837605044822112</x:v>
      </x:c>
      <x:c r="R40" s="11" t="n">
        <x:v>0.00501</x:v>
      </x:c>
      <x:c r="S40" s="9" t="str">
        <x:v>Cn1c(SCCCN2CC[C@]3(C[C@@H]3c3ccc(C(F)(F)F)cc3)C2)nnc1-c1ccc(S(N)(=O)=O)cc1</x:v>
      </x:c>
      <x:c r="T40" s="9" t="str">
        <x:v>Cn1c(SCCCN2CC[C@]3(C[C@@H]3c3ccc(C(F)(F)F)cc3)C2)nnc1-c1ccc(S(N)(=O)=O)cc1</x:v>
      </x:c>
      <x:c r="U40" s="9" t="str">
        <x:v>HZISGJVOPZSKRZ-QPPBQGQZSA-N</x:v>
      </x:c>
      <x:c r="V40" s="9" t="str">
        <x:v>Cn1c(SCCCN2CCC3(CC3c3ccc(C(F)(F)F)cc3)C2)nnc1-c1ccc(S(N)(=O)=O)cc1</x:v>
      </x:c>
      <x:c r="W40" s="9" t="str">
        <x:v>31bbc93187b250370f93697653530b24c8b94d8964f0779c6710d0ecab131834</x:v>
      </x:c>
      <x:c r="X40" s="9" t="str">
        <x:v>c1ccc(-c2nnc(SCCCN3CCC4(CC4c4ccccc4)C3)[nH]2)cc1</x:v>
      </x:c>
      <x:c r="Y40" s="9" t="str">
        <x:v>False</x:v>
      </x:c>
      <x:c r="Z40" s="13" t="n">
        <x:v>1</x:v>
      </x:c>
      <x:c r="AA40" s="9" t="str">
        <x:v>include</x:v>
      </x:c>
      <x:c r="AB40" s="9" t="str"/>
      <x:c r="AC40" s="9" t="str">
        <x:v>pKi</x:v>
      </x:c>
      <x:c r="AD40" s="9" t="str">
        <x:v>6.66</x:v>
      </x:c>
      <x:c r="AE40" s="9" t="str"/>
      <x:c r="AF40" s="9" t="str">
        <x:v>=</x:v>
      </x:c>
      <x:c r="AG40" s="9" t="str">
        <x:v>Ki</x:v>
      </x:c>
      <x:c r="AH40" s="11" t="n">
        <x:v>218.78</x:v>
      </x:c>
      <x:c r="AI40" s="9" t="str">
        <x:v>nM</x:v>
      </x:c>
      <x:c r="AJ40" s="9" t="str">
        <x:v>=</x:v>
      </x:c>
      <x:c r="AK40" s="11" t="n">
        <x:v>6.66</x:v>
      </x:c>
      <x:c r="AL40" s="13" t="n">
        <x:v>0</x:v>
      </x:c>
      <x:c r="AM40" s="9" t="str"/>
      <x:c r="AN40" s="9" t="str"/>
      <x:c r="AO40" s="9" t="str">
        <x:v>https://www.ebi.ac.uk/chembl/api/data/activity/16670302.json</x:v>
      </x:c>
      <x:c r="AP40" s="9" t="str">
        <x:v>Cn1c(SCCCN2CCC3(CC3c3ccc(C(F)(F)F)cc3)C2)nnc1-c1ccc(S(N)(=O)=O)cc1</x:v>
      </x:c>
      <x:c r="AQ40" s="9" t="str">
        <x:v>c1ccc(-c2nnc(SCCCN3CCC4(CC4c4ccccc4)C3)[nH]2)cc1</x:v>
      </x:c>
      <x:c r="AR40" s="11" t="n">
        <x:v>551.6600000000002</x:v>
      </x:c>
      <x:c r="AS40" s="11" t="n">
        <x:v>4.510100000000003</x:v>
      </x:c>
      <x:c r="AT40" s="11" t="n">
        <x:v>94.10999999999999</x:v>
      </x:c>
      <x:c r="AU40" s="13" t="n">
        <x:v>1</x:v>
      </x:c>
      <x:c r="AV40" s="13" t="n">
        <x:v>6</x:v>
      </x:c>
      <x:c r="AW40" s="9" t="str">
        <x:v>train</x:v>
      </x:c>
      <x:c r="AX40" s="9" t="str">
        <x:v>source_reported_experimental_pKi</x:v>
      </x:c>
      <x:c r="AY40" s="11" t="n">
        <x:v>6.232688793585715</x:v>
      </x:c>
      <x:c r="AZ40" s="11" t="n">
        <x:v>6.149473684210526</x:v>
      </x:c>
      <x:c r="BA40" s="11" t="n">
        <x:v>0.4273112064142852</x:v>
      </x:c>
      <x:c r="BB40" s="9" t="str">
        <x:v>False</x:v>
      </x:c>
      <x:c r="BC40" s="11" t="n">
        <x:v>0.7857142857142857</x:v>
      </x:c>
    </x:row>
    <x:row r="41" ht="36" customHeight="1">
      <x:c r="A41" s="14" t="str">
        <x:v>HMTJKRFRBLRBNL-BVAGGSTKSA-N</x:v>
      </x:c>
      <x:c r="B41" s="14" t="str">
        <x:v>CHEMBL3979523</x:v>
      </x:c>
      <x:c r="C41" s="14" t="str">
        <x:v>CHEMBL3979523</x:v>
      </x:c>
      <x:c r="D41" s="14" t="str">
        <x:v>16670303</x:v>
      </x:c>
      <x:c r="E41" s="14" t="str">
        <x:v>16670303</x:v>
      </x:c>
      <x:c r="F41" s="14" t="str">
        <x:v>CHEMBL3855278</x:v>
      </x:c>
      <x:c r="G41" s="14" t="str">
        <x:v>CHEMBL217</x:v>
      </x:c>
      <x:c r="H41" s="14" t="str">
        <x:v>CHEMBL3853329</x:v>
      </x:c>
      <x:c r="I41" s="14" t="str">
        <x:v>CC(=O)c1ccc(-c2nnc(SCCCN3CC[C@]4(C[C@@H]4c4ccc(C(F)(F)F)cc4)C3)n2C)cc1</x:v>
      </x:c>
      <x:c r="J41" s="14" t="str">
        <x:v>CC(=O)c1ccc(-c2nnc(SCCCN3CC[C@]4(C[C@@H]4c4ccc(C(F)(F)F)cc4)C3)n2C)cc1</x:v>
      </x:c>
      <x:c r="K41" s="14" t="str">
        <x:v>source_reported_pKi</x:v>
      </x:c>
      <x:c r="L41" s="15" t="n">
        <x:v>6.35</x:v>
      </x:c>
      <x:c r="M41" s="15" t="n">
        <x:v>446.6835921509635</x:v>
      </x:c>
      <x:c r="N41" s="15" t="n">
        <x:v>446.68</x:v>
      </x:c>
      <x:c r="O41" s="15" t="n">
        <x:v>6.350003492533959</x:v>
      </x:c>
      <x:c r="P41" s="16" t="n">
        <x:v>0.000003492533958926458</x:v>
      </x:c>
      <x:c r="Q41" s="16" t="n">
        <x:v>-0.0035921509634704307</x:v>
      </x:c>
      <x:c r="R41" s="15" t="n">
        <x:v>0.00501</x:v>
      </x:c>
      <x:c r="S41" s="14" t="str">
        <x:v>CC(=O)c1ccc(-c2nnc(SCCCN3CC[C@]4(C[C@@H]4c4ccc(C(F)(F)F)cc4)C3)n2C)cc1</x:v>
      </x:c>
      <x:c r="T41" s="14" t="str">
        <x:v>CC(=O)c1ccc(-c2nnc(SCCCN3CC[C@]4(C[C@@H]4c4ccc(C(F)(F)F)cc4)C3)n2C)cc1</x:v>
      </x:c>
      <x:c r="U41" s="14" t="str">
        <x:v>HMTJKRFRBLRBNL-BVAGGSTKSA-N</x:v>
      </x:c>
      <x:c r="V41" s="14" t="str">
        <x:v>CC(=O)c1ccc(-c2nnc(SCCCN3CCC4(CC4c4ccc(C(F)(F)F)cc4)C3)n2C)cc1</x:v>
      </x:c>
      <x:c r="W41" s="14" t="str">
        <x:v>937a5f4a510a2f6c5c20fbc83a11f4d7740ba04666162f3995b908ecc66e0f62</x:v>
      </x:c>
      <x:c r="X41" s="14" t="str">
        <x:v>c1ccc(-c2nnc(SCCCN3CCC4(CC4c4ccccc4)C3)[nH]2)cc1</x:v>
      </x:c>
      <x:c r="Y41" s="14" t="str">
        <x:v>False</x:v>
      </x:c>
      <x:c r="Z41" s="17" t="n">
        <x:v>1</x:v>
      </x:c>
      <x:c r="AA41" s="14" t="str">
        <x:v>include</x:v>
      </x:c>
      <x:c r="AB41" s="14" t="str"/>
      <x:c r="AC41" s="14" t="str">
        <x:v>pKi</x:v>
      </x:c>
      <x:c r="AD41" s="14" t="str">
        <x:v>6.35</x:v>
      </x:c>
      <x:c r="AE41" s="14" t="str"/>
      <x:c r="AF41" s="14" t="str">
        <x:v>=</x:v>
      </x:c>
      <x:c r="AG41" s="14" t="str">
        <x:v>Ki</x:v>
      </x:c>
      <x:c r="AH41" s="15" t="n">
        <x:v>446.68</x:v>
      </x:c>
      <x:c r="AI41" s="14" t="str">
        <x:v>nM</x:v>
      </x:c>
      <x:c r="AJ41" s="14" t="str">
        <x:v>=</x:v>
      </x:c>
      <x:c r="AK41" s="15" t="n">
        <x:v>6.35</x:v>
      </x:c>
      <x:c r="AL41" s="17" t="n">
        <x:v>0</x:v>
      </x:c>
      <x:c r="AM41" s="14" t="str"/>
      <x:c r="AN41" s="14" t="str"/>
      <x:c r="AO41" s="14" t="str">
        <x:v>https://www.ebi.ac.uk/chembl/api/data/activity/16670303.json</x:v>
      </x:c>
      <x:c r="AP41" s="14" t="str">
        <x:v>CC(=O)c1ccc(-c2nnc(SCCCN3CCC4(CC4c4ccc(C(F)(F)F)cc4)C3)n2C)cc1</x:v>
      </x:c>
      <x:c r="AQ41" s="14" t="str">
        <x:v>c1ccc(-c2nnc(SCCCN3CCC4(CC4c4ccccc4)C3)[nH]2)cc1</x:v>
      </x:c>
      <x:c r="AR41" s="15" t="n">
        <x:v>514.6170000000002</x:v>
      </x:c>
      <x:c r="AS41" s="15" t="n">
        <x:v>6.065300000000006</x:v>
      </x:c>
      <x:c r="AT41" s="15" t="n">
        <x:v>51.02</x:v>
      </x:c>
      <x:c r="AU41" s="17" t="n">
        <x:v>0</x:v>
      </x:c>
      <x:c r="AV41" s="17" t="n">
        <x:v>5</x:v>
      </x:c>
      <x:c r="AW41" s="14" t="str">
        <x:v>train</x:v>
      </x:c>
      <x:c r="AX41" s="14" t="str">
        <x:v>source_reported_experimental_pKi</x:v>
      </x:c>
      <x:c r="AY41" s="15" t="n">
        <x:v>6.164667131711127</x:v>
      </x:c>
      <x:c r="AZ41" s="15" t="n">
        <x:v>6.149473684210526</x:v>
      </x:c>
      <x:c r="BA41" s="15" t="n">
        <x:v>0.18533286828887263</x:v>
      </x:c>
      <x:c r="BB41" s="14" t="str">
        <x:v>False</x:v>
      </x:c>
      <x:c r="BC41" s="15" t="n">
        <x:v>0.8714285714285714</x:v>
      </x:c>
    </x:row>
    <x:row r="42" ht="36" customHeight="1">
      <x:c r="A42" s="9" t="str">
        <x:v>ITIATPRLDJMYTO-RDGATRHJSA-N</x:v>
      </x:c>
      <x:c r="B42" s="9" t="str">
        <x:v>CHEMBL3950540</x:v>
      </x:c>
      <x:c r="C42" s="9" t="str">
        <x:v>CHEMBL3950540</x:v>
      </x:c>
      <x:c r="D42" s="9" t="str">
        <x:v>16670304</x:v>
      </x:c>
      <x:c r="E42" s="9" t="str">
        <x:v>16670304</x:v>
      </x:c>
      <x:c r="F42" s="9" t="str">
        <x:v>CHEMBL3855278</x:v>
      </x:c>
      <x:c r="G42" s="9" t="str">
        <x:v>CHEMBL217</x:v>
      </x:c>
      <x:c r="H42" s="9" t="str">
        <x:v>CHEMBL3853329</x:v>
      </x:c>
      <x:c r="I42" s="9" t="str">
        <x:v>Cn1c(SCCCN2CC[C@]3(C[C@@H]3c3ccc(C(F)(F)F)cc3)C2)nnc1-c1ccc(C#N)cc1</x:v>
      </x:c>
      <x:c r="J42" s="9" t="str">
        <x:v>Cn1c(SCCCN2CC[C@]3(C[C@@H]3c3ccc(C(F)(F)F)cc3)C2)nnc1-c1ccc(C#N)cc1</x:v>
      </x:c>
      <x:c r="K42" s="9" t="str">
        <x:v>source_reported_pKi</x:v>
      </x:c>
      <x:c r="L42" s="11" t="n">
        <x:v>6.46</x:v>
      </x:c>
      <x:c r="M42" s="11" t="n">
        <x:v>346.73685045253166</x:v>
      </x:c>
      <x:c r="N42" s="11" t="n">
        <x:v>346.74</x:v>
      </x:c>
      <x:c r="O42" s="11" t="n">
        <x:v>6.459996055149974</x:v>
      </x:c>
      <x:c r="P42" s="12" t="n">
        <x:v>-0.000003944850026194047</x:v>
      </x:c>
      <x:c r="Q42" s="12" t="n">
        <x:v>0.0031495474683538305</x:v>
      </x:c>
      <x:c r="R42" s="11" t="n">
        <x:v>0.00501</x:v>
      </x:c>
      <x:c r="S42" s="9" t="str">
        <x:v>Cn1c(SCCCN2CC[C@]3(C[C@@H]3c3ccc(C(F)(F)F)cc3)C2)nnc1-c1ccc(C#N)cc1</x:v>
      </x:c>
      <x:c r="T42" s="9" t="str">
        <x:v>Cn1c(SCCCN2CC[C@]3(C[C@@H]3c3ccc(C(F)(F)F)cc3)C2)nnc1-c1ccc(C#N)cc1</x:v>
      </x:c>
      <x:c r="U42" s="9" t="str">
        <x:v>ITIATPRLDJMYTO-RDGATRHJSA-N</x:v>
      </x:c>
      <x:c r="V42" s="9" t="str">
        <x:v>Cn1c(SCCCN2CCC3(CC3c3ccc(C(F)(F)F)cc3)C2)nnc1-c1ccc(C#N)cc1</x:v>
      </x:c>
      <x:c r="W42" s="9" t="str">
        <x:v>87e7630fa76ee459b5d904476950fa622c73953c83840af36eeb4e85b24cf142</x:v>
      </x:c>
      <x:c r="X42" s="9" t="str">
        <x:v>c1ccc(-c2nnc(SCCCN3CCC4(CC4c4ccccc4)C3)[nH]2)cc1</x:v>
      </x:c>
      <x:c r="Y42" s="9" t="str">
        <x:v>False</x:v>
      </x:c>
      <x:c r="Z42" s="13" t="n">
        <x:v>1</x:v>
      </x:c>
      <x:c r="AA42" s="9" t="str">
        <x:v>include</x:v>
      </x:c>
      <x:c r="AB42" s="9" t="str"/>
      <x:c r="AC42" s="9" t="str">
        <x:v>pKi</x:v>
      </x:c>
      <x:c r="AD42" s="9" t="str">
        <x:v>6.46</x:v>
      </x:c>
      <x:c r="AE42" s="9" t="str"/>
      <x:c r="AF42" s="9" t="str">
        <x:v>=</x:v>
      </x:c>
      <x:c r="AG42" s="9" t="str">
        <x:v>Ki</x:v>
      </x:c>
      <x:c r="AH42" s="11" t="n">
        <x:v>346.74</x:v>
      </x:c>
      <x:c r="AI42" s="9" t="str">
        <x:v>nM</x:v>
      </x:c>
      <x:c r="AJ42" s="9" t="str">
        <x:v>=</x:v>
      </x:c>
      <x:c r="AK42" s="11" t="n">
        <x:v>6.46</x:v>
      </x:c>
      <x:c r="AL42" s="13" t="n">
        <x:v>0</x:v>
      </x:c>
      <x:c r="AM42" s="9" t="str"/>
      <x:c r="AN42" s="9" t="str"/>
      <x:c r="AO42" s="9" t="str">
        <x:v>https://www.ebi.ac.uk/chembl/api/data/activity/16670304.json</x:v>
      </x:c>
      <x:c r="AP42" s="9" t="str">
        <x:v>Cn1c(SCCCN2CCC3(CC3c3ccc(C(F)(F)F)cc3)C2)nnc1-c1ccc(C#N)cc1</x:v>
      </x:c>
      <x:c r="AQ42" s="9" t="str">
        <x:v>c1ccc(-c2nnc(SCCCN3CCC4(CC4c4ccccc4)C3)[nH]2)cc1</x:v>
      </x:c>
      <x:c r="AR42" s="11" t="n">
        <x:v>497.59000000000015</x:v>
      </x:c>
      <x:c r="AS42" s="11" t="n">
        <x:v>5.734380000000006</x:v>
      </x:c>
      <x:c r="AT42" s="11" t="n">
        <x:v>57.74</x:v>
      </x:c>
      <x:c r="AU42" s="13" t="n">
        <x:v>0</x:v>
      </x:c>
      <x:c r="AV42" s="13" t="n">
        <x:v>5</x:v>
      </x:c>
      <x:c r="AW42" s="9" t="str">
        <x:v>train</x:v>
      </x:c>
      <x:c r="AX42" s="9" t="str">
        <x:v>source_reported_experimental_pKi</x:v>
      </x:c>
      <x:c r="AY42" s="11" t="n">
        <x:v>6.141324619412669</x:v>
      </x:c>
      <x:c r="AZ42" s="11" t="n">
        <x:v>6.149473684210526</x:v>
      </x:c>
      <x:c r="BA42" s="11" t="n">
        <x:v>0.31867538058733125</x:v>
      </x:c>
      <x:c r="BB42" s="9" t="str">
        <x:v>False</x:v>
      </x:c>
      <x:c r="BC42" s="11" t="n">
        <x:v>0.8088235294117647</x:v>
      </x:c>
    </x:row>
    <x:row r="43" ht="36" customHeight="1">
      <x:c r="A43" s="14" t="str">
        <x:v>BCTUVZJFJIFLND-GJZUVCINSA-N</x:v>
      </x:c>
      <x:c r="B43" s="14" t="str">
        <x:v>CHEMBL3981856</x:v>
      </x:c>
      <x:c r="C43" s="14" t="str">
        <x:v>CHEMBL3981856</x:v>
      </x:c>
      <x:c r="D43" s="14" t="str">
        <x:v>16670305</x:v>
      </x:c>
      <x:c r="E43" s="14" t="str">
        <x:v>16670305</x:v>
      </x:c>
      <x:c r="F43" s="14" t="str">
        <x:v>CHEMBL3855278</x:v>
      </x:c>
      <x:c r="G43" s="14" t="str">
        <x:v>CHEMBL217</x:v>
      </x:c>
      <x:c r="H43" s="14" t="str">
        <x:v>CHEMBL3853329</x:v>
      </x:c>
      <x:c r="I43" s="14" t="str">
        <x:v>Cn1c(SCCCN2CC[C@]3(C[C@@H]3c3ccc(C(F)(F)F)cc3)C2)nnc1-c1ccc(CC(N)=O)cc1</x:v>
      </x:c>
      <x:c r="J43" s="14" t="str">
        <x:v>Cn1c(SCCCN2CC[C@]3(C[C@@H]3c3ccc(C(F)(F)F)cc3)C2)nnc1-c1ccc(CC(N)=O)cc1</x:v>
      </x:c>
      <x:c r="K43" s="14" t="str">
        <x:v>source_reported_pKi</x:v>
      </x:c>
      <x:c r="L43" s="15" t="n">
        <x:v>6.33</x:v>
      </x:c>
      <x:c r="M43" s="15" t="n">
        <x:v>467.73514128719813</x:v>
      </x:c>
      <x:c r="N43" s="15" t="n">
        <x:v>467.74</x:v>
      </x:c>
      <x:c r="O43" s="15" t="n">
        <x:v>6.329995488683631</x:v>
      </x:c>
      <x:c r="P43" s="16" t="n">
        <x:v>-0.0000045113163693599745</x:v>
      </x:c>
      <x:c r="Q43" s="16" t="n">
        <x:v>0.0048587128018766634</x:v>
      </x:c>
      <x:c r="R43" s="15" t="n">
        <x:v>0.00501</x:v>
      </x:c>
      <x:c r="S43" s="14" t="str">
        <x:v>Cn1c(SCCCN2CC[C@]3(C[C@@H]3c3ccc(C(F)(F)F)cc3)C2)nnc1-c1ccc(CC(N)=O)cc1</x:v>
      </x:c>
      <x:c r="T43" s="14" t="str">
        <x:v>Cn1c(SCCCN2CC[C@]3(C[C@@H]3c3ccc(C(F)(F)F)cc3)C2)nnc1-c1ccc(CC(N)=O)cc1</x:v>
      </x:c>
      <x:c r="U43" s="14" t="str">
        <x:v>BCTUVZJFJIFLND-GJZUVCINSA-N</x:v>
      </x:c>
      <x:c r="V43" s="14" t="str">
        <x:v>Cn1c(SCCCN2CCC3(CC3c3ccc(C(F)(F)F)cc3)C2)nnc1-c1ccc(CC(N)=O)cc1</x:v>
      </x:c>
      <x:c r="W43" s="14" t="str">
        <x:v>411434279c8dd5ea224d3ee66a301b20e492548db6d6e63d4c904ae6b2ee7597</x:v>
      </x:c>
      <x:c r="X43" s="14" t="str">
        <x:v>c1ccc(-c2nnc(SCCCN3CCC4(CC4c4ccccc4)C3)[nH]2)cc1</x:v>
      </x:c>
      <x:c r="Y43" s="14" t="str">
        <x:v>False</x:v>
      </x:c>
      <x:c r="Z43" s="17" t="n">
        <x:v>1</x:v>
      </x:c>
      <x:c r="AA43" s="14" t="str">
        <x:v>include</x:v>
      </x:c>
      <x:c r="AB43" s="14" t="str"/>
      <x:c r="AC43" s="14" t="str">
        <x:v>pKi</x:v>
      </x:c>
      <x:c r="AD43" s="14" t="str">
        <x:v>6.33</x:v>
      </x:c>
      <x:c r="AE43" s="14" t="str"/>
      <x:c r="AF43" s="14" t="str">
        <x:v>=</x:v>
      </x:c>
      <x:c r="AG43" s="14" t="str">
        <x:v>Ki</x:v>
      </x:c>
      <x:c r="AH43" s="15" t="n">
        <x:v>467.74</x:v>
      </x:c>
      <x:c r="AI43" s="14" t="str">
        <x:v>nM</x:v>
      </x:c>
      <x:c r="AJ43" s="14" t="str">
        <x:v>=</x:v>
      </x:c>
      <x:c r="AK43" s="15" t="n">
        <x:v>6.33</x:v>
      </x:c>
      <x:c r="AL43" s="17" t="n">
        <x:v>0</x:v>
      </x:c>
      <x:c r="AM43" s="14" t="str"/>
      <x:c r="AN43" s="14" t="str"/>
      <x:c r="AO43" s="14" t="str">
        <x:v>https://www.ebi.ac.uk/chembl/api/data/activity/16670305.json</x:v>
      </x:c>
      <x:c r="AP43" s="14" t="str">
        <x:v>Cn1c(SCCCN2CCC3(CC3c3ccc(C(F)(F)F)cc3)C2)nnc1-c1ccc(CC(N)=O)cc1</x:v>
      </x:c>
      <x:c r="AQ43" s="14" t="str">
        <x:v>c1ccc(-c2nnc(SCCCN3CCC4(CC4c4ccccc4)C3)[nH]2)cc1</x:v>
      </x:c>
      <x:c r="AR43" s="15" t="n">
        <x:v>529.6320000000003</x:v>
      </x:c>
      <x:c r="AS43" s="15" t="n">
        <x:v>4.890500000000004</x:v>
      </x:c>
      <x:c r="AT43" s="15" t="n">
        <x:v>77.03999999999999</x:v>
      </x:c>
      <x:c r="AU43" s="17" t="n">
        <x:v>1</x:v>
      </x:c>
      <x:c r="AV43" s="17" t="n">
        <x:v>5</x:v>
      </x:c>
      <x:c r="AW43" s="14" t="str">
        <x:v>train</x:v>
      </x:c>
      <x:c r="AX43" s="14" t="str">
        <x:v>source_reported_experimental_pKi</x:v>
      </x:c>
      <x:c r="AY43" s="15" t="n">
        <x:v>6.222488940782415</x:v>
      </x:c>
      <x:c r="AZ43" s="15" t="n">
        <x:v>6.149473684210526</x:v>
      </x:c>
      <x:c r="BA43" s="15" t="n">
        <x:v>0.10751105921758519</x:v>
      </x:c>
      <x:c r="BB43" s="14" t="str">
        <x:v>False</x:v>
      </x:c>
      <x:c r="BC43" s="15" t="n">
        <x:v>0.8356164383561644</x:v>
      </x:c>
    </x:row>
    <x:row r="44" ht="36" customHeight="1">
      <x:c r="A44" s="9" t="str">
        <x:v>NIFGQHGFOUMQJN-KCWPFWIISA-N</x:v>
      </x:c>
      <x:c r="B44" s="9" t="str">
        <x:v>CHEMBL3941818</x:v>
      </x:c>
      <x:c r="C44" s="9" t="str">
        <x:v>CHEMBL3941818</x:v>
      </x:c>
      <x:c r="D44" s="9" t="str">
        <x:v>16670306</x:v>
      </x:c>
      <x:c r="E44" s="9" t="str">
        <x:v>16670306</x:v>
      </x:c>
      <x:c r="F44" s="9" t="str">
        <x:v>CHEMBL3855278</x:v>
      </x:c>
      <x:c r="G44" s="9" t="str">
        <x:v>CHEMBL217</x:v>
      </x:c>
      <x:c r="H44" s="9" t="str">
        <x:v>CHEMBL3853329</x:v>
      </x:c>
      <x:c r="I44" s="9" t="str">
        <x:v>Cn1c(SCCCN2CC[C@]3(C[C@@H]3c3ccc(C(F)(F)F)cc3)C2)nnc1-c1ccc(-c2ncco2)cc1</x:v>
      </x:c>
      <x:c r="J44" s="9" t="str">
        <x:v>Cn1c(SCCCN2CC[C@]3(C[C@@H]3c3ccc(C(F)(F)F)cc3)C2)nnc1-c1ccc(-c2ncco2)cc1</x:v>
      </x:c>
      <x:c r="K44" s="9" t="str">
        <x:v>source_reported_pKi</x:v>
      </x:c>
      <x:c r="L44" s="11" t="n">
        <x:v>6.44</x:v>
      </x:c>
      <x:c r="M44" s="11" t="n">
        <x:v>363.078054770101</x:v>
      </x:c>
      <x:c r="N44" s="11" t="n">
        <x:v>363.08</x:v>
      </x:c>
      <x:c r="O44" s="11" t="n">
        <x:v>6.4399976732266335</x:v>
      </x:c>
      <x:c r="P44" s="12" t="n">
        <x:v>-0.000002326773366867485</x:v>
      </x:c>
      <x:c r="Q44" s="12" t="n">
        <x:v>0.0019452298989790506</x:v>
      </x:c>
      <x:c r="R44" s="11" t="n">
        <x:v>0.00501</x:v>
      </x:c>
      <x:c r="S44" s="9" t="str">
        <x:v>Cn1c(SCCCN2CC[C@]3(C[C@@H]3c3ccc(C(F)(F)F)cc3)C2)nnc1-c1ccc(-c2ncco2)cc1</x:v>
      </x:c>
      <x:c r="T44" s="9" t="str">
        <x:v>Cn1c(SCCCN2CC[C@]3(C[C@@H]3c3ccc(C(F)(F)F)cc3)C2)nnc1-c1ccc(-c2ncco2)cc1</x:v>
      </x:c>
      <x:c r="U44" s="9" t="str">
        <x:v>NIFGQHGFOUMQJN-KCWPFWIISA-N</x:v>
      </x:c>
      <x:c r="V44" s="9" t="str">
        <x:v>Cn1c(SCCCN2CCC3(CC3c3ccc(C(F)(F)F)cc3)C2)nnc1-c1ccc(-c2ncco2)cc1</x:v>
      </x:c>
      <x:c r="W44" s="9" t="str">
        <x:v>30976e9e06f7c731642413a37e92805222af3364a28811be87a92dc0cf0c7d2d</x:v>
      </x:c>
      <x:c r="X44" s="9" t="str">
        <x:v>c1ccc(C2CC23CCN(CCCSc2nnc(-c4ccc(-c5ncco5)cc4)[nH]2)C3)cc1</x:v>
      </x:c>
      <x:c r="Y44" s="9" t="str">
        <x:v>False</x:v>
      </x:c>
      <x:c r="Z44" s="13" t="n">
        <x:v>1</x:v>
      </x:c>
      <x:c r="AA44" s="9" t="str">
        <x:v>include</x:v>
      </x:c>
      <x:c r="AB44" s="9" t="str"/>
      <x:c r="AC44" s="9" t="str">
        <x:v>pKi</x:v>
      </x:c>
      <x:c r="AD44" s="9" t="str">
        <x:v>6.44</x:v>
      </x:c>
      <x:c r="AE44" s="9" t="str"/>
      <x:c r="AF44" s="9" t="str">
        <x:v>=</x:v>
      </x:c>
      <x:c r="AG44" s="9" t="str">
        <x:v>Ki</x:v>
      </x:c>
      <x:c r="AH44" s="11" t="n">
        <x:v>363.08</x:v>
      </x:c>
      <x:c r="AI44" s="9" t="str">
        <x:v>nM</x:v>
      </x:c>
      <x:c r="AJ44" s="9" t="str">
        <x:v>=</x:v>
      </x:c>
      <x:c r="AK44" s="11" t="n">
        <x:v>6.44</x:v>
      </x:c>
      <x:c r="AL44" s="13" t="n">
        <x:v>0</x:v>
      </x:c>
      <x:c r="AM44" s="9" t="str"/>
      <x:c r="AN44" s="9" t="str"/>
      <x:c r="AO44" s="9" t="str">
        <x:v>https://www.ebi.ac.uk/chembl/api/data/activity/16670306.json</x:v>
      </x:c>
      <x:c r="AP44" s="9" t="str">
        <x:v>Cn1c(SCCCN2CCC3(CC3c3ccc(C(F)(F)F)cc3)C2)nnc1-c1ccc(-c2ncco2)cc1</x:v>
      </x:c>
      <x:c r="AQ44" s="9" t="str">
        <x:v>c1ccc(C2CC23CCN(CCCSc2nnc(-c4ccc(-c5ncco5)cc4)[nH]2)C3)cc1</x:v>
      </x:c>
      <x:c r="AR44" s="11" t="n">
        <x:v>539.6270000000002</x:v>
      </x:c>
      <x:c r="AS44" s="11" t="n">
        <x:v>6.517700000000007</x:v>
      </x:c>
      <x:c r="AT44" s="11" t="n">
        <x:v>59.980000000000004</x:v>
      </x:c>
      <x:c r="AU44" s="13" t="n">
        <x:v>0</x:v>
      </x:c>
      <x:c r="AV44" s="13" t="n">
        <x:v>6</x:v>
      </x:c>
      <x:c r="AW44" s="9" t="str">
        <x:v>train</x:v>
      </x:c>
      <x:c r="AX44" s="9" t="str">
        <x:v>source_reported_experimental_pKi</x:v>
      </x:c>
      <x:c r="AY44" s="11" t="n">
        <x:v>6.291519830346538</x:v>
      </x:c>
      <x:c r="AZ44" s="11" t="n">
        <x:v>6.149473684210526</x:v>
      </x:c>
      <x:c r="BA44" s="11" t="n">
        <x:v>0.1484801696534621</x:v>
      </x:c>
      <x:c r="BB44" s="9" t="str">
        <x:v>False</x:v>
      </x:c>
      <x:c r="BC44" s="11" t="n">
        <x:v>0.8</x:v>
      </x:c>
    </x:row>
    <x:row r="45" ht="36" customHeight="1">
      <x:c r="A45" s="14" t="str">
        <x:v>NMEPMLDUQJFQOK-KCWPFWIISA-N</x:v>
      </x:c>
      <x:c r="B45" s="14" t="str">
        <x:v>CHEMBL3920167</x:v>
      </x:c>
      <x:c r="C45" s="14" t="str">
        <x:v>CHEMBL3920167</x:v>
      </x:c>
      <x:c r="D45" s="14" t="str">
        <x:v>16670307</x:v>
      </x:c>
      <x:c r="E45" s="14" t="str">
        <x:v>16670307</x:v>
      </x:c>
      <x:c r="F45" s="14" t="str">
        <x:v>CHEMBL3855278</x:v>
      </x:c>
      <x:c r="G45" s="14" t="str">
        <x:v>CHEMBL217</x:v>
      </x:c>
      <x:c r="H45" s="14" t="str">
        <x:v>CHEMBL3853329</x:v>
      </x:c>
      <x:c r="I45" s="14" t="str">
        <x:v>Cn1c(SCCCN2CC[C@]3(C[C@@H]3c3ccc(C(F)(F)F)cc3)C2)nnc1-c1cccc(-c2ncco2)c1</x:v>
      </x:c>
      <x:c r="J45" s="14" t="str">
        <x:v>Cn1c(SCCCN2CC[C@]3(C[C@@H]3c3ccc(C(F)(F)F)cc3)C2)nnc1-c1cccc(-c2ncco2)c1</x:v>
      </x:c>
      <x:c r="K45" s="14" t="str">
        <x:v>source_reported_pKi</x:v>
      </x:c>
      <x:c r="L45" s="15" t="n">
        <x:v>6.3</x:v>
      </x:c>
      <x:c r="M45" s="15" t="n">
        <x:v>501.18723362727246</x:v>
      </x:c>
      <x:c r="N45" s="15" t="n">
        <x:v>501.19</x:v>
      </x:c>
      <x:c r="O45" s="15" t="n">
        <x:v>6.299997602857746</x:v>
      </x:c>
      <x:c r="P45" s="16" t="n">
        <x:v>-0.000002397142253585116</x:v>
      </x:c>
      <x:c r="Q45" s="16" t="n">
        <x:v>0.0027663727275353267</x:v>
      </x:c>
      <x:c r="R45" s="15" t="n">
        <x:v>0.00501</x:v>
      </x:c>
      <x:c r="S45" s="14" t="str">
        <x:v>Cn1c(SCCCN2CC[C@]3(C[C@@H]3c3ccc(C(F)(F)F)cc3)C2)nnc1-c1cccc(-c2ncco2)c1</x:v>
      </x:c>
      <x:c r="T45" s="14" t="str">
        <x:v>Cn1c(SCCCN2CC[C@]3(C[C@@H]3c3ccc(C(F)(F)F)cc3)C2)nnc1-c1cccc(-c2ncco2)c1</x:v>
      </x:c>
      <x:c r="U45" s="14" t="str">
        <x:v>NMEPMLDUQJFQOK-KCWPFWIISA-N</x:v>
      </x:c>
      <x:c r="V45" s="14" t="str">
        <x:v>Cn1c(SCCCN2CCC3(CC3c3ccc(C(F)(F)F)cc3)C2)nnc1-c1cccc(-c2ncco2)c1</x:v>
      </x:c>
      <x:c r="W45" s="14" t="str">
        <x:v>28764455c1c52ec84bfcdc47fbdd7f951200696393581083dcb0a1b873472a1d</x:v>
      </x:c>
      <x:c r="X45" s="14" t="str">
        <x:v>c1ccc(C2CC23CCN(CCCSc2nnc(-c4cccc(-c5ncco5)c4)[nH]2)C3)cc1</x:v>
      </x:c>
      <x:c r="Y45" s="14" t="str">
        <x:v>False</x:v>
      </x:c>
      <x:c r="Z45" s="17" t="n">
        <x:v>1</x:v>
      </x:c>
      <x:c r="AA45" s="14" t="str">
        <x:v>include</x:v>
      </x:c>
      <x:c r="AB45" s="14" t="str"/>
      <x:c r="AC45" s="14" t="str">
        <x:v>pKi</x:v>
      </x:c>
      <x:c r="AD45" s="14" t="str">
        <x:v>6.3</x:v>
      </x:c>
      <x:c r="AE45" s="14" t="str"/>
      <x:c r="AF45" s="14" t="str">
        <x:v>=</x:v>
      </x:c>
      <x:c r="AG45" s="14" t="str">
        <x:v>Ki</x:v>
      </x:c>
      <x:c r="AH45" s="15" t="n">
        <x:v>501.19</x:v>
      </x:c>
      <x:c r="AI45" s="14" t="str">
        <x:v>nM</x:v>
      </x:c>
      <x:c r="AJ45" s="14" t="str">
        <x:v>=</x:v>
      </x:c>
      <x:c r="AK45" s="15" t="n">
        <x:v>6.3</x:v>
      </x:c>
      <x:c r="AL45" s="17" t="n">
        <x:v>0</x:v>
      </x:c>
      <x:c r="AM45" s="14" t="str"/>
      <x:c r="AN45" s="14" t="str"/>
      <x:c r="AO45" s="14" t="str">
        <x:v>https://www.ebi.ac.uk/chembl/api/data/activity/16670307.json</x:v>
      </x:c>
      <x:c r="AP45" s="14" t="str">
        <x:v>Cn1c(SCCCN2CCC3(CC3c3ccc(C(F)(F)F)cc3)C2)nnc1-c1cccc(-c2ncco2)c1</x:v>
      </x:c>
      <x:c r="AQ45" s="14" t="str">
        <x:v>c1ccc(C2CC23CCN(CCCSc2nnc(-c4cccc(-c5ncco5)c4)[nH]2)C3)cc1</x:v>
      </x:c>
      <x:c r="AR45" s="15" t="n">
        <x:v>539.6270000000002</x:v>
      </x:c>
      <x:c r="AS45" s="15" t="n">
        <x:v>6.517700000000007</x:v>
      </x:c>
      <x:c r="AT45" s="15" t="n">
        <x:v>59.980000000000004</x:v>
      </x:c>
      <x:c r="AU45" s="17" t="n">
        <x:v>0</x:v>
      </x:c>
      <x:c r="AV45" s="17" t="n">
        <x:v>6</x:v>
      </x:c>
      <x:c r="AW45" s="14" t="str">
        <x:v>test</x:v>
      </x:c>
      <x:c r="AX45" s="14" t="str">
        <x:v>source_reported_experimental_pKi</x:v>
      </x:c>
      <x:c r="AY45" s="15" t="n">
        <x:v>6.291519830346538</x:v>
      </x:c>
      <x:c r="AZ45" s="15" t="n">
        <x:v>6.149473684210526</x:v>
      </x:c>
      <x:c r="BA45" s="15" t="n">
        <x:v>0.008480169653461544</x:v>
      </x:c>
      <x:c r="BB45" s="14" t="str">
        <x:v>False</x:v>
      </x:c>
      <x:c r="BC45" s="15" t="n">
        <x:v>0.8783783783783784</x:v>
      </x:c>
    </x:row>
    <x:row r="46" ht="36" customHeight="1">
      <x:c r="A46" s="9" t="str">
        <x:v>DWDIQEPGVYBABO-REWPJTCUSA-N</x:v>
      </x:c>
      <x:c r="B46" s="9" t="str">
        <x:v>CHEMBL3947961</x:v>
      </x:c>
      <x:c r="C46" s="9" t="str">
        <x:v>CHEMBL3947961</x:v>
      </x:c>
      <x:c r="D46" s="9" t="str">
        <x:v>16670402</x:v>
      </x:c>
      <x:c r="E46" s="9" t="str">
        <x:v>16670402</x:v>
      </x:c>
      <x:c r="F46" s="9" t="str">
        <x:v>CHEMBL3855278</x:v>
      </x:c>
      <x:c r="G46" s="9" t="str">
        <x:v>CHEMBL217</x:v>
      </x:c>
      <x:c r="H46" s="9" t="str">
        <x:v>CHEMBL3853329</x:v>
      </x:c>
      <x:c r="I46" s="9" t="str">
        <x:v>Cn1c(SCCCN2CC[C@]3(C[C@H]3c3ccc(C(F)(F)F)cc3)C2)nnc1-c1ccncc1</x:v>
      </x:c>
      <x:c r="J46" s="9" t="str">
        <x:v>Cn1c(SCCCN2CC[C@]3(C[C@H]3c3ccc(C(F)(F)F)cc3)C2)nnc1-c1ccncc1</x:v>
      </x:c>
      <x:c r="K46" s="9" t="str">
        <x:v>source_reported_pKi</x:v>
      </x:c>
      <x:c r="L46" s="11" t="n">
        <x:v>6.06</x:v>
      </x:c>
      <x:c r="M46" s="11" t="n">
        <x:v>870.9635899560815</x:v>
      </x:c>
      <x:c r="N46" s="11" t="n">
        <x:v>870.96</x:v>
      </x:c>
      <x:c r="O46" s="11" t="n">
        <x:v>6.060001790087838</x:v>
      </x:c>
      <x:c r="P46" s="12" t="n">
        <x:v>0.000001790087837960641</x:v>
      </x:c>
      <x:c r="Q46" s="12" t="n">
        <x:v>-0.0035899560814414144</x:v>
      </x:c>
      <x:c r="R46" s="11" t="n">
        <x:v>0.00501</x:v>
      </x:c>
      <x:c r="S46" s="9" t="str">
        <x:v>Cn1c(SCCCN2CC[C@]3(C[C@H]3c3ccc(C(F)(F)F)cc3)C2)nnc1-c1ccncc1</x:v>
      </x:c>
      <x:c r="T46" s="9" t="str">
        <x:v>Cn1c(SCCCN2CC[C@]3(C[C@H]3c3ccc(C(F)(F)F)cc3)C2)nnc1-c1ccncc1</x:v>
      </x:c>
      <x:c r="U46" s="9" t="str">
        <x:v>DWDIQEPGVYBABO-REWPJTCUSA-N</x:v>
      </x:c>
      <x:c r="V46" s="9" t="str">
        <x:v>Cn1c(SCCCN2CCC3(CC3c3ccc(C(F)(F)F)cc3)C2)nnc1-c1ccncc1</x:v>
      </x:c>
      <x:c r="W46" s="9" t="str">
        <x:v>5522edf84997096a309961b03bdedf323da8ac9d914587fed4da9d136ce2bdeb</x:v>
      </x:c>
      <x:c r="X46" s="9" t="str">
        <x:v>c1ccc(C2CC23CCN(CCCSc2nnc(-c4ccncc4)[nH]2)C3)cc1</x:v>
      </x:c>
      <x:c r="Y46" s="9" t="str">
        <x:v>False</x:v>
      </x:c>
      <x:c r="Z46" s="13" t="n">
        <x:v>1</x:v>
      </x:c>
      <x:c r="AA46" s="9" t="str">
        <x:v>include</x:v>
      </x:c>
      <x:c r="AB46" s="9" t="str"/>
      <x:c r="AC46" s="9" t="str">
        <x:v>pKi</x:v>
      </x:c>
      <x:c r="AD46" s="9" t="str">
        <x:v>6.06</x:v>
      </x:c>
      <x:c r="AE46" s="9" t="str"/>
      <x:c r="AF46" s="9" t="str">
        <x:v>=</x:v>
      </x:c>
      <x:c r="AG46" s="9" t="str">
        <x:v>Ki</x:v>
      </x:c>
      <x:c r="AH46" s="11" t="n">
        <x:v>870.96</x:v>
      </x:c>
      <x:c r="AI46" s="9" t="str">
        <x:v>nM</x:v>
      </x:c>
      <x:c r="AJ46" s="9" t="str">
        <x:v>=</x:v>
      </x:c>
      <x:c r="AK46" s="11" t="n">
        <x:v>6.06</x:v>
      </x:c>
      <x:c r="AL46" s="13" t="n">
        <x:v>0</x:v>
      </x:c>
      <x:c r="AM46" s="9" t="str"/>
      <x:c r="AN46" s="9" t="str"/>
      <x:c r="AO46" s="9" t="str">
        <x:v>https://www.ebi.ac.uk/chembl/api/data/activity/16670402.json</x:v>
      </x:c>
      <x:c r="AP46" s="9" t="str">
        <x:v>Cn1c(SCCCN2CCC3(CC3c3ccc(C(F)(F)F)cc3)C2)nnc1-c1ccncc1</x:v>
      </x:c>
      <x:c r="AQ46" s="9" t="str">
        <x:v>c1ccc(C2CC23CCN(CCCSc2nnc(-c4ccncc4)[nH]2)C3)cc1</x:v>
      </x:c>
      <x:c r="AR46" s="11" t="n">
        <x:v>473.5680000000001</x:v>
      </x:c>
      <x:c r="AS46" s="11" t="n">
        <x:v>5.257700000000005</x:v>
      </x:c>
      <x:c r="AT46" s="11" t="n">
        <x:v>46.84</x:v>
      </x:c>
      <x:c r="AU46" s="13" t="n">
        <x:v>0</x:v>
      </x:c>
      <x:c r="AV46" s="13" t="n">
        <x:v>5</x:v>
      </x:c>
      <x:c r="AW46" s="9" t="str">
        <x:v>train</x:v>
      </x:c>
      <x:c r="AX46" s="9" t="str">
        <x:v>source_reported_experimental_pKi</x:v>
      </x:c>
      <x:c r="AY46" s="11" t="n">
        <x:v>6.1076279520741465</x:v>
      </x:c>
      <x:c r="AZ46" s="11" t="n">
        <x:v>6.149473684210526</x:v>
      </x:c>
      <x:c r="BA46" s="11" t="n">
        <x:v>-0.04762795207414694</x:v>
      </x:c>
      <x:c r="BB46" s="9" t="str">
        <x:v>False</x:v>
      </x:c>
      <x:c r="BC46" s="11" t="n">
        <x:v>1</x:v>
      </x:c>
    </x:row>
    <x:row r="47" ht="36" customHeight="1">
      <x:c r="A47" s="14" t="str">
        <x:v>DWDIQEPGVYBABO-OFNKIYASSA-N</x:v>
      </x:c>
      <x:c r="B47" s="14" t="str">
        <x:v>CHEMBL3929083</x:v>
      </x:c>
      <x:c r="C47" s="14" t="str">
        <x:v>CHEMBL3929083</x:v>
      </x:c>
      <x:c r="D47" s="14" t="str">
        <x:v>16670403</x:v>
      </x:c>
      <x:c r="E47" s="14" t="str">
        <x:v>16670403</x:v>
      </x:c>
      <x:c r="F47" s="14" t="str">
        <x:v>CHEMBL3855278</x:v>
      </x:c>
      <x:c r="G47" s="14" t="str">
        <x:v>CHEMBL217</x:v>
      </x:c>
      <x:c r="H47" s="14" t="str">
        <x:v>CHEMBL3853329</x:v>
      </x:c>
      <x:c r="I47" s="14" t="str">
        <x:v>Cn1c(SCCCN2CC[C@]3(C[C@@H]3c3ccc(C(F)(F)F)cc3)C2)nnc1-c1ccncc1</x:v>
      </x:c>
      <x:c r="J47" s="14" t="str">
        <x:v>Cn1c(SCCCN2CC[C@]3(C[C@@H]3c3ccc(C(F)(F)F)cc3)C2)nnc1-c1ccncc1</x:v>
      </x:c>
      <x:c r="K47" s="14" t="str">
        <x:v>source_reported_pKi</x:v>
      </x:c>
      <x:c r="L47" s="15" t="n">
        <x:v>6.21</x:v>
      </x:c>
      <x:c r="M47" s="15" t="n">
        <x:v>616.5950018614822</x:v>
      </x:c>
      <x:c r="N47" s="15" t="n">
        <x:v>616.6</x:v>
      </x:c>
      <x:c r="O47" s="15" t="n">
        <x:v>6.209996479609511</x:v>
      </x:c>
      <x:c r="P47" s="16" t="n">
        <x:v>-0.0000035203904893421623</x:v>
      </x:c>
      <x:c r="Q47" s="16" t="n">
        <x:v>0.0049981385178625715</x:v>
      </x:c>
      <x:c r="R47" s="15" t="n">
        <x:v>0.00501</x:v>
      </x:c>
      <x:c r="S47" s="14" t="str">
        <x:v>Cn1c(SCCCN2CC[C@]3(C[C@@H]3c3ccc(C(F)(F)F)cc3)C2)nnc1-c1ccncc1</x:v>
      </x:c>
      <x:c r="T47" s="14" t="str">
        <x:v>Cn1c(SCCCN2CC[C@]3(C[C@@H]3c3ccc(C(F)(F)F)cc3)C2)nnc1-c1ccncc1</x:v>
      </x:c>
      <x:c r="U47" s="14" t="str">
        <x:v>DWDIQEPGVYBABO-OFNKIYASSA-N</x:v>
      </x:c>
      <x:c r="V47" s="14" t="str">
        <x:v>Cn1c(SCCCN2CCC3(CC3c3ccc(C(F)(F)F)cc3)C2)nnc1-c1ccncc1</x:v>
      </x:c>
      <x:c r="W47" s="14" t="str">
        <x:v>5522edf84997096a309961b03bdedf323da8ac9d914587fed4da9d136ce2bdeb</x:v>
      </x:c>
      <x:c r="X47" s="14" t="str">
        <x:v>c1ccc(C2CC23CCN(CCCSc2nnc(-c4ccncc4)[nH]2)C3)cc1</x:v>
      </x:c>
      <x:c r="Y47" s="14" t="str">
        <x:v>False</x:v>
      </x:c>
      <x:c r="Z47" s="17" t="n">
        <x:v>1</x:v>
      </x:c>
      <x:c r="AA47" s="14" t="str">
        <x:v>include</x:v>
      </x:c>
      <x:c r="AB47" s="14" t="str"/>
      <x:c r="AC47" s="14" t="str">
        <x:v>pKi</x:v>
      </x:c>
      <x:c r="AD47" s="14" t="str">
        <x:v>6.21</x:v>
      </x:c>
      <x:c r="AE47" s="14" t="str"/>
      <x:c r="AF47" s="14" t="str">
        <x:v>=</x:v>
      </x:c>
      <x:c r="AG47" s="14" t="str">
        <x:v>Ki</x:v>
      </x:c>
      <x:c r="AH47" s="15" t="n">
        <x:v>616.6</x:v>
      </x:c>
      <x:c r="AI47" s="14" t="str">
        <x:v>nM</x:v>
      </x:c>
      <x:c r="AJ47" s="14" t="str">
        <x:v>=</x:v>
      </x:c>
      <x:c r="AK47" s="15" t="n">
        <x:v>6.21</x:v>
      </x:c>
      <x:c r="AL47" s="17" t="n">
        <x:v>0</x:v>
      </x:c>
      <x:c r="AM47" s="14" t="str"/>
      <x:c r="AN47" s="14" t="str"/>
      <x:c r="AO47" s="14" t="str">
        <x:v>https://www.ebi.ac.uk/chembl/api/data/activity/16670403.json</x:v>
      </x:c>
      <x:c r="AP47" s="14" t="str">
        <x:v>Cn1c(SCCCN2CCC3(CC3c3ccc(C(F)(F)F)cc3)C2)nnc1-c1ccncc1</x:v>
      </x:c>
      <x:c r="AQ47" s="14" t="str">
        <x:v>c1ccc(C2CC23CCN(CCCSc2nnc(-c4ccncc4)[nH]2)C3)cc1</x:v>
      </x:c>
      <x:c r="AR47" s="15" t="n">
        <x:v>473.5680000000001</x:v>
      </x:c>
      <x:c r="AS47" s="15" t="n">
        <x:v>5.257700000000005</x:v>
      </x:c>
      <x:c r="AT47" s="15" t="n">
        <x:v>46.84</x:v>
      </x:c>
      <x:c r="AU47" s="17" t="n">
        <x:v>0</x:v>
      </x:c>
      <x:c r="AV47" s="17" t="n">
        <x:v>5</x:v>
      </x:c>
      <x:c r="AW47" s="14" t="str">
        <x:v>train</x:v>
      </x:c>
      <x:c r="AX47" s="14" t="str">
        <x:v>source_reported_experimental_pKi</x:v>
      </x:c>
      <x:c r="AY47" s="15" t="n">
        <x:v>6.1076279520741465</x:v>
      </x:c>
      <x:c r="AZ47" s="15" t="n">
        <x:v>6.149473684210526</x:v>
      </x:c>
      <x:c r="BA47" s="15" t="n">
        <x:v>0.10237204792585342</x:v>
      </x:c>
      <x:c r="BB47" s="14" t="str">
        <x:v>False</x:v>
      </x:c>
      <x:c r="BC47" s="15" t="n">
        <x:v>1</x:v>
      </x:c>
    </x:row>
    <x:row r="48" ht="36" customHeight="1">
      <x:c r="A48" s="9" t="str">
        <x:v>ZDHMFNGMBGJLNF-REWPJTCUSA-N</x:v>
      </x:c>
      <x:c r="B48" s="9" t="str">
        <x:v>CHEMBL3956612</x:v>
      </x:c>
      <x:c r="C48" s="9" t="str">
        <x:v>CHEMBL3956612</x:v>
      </x:c>
      <x:c r="D48" s="9" t="str">
        <x:v>16670404</x:v>
      </x:c>
      <x:c r="E48" s="9" t="str">
        <x:v>16670404</x:v>
      </x:c>
      <x:c r="F48" s="9" t="str">
        <x:v>CHEMBL3855278</x:v>
      </x:c>
      <x:c r="G48" s="9" t="str">
        <x:v>CHEMBL217</x:v>
      </x:c>
      <x:c r="H48" s="9" t="str">
        <x:v>CHEMBL3853329</x:v>
      </x:c>
      <x:c r="I48" s="9" t="str">
        <x:v>Cn1c(SCCCN2CC[C@]3(C[C@H]3c3ccc(C(F)(F)F)cc3)C2)nnc1-c1cccnc1</x:v>
      </x:c>
      <x:c r="J48" s="9" t="str">
        <x:v>Cn1c(SCCCN2CC[C@]3(C[C@H]3c3ccc(C(F)(F)F)cc3)C2)nnc1-c1cccnc1</x:v>
      </x:c>
      <x:c r="K48" s="9" t="str">
        <x:v>source_reported_pKi</x:v>
      </x:c>
      <x:c r="L48" s="11" t="n">
        <x:v>5.87</x:v>
      </x:c>
      <x:c r="M48" s="11" t="n">
        <x:v>1348.9628825916532</x:v>
      </x:c>
      <x:c r="N48" s="11" t="n">
        <x:v>1348.96</x:v>
      </x:c>
      <x:c r="O48" s="11" t="n">
        <x:v>5.8700009280425745</x:v>
      </x:c>
      <x:c r="P48" s="12" t="n">
        <x:v>9.280425743440901e-7</x:v>
      </x:c>
      <x:c r="Q48" s="12" t="n">
        <x:v>-0.002882591653133204</x:v>
      </x:c>
      <x:c r="R48" s="11" t="n">
        <x:v>0.00501</x:v>
      </x:c>
      <x:c r="S48" s="9" t="str">
        <x:v>Cn1c(SCCCN2CC[C@]3(C[C@H]3c3ccc(C(F)(F)F)cc3)C2)nnc1-c1cccnc1</x:v>
      </x:c>
      <x:c r="T48" s="9" t="str">
        <x:v>Cn1c(SCCCN2CC[C@]3(C[C@H]3c3ccc(C(F)(F)F)cc3)C2)nnc1-c1cccnc1</x:v>
      </x:c>
      <x:c r="U48" s="9" t="str">
        <x:v>ZDHMFNGMBGJLNF-REWPJTCUSA-N</x:v>
      </x:c>
      <x:c r="V48" s="9" t="str">
        <x:v>Cn1c(SCCCN2CCC3(CC3c3ccc(C(F)(F)F)cc3)C2)nnc1-c1cccnc1</x:v>
      </x:c>
      <x:c r="W48" s="9" t="str">
        <x:v>87c0c996e232691977260b40109235ecd04862f1f26c3b32addaaa4ba5c4e385</x:v>
      </x:c>
      <x:c r="X48" s="9" t="str">
        <x:v>c1ccc(C2CC23CCN(CCCSc2nnc(-c4cccnc4)[nH]2)C3)cc1</x:v>
      </x:c>
      <x:c r="Y48" s="9" t="str">
        <x:v>False</x:v>
      </x:c>
      <x:c r="Z48" s="13" t="n">
        <x:v>1</x:v>
      </x:c>
      <x:c r="AA48" s="9" t="str">
        <x:v>include</x:v>
      </x:c>
      <x:c r="AB48" s="9" t="str"/>
      <x:c r="AC48" s="9" t="str">
        <x:v>pKi</x:v>
      </x:c>
      <x:c r="AD48" s="9" t="str">
        <x:v>5.87</x:v>
      </x:c>
      <x:c r="AE48" s="9" t="str"/>
      <x:c r="AF48" s="9" t="str">
        <x:v>=</x:v>
      </x:c>
      <x:c r="AG48" s="9" t="str">
        <x:v>Ki</x:v>
      </x:c>
      <x:c r="AH48" s="11" t="n">
        <x:v>1348.96</x:v>
      </x:c>
      <x:c r="AI48" s="9" t="str">
        <x:v>nM</x:v>
      </x:c>
      <x:c r="AJ48" s="9" t="str">
        <x:v>=</x:v>
      </x:c>
      <x:c r="AK48" s="11" t="n">
        <x:v>5.87</x:v>
      </x:c>
      <x:c r="AL48" s="13" t="n">
        <x:v>0</x:v>
      </x:c>
      <x:c r="AM48" s="9" t="str"/>
      <x:c r="AN48" s="9" t="str"/>
      <x:c r="AO48" s="9" t="str">
        <x:v>https://www.ebi.ac.uk/chembl/api/data/activity/16670404.json</x:v>
      </x:c>
      <x:c r="AP48" s="9" t="str">
        <x:v>Cn1c(SCCCN2CCC3(CC3c3ccc(C(F)(F)F)cc3)C2)nnc1-c1cccnc1</x:v>
      </x:c>
      <x:c r="AQ48" s="9" t="str">
        <x:v>c1ccc(C2CC23CCN(CCCSc2nnc(-c4cccnc4)[nH]2)C3)cc1</x:v>
      </x:c>
      <x:c r="AR48" s="11" t="n">
        <x:v>473.5680000000001</x:v>
      </x:c>
      <x:c r="AS48" s="11" t="n">
        <x:v>5.257700000000005</x:v>
      </x:c>
      <x:c r="AT48" s="11" t="n">
        <x:v>46.84</x:v>
      </x:c>
      <x:c r="AU48" s="13" t="n">
        <x:v>0</x:v>
      </x:c>
      <x:c r="AV48" s="13" t="n">
        <x:v>5</x:v>
      </x:c>
      <x:c r="AW48" s="9" t="str">
        <x:v>train</x:v>
      </x:c>
      <x:c r="AX48" s="9" t="str">
        <x:v>source_reported_experimental_pKi</x:v>
      </x:c>
      <x:c r="AY48" s="11" t="n">
        <x:v>6.1076279520741465</x:v>
      </x:c>
      <x:c r="AZ48" s="11" t="n">
        <x:v>6.149473684210526</x:v>
      </x:c>
      <x:c r="BA48" s="11" t="n">
        <x:v>-0.23762795207414644</x:v>
      </x:c>
      <x:c r="BB48" s="9" t="str">
        <x:v>False</x:v>
      </x:c>
      <x:c r="BC48" s="11" t="n">
        <x:v>1</x:v>
      </x:c>
    </x:row>
    <x:row r="49" ht="36" customHeight="1">
      <x:c r="A49" s="14" t="str">
        <x:v>ZDHMFNGMBGJLNF-OFNKIYASSA-N</x:v>
      </x:c>
      <x:c r="B49" s="14" t="str">
        <x:v>CHEMBL3938107</x:v>
      </x:c>
      <x:c r="C49" s="14" t="str">
        <x:v>CHEMBL3938107</x:v>
      </x:c>
      <x:c r="D49" s="14" t="str">
        <x:v>16670405</x:v>
      </x:c>
      <x:c r="E49" s="14" t="str">
        <x:v>16670405</x:v>
      </x:c>
      <x:c r="F49" s="14" t="str">
        <x:v>CHEMBL3855278</x:v>
      </x:c>
      <x:c r="G49" s="14" t="str">
        <x:v>CHEMBL217</x:v>
      </x:c>
      <x:c r="H49" s="14" t="str">
        <x:v>CHEMBL3853329</x:v>
      </x:c>
      <x:c r="I49" s="14" t="str">
        <x:v>Cn1c(SCCCN2CC[C@]3(C[C@@H]3c3ccc(C(F)(F)F)cc3)C2)nnc1-c1cccnc1</x:v>
      </x:c>
      <x:c r="J49" s="14" t="str">
        <x:v>Cn1c(SCCCN2CC[C@]3(C[C@@H]3c3ccc(C(F)(F)F)cc3)C2)nnc1-c1cccnc1</x:v>
      </x:c>
      <x:c r="K49" s="14" t="str">
        <x:v>source_reported_pKi</x:v>
      </x:c>
      <x:c r="L49" s="15" t="n">
        <x:v>6.05</x:v>
      </x:c>
      <x:c r="M49" s="15" t="n">
        <x:v>891.2509381337459</x:v>
      </x:c>
      <x:c r="N49" s="15" t="n">
        <x:v>891.25</x:v>
      </x:c>
      <x:c r="O49" s="15" t="n">
        <x:v>6.050000457140078</x:v>
      </x:c>
      <x:c r="P49" s="16" t="n">
        <x:v>4.571400777919621e-7</x:v>
      </x:c>
      <x:c r="Q49" s="16" t="n">
        <x:v>-0.0009381337458762573</x:v>
      </x:c>
      <x:c r="R49" s="15" t="n">
        <x:v>0.00501</x:v>
      </x:c>
      <x:c r="S49" s="14" t="str">
        <x:v>Cn1c(SCCCN2CC[C@]3(C[C@@H]3c3ccc(C(F)(F)F)cc3)C2)nnc1-c1cccnc1</x:v>
      </x:c>
      <x:c r="T49" s="14" t="str">
        <x:v>Cn1c(SCCCN2CC[C@]3(C[C@@H]3c3ccc(C(F)(F)F)cc3)C2)nnc1-c1cccnc1</x:v>
      </x:c>
      <x:c r="U49" s="14" t="str">
        <x:v>ZDHMFNGMBGJLNF-OFNKIYASSA-N</x:v>
      </x:c>
      <x:c r="V49" s="14" t="str">
        <x:v>Cn1c(SCCCN2CCC3(CC3c3ccc(C(F)(F)F)cc3)C2)nnc1-c1cccnc1</x:v>
      </x:c>
      <x:c r="W49" s="14" t="str">
        <x:v>87c0c996e232691977260b40109235ecd04862f1f26c3b32addaaa4ba5c4e385</x:v>
      </x:c>
      <x:c r="X49" s="14" t="str">
        <x:v>c1ccc(C2CC23CCN(CCCSc2nnc(-c4cccnc4)[nH]2)C3)cc1</x:v>
      </x:c>
      <x:c r="Y49" s="14" t="str">
        <x:v>False</x:v>
      </x:c>
      <x:c r="Z49" s="17" t="n">
        <x:v>1</x:v>
      </x:c>
      <x:c r="AA49" s="14" t="str">
        <x:v>include</x:v>
      </x:c>
      <x:c r="AB49" s="14" t="str"/>
      <x:c r="AC49" s="14" t="str">
        <x:v>pKi</x:v>
      </x:c>
      <x:c r="AD49" s="14" t="str">
        <x:v>6.05</x:v>
      </x:c>
      <x:c r="AE49" s="14" t="str"/>
      <x:c r="AF49" s="14" t="str">
        <x:v>=</x:v>
      </x:c>
      <x:c r="AG49" s="14" t="str">
        <x:v>Ki</x:v>
      </x:c>
      <x:c r="AH49" s="15" t="n">
        <x:v>891.25</x:v>
      </x:c>
      <x:c r="AI49" s="14" t="str">
        <x:v>nM</x:v>
      </x:c>
      <x:c r="AJ49" s="14" t="str">
        <x:v>=</x:v>
      </x:c>
      <x:c r="AK49" s="15" t="n">
        <x:v>6.05</x:v>
      </x:c>
      <x:c r="AL49" s="17" t="n">
        <x:v>0</x:v>
      </x:c>
      <x:c r="AM49" s="14" t="str"/>
      <x:c r="AN49" s="14" t="str"/>
      <x:c r="AO49" s="14" t="str">
        <x:v>https://www.ebi.ac.uk/chembl/api/data/activity/16670405.json</x:v>
      </x:c>
      <x:c r="AP49" s="14" t="str">
        <x:v>Cn1c(SCCCN2CCC3(CC3c3ccc(C(F)(F)F)cc3)C2)nnc1-c1cccnc1</x:v>
      </x:c>
      <x:c r="AQ49" s="14" t="str">
        <x:v>c1ccc(C2CC23CCN(CCCSc2nnc(-c4cccnc4)[nH]2)C3)cc1</x:v>
      </x:c>
      <x:c r="AR49" s="15" t="n">
        <x:v>473.5680000000001</x:v>
      </x:c>
      <x:c r="AS49" s="15" t="n">
        <x:v>5.257700000000005</x:v>
      </x:c>
      <x:c r="AT49" s="15" t="n">
        <x:v>46.84</x:v>
      </x:c>
      <x:c r="AU49" s="17" t="n">
        <x:v>0</x:v>
      </x:c>
      <x:c r="AV49" s="17" t="n">
        <x:v>5</x:v>
      </x:c>
      <x:c r="AW49" s="14" t="str">
        <x:v>train</x:v>
      </x:c>
      <x:c r="AX49" s="14" t="str">
        <x:v>source_reported_experimental_pKi</x:v>
      </x:c>
      <x:c r="AY49" s="15" t="n">
        <x:v>6.1076279520741465</x:v>
      </x:c>
      <x:c r="AZ49" s="15" t="n">
        <x:v>6.149473684210526</x:v>
      </x:c>
      <x:c r="BA49" s="15" t="n">
        <x:v>-0.05762795207414673</x:v>
      </x:c>
      <x:c r="BB49" s="14" t="str">
        <x:v>False</x:v>
      </x:c>
      <x:c r="BC49" s="15" t="n">
        <x:v>1</x:v>
      </x:c>
    </x:row>
    <x:row r="50" ht="36" customHeight="1">
      <x:c r="A50" s="9" t="str">
        <x:v>BGJXBVUWLFEJNM-CVDCTZTESA-N</x:v>
      </x:c>
      <x:c r="B50" s="9" t="str">
        <x:v>CHEMBL3967683</x:v>
      </x:c>
      <x:c r="C50" s="9" t="str">
        <x:v>CHEMBL3967683</x:v>
      </x:c>
      <x:c r="D50" s="9" t="str">
        <x:v>16670406</x:v>
      </x:c>
      <x:c r="E50" s="9" t="str">
        <x:v>16670406</x:v>
      </x:c>
      <x:c r="F50" s="9" t="str">
        <x:v>CHEMBL3855278</x:v>
      </x:c>
      <x:c r="G50" s="9" t="str">
        <x:v>CHEMBL217</x:v>
      </x:c>
      <x:c r="H50" s="9" t="str">
        <x:v>CHEMBL3853329</x:v>
      </x:c>
      <x:c r="I50" s="9" t="str">
        <x:v>Cn1c(SCCCN2CC[C@]3(C[C@H]3c3ccc(C(F)(F)F)cc3)C2)nnc1-c1ccccn1</x:v>
      </x:c>
      <x:c r="J50" s="9" t="str">
        <x:v>Cn1c(SCCCN2CC[C@]3(C[C@H]3c3ccc(C(F)(F)F)cc3)C2)nnc1-c1ccccn1</x:v>
      </x:c>
      <x:c r="K50" s="9" t="str">
        <x:v>source_reported_pKi</x:v>
      </x:c>
      <x:c r="L50" s="11" t="n">
        <x:v>6.2</x:v>
      </x:c>
      <x:c r="M50" s="11" t="n">
        <x:v>630.957344480193</x:v>
      </x:c>
      <x:c r="N50" s="11" t="n">
        <x:v>630.96</x:v>
      </x:c>
      <x:c r="O50" s="11" t="n">
        <x:v>6.199998172182031</x:v>
      </x:c>
      <x:c r="P50" s="12" t="n">
        <x:v>-0.0000018278179689801277</x:v>
      </x:c>
      <x:c r="Q50" s="12" t="n">
        <x:v>0.002655519807035489</x:v>
      </x:c>
      <x:c r="R50" s="11" t="n">
        <x:v>0.00501</x:v>
      </x:c>
      <x:c r="S50" s="9" t="str">
        <x:v>Cn1c(SCCCN2CC[C@]3(C[C@H]3c3ccc(C(F)(F)F)cc3)C2)nnc1-c1ccccn1</x:v>
      </x:c>
      <x:c r="T50" s="9" t="str">
        <x:v>Cn1c(SCCCN2CC[C@]3(C[C@H]3c3ccc(C(F)(F)F)cc3)C2)nnc1-c1ccccn1</x:v>
      </x:c>
      <x:c r="U50" s="9" t="str">
        <x:v>BGJXBVUWLFEJNM-CVDCTZTESA-N</x:v>
      </x:c>
      <x:c r="V50" s="9" t="str">
        <x:v>Cn1c(SCCCN2CCC3(CC3c3ccc(C(F)(F)F)cc3)C2)nnc1-c1ccccn1</x:v>
      </x:c>
      <x:c r="W50" s="9" t="str">
        <x:v>f95ba44392a179a9568ecf385183c5f7270a941463f51ea3b9510151b7e68e02</x:v>
      </x:c>
      <x:c r="X50" s="9" t="str">
        <x:v>c1ccc(C2CC23CCN(CCCSc2nnc(-c4ccccn4)[nH]2)C3)cc1</x:v>
      </x:c>
      <x:c r="Y50" s="9" t="str">
        <x:v>False</x:v>
      </x:c>
      <x:c r="Z50" s="13" t="n">
        <x:v>1</x:v>
      </x:c>
      <x:c r="AA50" s="9" t="str">
        <x:v>include</x:v>
      </x:c>
      <x:c r="AB50" s="9" t="str"/>
      <x:c r="AC50" s="9" t="str">
        <x:v>pKi</x:v>
      </x:c>
      <x:c r="AD50" s="9" t="str">
        <x:v>6.2</x:v>
      </x:c>
      <x:c r="AE50" s="9" t="str"/>
      <x:c r="AF50" s="9" t="str">
        <x:v>=</x:v>
      </x:c>
      <x:c r="AG50" s="9" t="str">
        <x:v>Ki</x:v>
      </x:c>
      <x:c r="AH50" s="11" t="n">
        <x:v>630.96</x:v>
      </x:c>
      <x:c r="AI50" s="9" t="str">
        <x:v>nM</x:v>
      </x:c>
      <x:c r="AJ50" s="9" t="str">
        <x:v>=</x:v>
      </x:c>
      <x:c r="AK50" s="11" t="n">
        <x:v>6.2</x:v>
      </x:c>
      <x:c r="AL50" s="13" t="n">
        <x:v>0</x:v>
      </x:c>
      <x:c r="AM50" s="9" t="str"/>
      <x:c r="AN50" s="9" t="str"/>
      <x:c r="AO50" s="9" t="str">
        <x:v>https://www.ebi.ac.uk/chembl/api/data/activity/16670406.json</x:v>
      </x:c>
      <x:c r="AP50" s="9" t="str">
        <x:v>Cn1c(SCCCN2CCC3(CC3c3ccc(C(F)(F)F)cc3)C2)nnc1-c1ccccn1</x:v>
      </x:c>
      <x:c r="AQ50" s="9" t="str">
        <x:v>c1ccc(C2CC23CCN(CCCSc2nnc(-c4ccccn4)[nH]2)C3)cc1</x:v>
      </x:c>
      <x:c r="AR50" s="11" t="n">
        <x:v>473.5680000000001</x:v>
      </x:c>
      <x:c r="AS50" s="11" t="n">
        <x:v>5.257700000000005</x:v>
      </x:c>
      <x:c r="AT50" s="11" t="n">
        <x:v>46.84</x:v>
      </x:c>
      <x:c r="AU50" s="13" t="n">
        <x:v>0</x:v>
      </x:c>
      <x:c r="AV50" s="13" t="n">
        <x:v>5</x:v>
      </x:c>
      <x:c r="AW50" s="9" t="str">
        <x:v>train</x:v>
      </x:c>
      <x:c r="AX50" s="9" t="str">
        <x:v>source_reported_experimental_pKi</x:v>
      </x:c>
      <x:c r="AY50" s="11" t="n">
        <x:v>6.1076279520741465</x:v>
      </x:c>
      <x:c r="AZ50" s="11" t="n">
        <x:v>6.149473684210526</x:v>
      </x:c>
      <x:c r="BA50" s="11" t="n">
        <x:v>0.09237204792585363</x:v>
      </x:c>
      <x:c r="BB50" s="9" t="str">
        <x:v>False</x:v>
      </x:c>
      <x:c r="BC50" s="11" t="n">
        <x:v>1</x:v>
      </x:c>
    </x:row>
    <x:row r="51" ht="36" customHeight="1">
      <x:c r="A51" s="14" t="str">
        <x:v>BGJXBVUWLFEJNM-XXBNENTESA-N</x:v>
      </x:c>
      <x:c r="B51" s="14" t="str">
        <x:v>CHEMBL3946901</x:v>
      </x:c>
      <x:c r="C51" s="14" t="str">
        <x:v>CHEMBL3946901</x:v>
      </x:c>
      <x:c r="D51" s="14" t="str">
        <x:v>16670407</x:v>
      </x:c>
      <x:c r="E51" s="14" t="str">
        <x:v>16670407</x:v>
      </x:c>
      <x:c r="F51" s="14" t="str">
        <x:v>CHEMBL3855278</x:v>
      </x:c>
      <x:c r="G51" s="14" t="str">
        <x:v>CHEMBL217</x:v>
      </x:c>
      <x:c r="H51" s="14" t="str">
        <x:v>CHEMBL3853329</x:v>
      </x:c>
      <x:c r="I51" s="14" t="str">
        <x:v>Cn1c(SCCCN2CC[C@]3(C[C@@H]3c3ccc(C(F)(F)F)cc3)C2)nnc1-c1ccccn1</x:v>
      </x:c>
      <x:c r="J51" s="14" t="str">
        <x:v>Cn1c(SCCCN2CC[C@]3(C[C@@H]3c3ccc(C(F)(F)F)cc3)C2)nnc1-c1ccccn1</x:v>
      </x:c>
      <x:c r="K51" s="14" t="str">
        <x:v>source_reported_pKi</x:v>
      </x:c>
      <x:c r="L51" s="15" t="n">
        <x:v>6.28</x:v>
      </x:c>
      <x:c r="M51" s="15" t="n">
        <x:v>524.8074602497722</x:v>
      </x:c>
      <x:c r="N51" s="15" t="n">
        <x:v>524.81</x:v>
      </x:c>
      <x:c r="O51" s="15" t="n">
        <x:v>6.279997898282849</x:v>
      </x:c>
      <x:c r="P51" s="16" t="n">
        <x:v>-0.0000021017171514259303</x:v>
      </x:c>
      <x:c r="Q51" s="16" t="n">
        <x:v>0.0025397502276973682</x:v>
      </x:c>
      <x:c r="R51" s="15" t="n">
        <x:v>0.00501</x:v>
      </x:c>
      <x:c r="S51" s="14" t="str">
        <x:v>Cn1c(SCCCN2CC[C@]3(C[C@@H]3c3ccc(C(F)(F)F)cc3)C2)nnc1-c1ccccn1</x:v>
      </x:c>
      <x:c r="T51" s="14" t="str">
        <x:v>Cn1c(SCCCN2CC[C@]3(C[C@@H]3c3ccc(C(F)(F)F)cc3)C2)nnc1-c1ccccn1</x:v>
      </x:c>
      <x:c r="U51" s="14" t="str">
        <x:v>BGJXBVUWLFEJNM-XXBNENTESA-N</x:v>
      </x:c>
      <x:c r="V51" s="14" t="str">
        <x:v>Cn1c(SCCCN2CCC3(CC3c3ccc(C(F)(F)F)cc3)C2)nnc1-c1ccccn1</x:v>
      </x:c>
      <x:c r="W51" s="14" t="str">
        <x:v>f95ba44392a179a9568ecf385183c5f7270a941463f51ea3b9510151b7e68e02</x:v>
      </x:c>
      <x:c r="X51" s="14" t="str">
        <x:v>c1ccc(C2CC23CCN(CCCSc2nnc(-c4ccccn4)[nH]2)C3)cc1</x:v>
      </x:c>
      <x:c r="Y51" s="14" t="str">
        <x:v>False</x:v>
      </x:c>
      <x:c r="Z51" s="17" t="n">
        <x:v>1</x:v>
      </x:c>
      <x:c r="AA51" s="14" t="str">
        <x:v>include</x:v>
      </x:c>
      <x:c r="AB51" s="14" t="str"/>
      <x:c r="AC51" s="14" t="str">
        <x:v>pKi</x:v>
      </x:c>
      <x:c r="AD51" s="14" t="str">
        <x:v>6.28</x:v>
      </x:c>
      <x:c r="AE51" s="14" t="str"/>
      <x:c r="AF51" s="14" t="str">
        <x:v>=</x:v>
      </x:c>
      <x:c r="AG51" s="14" t="str">
        <x:v>Ki</x:v>
      </x:c>
      <x:c r="AH51" s="15" t="n">
        <x:v>524.81</x:v>
      </x:c>
      <x:c r="AI51" s="14" t="str">
        <x:v>nM</x:v>
      </x:c>
      <x:c r="AJ51" s="14" t="str">
        <x:v>=</x:v>
      </x:c>
      <x:c r="AK51" s="15" t="n">
        <x:v>6.28</x:v>
      </x:c>
      <x:c r="AL51" s="17" t="n">
        <x:v>0</x:v>
      </x:c>
      <x:c r="AM51" s="14" t="str"/>
      <x:c r="AN51" s="14" t="str"/>
      <x:c r="AO51" s="14" t="str">
        <x:v>https://www.ebi.ac.uk/chembl/api/data/activity/16670407.json</x:v>
      </x:c>
      <x:c r="AP51" s="14" t="str">
        <x:v>Cn1c(SCCCN2CCC3(CC3c3ccc(C(F)(F)F)cc3)C2)nnc1-c1ccccn1</x:v>
      </x:c>
      <x:c r="AQ51" s="14" t="str">
        <x:v>c1ccc(C2CC23CCN(CCCSc2nnc(-c4ccccn4)[nH]2)C3)cc1</x:v>
      </x:c>
      <x:c r="AR51" s="15" t="n">
        <x:v>473.5680000000001</x:v>
      </x:c>
      <x:c r="AS51" s="15" t="n">
        <x:v>5.257700000000005</x:v>
      </x:c>
      <x:c r="AT51" s="15" t="n">
        <x:v>46.84</x:v>
      </x:c>
      <x:c r="AU51" s="17" t="n">
        <x:v>0</x:v>
      </x:c>
      <x:c r="AV51" s="17" t="n">
        <x:v>5</x:v>
      </x:c>
      <x:c r="AW51" s="14" t="str">
        <x:v>train</x:v>
      </x:c>
      <x:c r="AX51" s="14" t="str">
        <x:v>source_reported_experimental_pKi</x:v>
      </x:c>
      <x:c r="AY51" s="15" t="n">
        <x:v>6.1076279520741465</x:v>
      </x:c>
      <x:c r="AZ51" s="15" t="n">
        <x:v>6.149473684210526</x:v>
      </x:c>
      <x:c r="BA51" s="15" t="n">
        <x:v>0.1723720479258537</x:v>
      </x:c>
      <x:c r="BB51" s="14" t="str">
        <x:v>False</x:v>
      </x:c>
      <x:c r="BC51" s="15" t="n">
        <x:v>1</x:v>
      </x:c>
    </x:row>
    <x:row r="52" ht="36" customHeight="1">
      <x:c r="A52" s="9" t="str">
        <x:v>GPDZHKOGLHALQL-AVRDEDQJSA-N</x:v>
      </x:c>
      <x:c r="B52" s="9" t="str">
        <x:v>CHEMBL3976192</x:v>
      </x:c>
      <x:c r="C52" s="9" t="str">
        <x:v>CHEMBL3976192</x:v>
      </x:c>
      <x:c r="D52" s="9" t="str">
        <x:v>16670408</x:v>
      </x:c>
      <x:c r="E52" s="9" t="str">
        <x:v>16670408</x:v>
      </x:c>
      <x:c r="F52" s="9" t="str">
        <x:v>CHEMBL3855278</x:v>
      </x:c>
      <x:c r="G52" s="9" t="str">
        <x:v>CHEMBL217</x:v>
      </x:c>
      <x:c r="H52" s="9" t="str">
        <x:v>CHEMBL3853329</x:v>
      </x:c>
      <x:c r="I52" s="9" t="str">
        <x:v>Cn1c(SCCCN2CC[C@]3(C[C@H]3c3ccc(C(F)(F)F)cc3)C2)nnc1-c1cnccn1</x:v>
      </x:c>
      <x:c r="J52" s="9" t="str">
        <x:v>Cn1c(SCCCN2CC[C@]3(C[C@H]3c3ccc(C(F)(F)F)cc3)C2)nnc1-c1cnccn1</x:v>
      </x:c>
      <x:c r="K52" s="9" t="str">
        <x:v>source_reported_pKi</x:v>
      </x:c>
      <x:c r="L52" s="11" t="n">
        <x:v>5.84</x:v>
      </x:c>
      <x:c r="M52" s="11" t="n">
        <x:v>1445.439770745928</x:v>
      </x:c>
      <x:c r="N52" s="11" t="n">
        <x:v>1445.44</x:v>
      </x:c>
      <x:c r="O52" s="11" t="n">
        <x:v>5.839999931118699</x:v>
      </x:c>
      <x:c r="P52" s="12" t="n">
        <x:v>-6.888130066329268e-8</x:v>
      </x:c>
      <x:c r="Q52" s="12" t="n">
        <x:v>0.00022925407211005222</x:v>
      </x:c>
      <x:c r="R52" s="11" t="n">
        <x:v>0.00501</x:v>
      </x:c>
      <x:c r="S52" s="9" t="str">
        <x:v>Cn1c(SCCCN2CC[C@]3(C[C@H]3c3ccc(C(F)(F)F)cc3)C2)nnc1-c1cnccn1</x:v>
      </x:c>
      <x:c r="T52" s="9" t="str">
        <x:v>Cn1c(SCCCN2CC[C@]3(C[C@H]3c3ccc(C(F)(F)F)cc3)C2)nnc1-c1cnccn1</x:v>
      </x:c>
      <x:c r="U52" s="9" t="str">
        <x:v>GPDZHKOGLHALQL-AVRDEDQJSA-N</x:v>
      </x:c>
      <x:c r="V52" s="9" t="str">
        <x:v>Cn1c(SCCCN2CCC3(CC3c3ccc(C(F)(F)F)cc3)C2)nnc1-c1cnccn1</x:v>
      </x:c>
      <x:c r="W52" s="9" t="str">
        <x:v>bf8c337e163c734818a73277dfa77802c4776f2aeee9aac72227f5c033905c48</x:v>
      </x:c>
      <x:c r="X52" s="9" t="str">
        <x:v>c1ccc(C2CC23CCN(CCCSc2nnc(-c4cnccn4)[nH]2)C3)cc1</x:v>
      </x:c>
      <x:c r="Y52" s="9" t="str">
        <x:v>False</x:v>
      </x:c>
      <x:c r="Z52" s="13" t="n">
        <x:v>1</x:v>
      </x:c>
      <x:c r="AA52" s="9" t="str">
        <x:v>include</x:v>
      </x:c>
      <x:c r="AB52" s="9" t="str"/>
      <x:c r="AC52" s="9" t="str">
        <x:v>pKi</x:v>
      </x:c>
      <x:c r="AD52" s="9" t="str">
        <x:v>5.84</x:v>
      </x:c>
      <x:c r="AE52" s="9" t="str"/>
      <x:c r="AF52" s="9" t="str">
        <x:v>=</x:v>
      </x:c>
      <x:c r="AG52" s="9" t="str">
        <x:v>Ki</x:v>
      </x:c>
      <x:c r="AH52" s="11" t="n">
        <x:v>1445.44</x:v>
      </x:c>
      <x:c r="AI52" s="9" t="str">
        <x:v>nM</x:v>
      </x:c>
      <x:c r="AJ52" s="9" t="str">
        <x:v>=</x:v>
      </x:c>
      <x:c r="AK52" s="11" t="n">
        <x:v>5.84</x:v>
      </x:c>
      <x:c r="AL52" s="13" t="n">
        <x:v>0</x:v>
      </x:c>
      <x:c r="AM52" s="9" t="str"/>
      <x:c r="AN52" s="9" t="str"/>
      <x:c r="AO52" s="9" t="str">
        <x:v>https://www.ebi.ac.uk/chembl/api/data/activity/16670408.json</x:v>
      </x:c>
      <x:c r="AP52" s="9" t="str">
        <x:v>Cn1c(SCCCN2CCC3(CC3c3ccc(C(F)(F)F)cc3)C2)nnc1-c1cnccn1</x:v>
      </x:c>
      <x:c r="AQ52" s="9" t="str">
        <x:v>c1ccc(C2CC23CCN(CCCSc2nnc(-c4cnccn4)[nH]2)C3)cc1</x:v>
      </x:c>
      <x:c r="AR52" s="11" t="n">
        <x:v>474.5560000000001</x:v>
      </x:c>
      <x:c r="AS52" s="11" t="n">
        <x:v>4.652700000000004</x:v>
      </x:c>
      <x:c r="AT52" s="11" t="n">
        <x:v>59.730000000000004</x:v>
      </x:c>
      <x:c r="AU52" s="13" t="n">
        <x:v>0</x:v>
      </x:c>
      <x:c r="AV52" s="13" t="n">
        <x:v>6</x:v>
      </x:c>
      <x:c r="AW52" s="9" t="str">
        <x:v>train</x:v>
      </x:c>
      <x:c r="AX52" s="9" t="str">
        <x:v>source_reported_experimental_pKi</x:v>
      </x:c>
      <x:c r="AY52" s="11" t="n">
        <x:v>6.1161094540089005</x:v>
      </x:c>
      <x:c r="AZ52" s="11" t="n">
        <x:v>6.149473684210526</x:v>
      </x:c>
      <x:c r="BA52" s="11" t="n">
        <x:v>-0.27610945400890063</x:v>
      </x:c>
      <x:c r="BB52" s="9" t="str">
        <x:v>False</x:v>
      </x:c>
      <x:c r="BC52" s="11" t="n">
        <x:v>1</x:v>
      </x:c>
    </x:row>
    <x:row r="53" ht="36" customHeight="1">
      <x:c r="A53" s="14" t="str">
        <x:v>GPDZHKOGLHALQL-GCJKJVERSA-N</x:v>
      </x:c>
      <x:c r="B53" s="14" t="str">
        <x:v>CHEMBL3955608</x:v>
      </x:c>
      <x:c r="C53" s="14" t="str">
        <x:v>CHEMBL3955608</x:v>
      </x:c>
      <x:c r="D53" s="14" t="str">
        <x:v>16670409</x:v>
      </x:c>
      <x:c r="E53" s="14" t="str">
        <x:v>16670409</x:v>
      </x:c>
      <x:c r="F53" s="14" t="str">
        <x:v>CHEMBL3855278</x:v>
      </x:c>
      <x:c r="G53" s="14" t="str">
        <x:v>CHEMBL217</x:v>
      </x:c>
      <x:c r="H53" s="14" t="str">
        <x:v>CHEMBL3853329</x:v>
      </x:c>
      <x:c r="I53" s="14" t="str">
        <x:v>Cn1c(SCCCN2CC[C@]3(C[C@@H]3c3ccc(C(F)(F)F)cc3)C2)nnc1-c1cnccn1</x:v>
      </x:c>
      <x:c r="J53" s="14" t="str">
        <x:v>Cn1c(SCCCN2CC[C@]3(C[C@@H]3c3ccc(C(F)(F)F)cc3)C2)nnc1-c1cnccn1</x:v>
      </x:c>
      <x:c r="K53" s="14" t="str">
        <x:v>source_reported_pKi</x:v>
      </x:c>
      <x:c r="L53" s="15" t="n">
        <x:v>6.33</x:v>
      </x:c>
      <x:c r="M53" s="15" t="n">
        <x:v>467.73514128719813</x:v>
      </x:c>
      <x:c r="N53" s="15" t="n">
        <x:v>467.74</x:v>
      </x:c>
      <x:c r="O53" s="15" t="n">
        <x:v>6.329995488683631</x:v>
      </x:c>
      <x:c r="P53" s="16" t="n">
        <x:v>-0.0000045113163693599745</x:v>
      </x:c>
      <x:c r="Q53" s="16" t="n">
        <x:v>0.0048587128018766634</x:v>
      </x:c>
      <x:c r="R53" s="15" t="n">
        <x:v>0.00501</x:v>
      </x:c>
      <x:c r="S53" s="14" t="str">
        <x:v>Cn1c(SCCCN2CC[C@]3(C[C@@H]3c3ccc(C(F)(F)F)cc3)C2)nnc1-c1cnccn1</x:v>
      </x:c>
      <x:c r="T53" s="14" t="str">
        <x:v>Cn1c(SCCCN2CC[C@]3(C[C@@H]3c3ccc(C(F)(F)F)cc3)C2)nnc1-c1cnccn1</x:v>
      </x:c>
      <x:c r="U53" s="14" t="str">
        <x:v>GPDZHKOGLHALQL-GCJKJVERSA-N</x:v>
      </x:c>
      <x:c r="V53" s="14" t="str">
        <x:v>Cn1c(SCCCN2CCC3(CC3c3ccc(C(F)(F)F)cc3)C2)nnc1-c1cnccn1</x:v>
      </x:c>
      <x:c r="W53" s="14" t="str">
        <x:v>bf8c337e163c734818a73277dfa77802c4776f2aeee9aac72227f5c033905c48</x:v>
      </x:c>
      <x:c r="X53" s="14" t="str">
        <x:v>c1ccc(C2CC23CCN(CCCSc2nnc(-c4cnccn4)[nH]2)C3)cc1</x:v>
      </x:c>
      <x:c r="Y53" s="14" t="str">
        <x:v>False</x:v>
      </x:c>
      <x:c r="Z53" s="17" t="n">
        <x:v>1</x:v>
      </x:c>
      <x:c r="AA53" s="14" t="str">
        <x:v>include</x:v>
      </x:c>
      <x:c r="AB53" s="14" t="str"/>
      <x:c r="AC53" s="14" t="str">
        <x:v>pKi</x:v>
      </x:c>
      <x:c r="AD53" s="14" t="str">
        <x:v>6.33</x:v>
      </x:c>
      <x:c r="AE53" s="14" t="str"/>
      <x:c r="AF53" s="14" t="str">
        <x:v>=</x:v>
      </x:c>
      <x:c r="AG53" s="14" t="str">
        <x:v>Ki</x:v>
      </x:c>
      <x:c r="AH53" s="15" t="n">
        <x:v>467.74</x:v>
      </x:c>
      <x:c r="AI53" s="14" t="str">
        <x:v>nM</x:v>
      </x:c>
      <x:c r="AJ53" s="14" t="str">
        <x:v>=</x:v>
      </x:c>
      <x:c r="AK53" s="15" t="n">
        <x:v>6.33</x:v>
      </x:c>
      <x:c r="AL53" s="17" t="n">
        <x:v>0</x:v>
      </x:c>
      <x:c r="AM53" s="14" t="str"/>
      <x:c r="AN53" s="14" t="str"/>
      <x:c r="AO53" s="14" t="str">
        <x:v>https://www.ebi.ac.uk/chembl/api/data/activity/16670409.json</x:v>
      </x:c>
      <x:c r="AP53" s="14" t="str">
        <x:v>Cn1c(SCCCN2CCC3(CC3c3ccc(C(F)(F)F)cc3)C2)nnc1-c1cnccn1</x:v>
      </x:c>
      <x:c r="AQ53" s="14" t="str">
        <x:v>c1ccc(C2CC23CCN(CCCSc2nnc(-c4cnccn4)[nH]2)C3)cc1</x:v>
      </x:c>
      <x:c r="AR53" s="15" t="n">
        <x:v>474.5560000000001</x:v>
      </x:c>
      <x:c r="AS53" s="15" t="n">
        <x:v>4.652700000000004</x:v>
      </x:c>
      <x:c r="AT53" s="15" t="n">
        <x:v>59.730000000000004</x:v>
      </x:c>
      <x:c r="AU53" s="17" t="n">
        <x:v>0</x:v>
      </x:c>
      <x:c r="AV53" s="17" t="n">
        <x:v>6</x:v>
      </x:c>
      <x:c r="AW53" s="14" t="str">
        <x:v>train</x:v>
      </x:c>
      <x:c r="AX53" s="14" t="str">
        <x:v>source_reported_experimental_pKi</x:v>
      </x:c>
      <x:c r="AY53" s="15" t="n">
        <x:v>6.1161094540089005</x:v>
      </x:c>
      <x:c r="AZ53" s="15" t="n">
        <x:v>6.149473684210526</x:v>
      </x:c>
      <x:c r="BA53" s="15" t="n">
        <x:v>0.21389054599109958</x:v>
      </x:c>
      <x:c r="BB53" s="14" t="str">
        <x:v>False</x:v>
      </x:c>
      <x:c r="BC53" s="15" t="n">
        <x:v>1</x:v>
      </x:c>
    </x:row>
    <x:row r="54" ht="36" customHeight="1">
      <x:c r="A54" s="9" t="str">
        <x:v>LKIZJVWLCHAZTJ-AVRDEDQJSA-N</x:v>
      </x:c>
      <x:c r="B54" s="9" t="str">
        <x:v>CHEMBL3984236</x:v>
      </x:c>
      <x:c r="C54" s="9" t="str">
        <x:v>CHEMBL3984236</x:v>
      </x:c>
      <x:c r="D54" s="9" t="str">
        <x:v>16670410</x:v>
      </x:c>
      <x:c r="E54" s="9" t="str">
        <x:v>16670410</x:v>
      </x:c>
      <x:c r="F54" s="9" t="str">
        <x:v>CHEMBL3855278</x:v>
      </x:c>
      <x:c r="G54" s="9" t="str">
        <x:v>CHEMBL217</x:v>
      </x:c>
      <x:c r="H54" s="9" t="str">
        <x:v>CHEMBL3853329</x:v>
      </x:c>
      <x:c r="I54" s="9" t="str">
        <x:v>Cn1c(SCCCN2CC[C@]3(C[C@H]3c3ccc(C(F)(F)F)cc3)C2)nnc1-c1ccncn1</x:v>
      </x:c>
      <x:c r="J54" s="9" t="str">
        <x:v>Cn1c(SCCCN2CC[C@]3(C[C@H]3c3ccc(C(F)(F)F)cc3)C2)nnc1-c1ccncn1</x:v>
      </x:c>
      <x:c r="K54" s="9" t="str">
        <x:v>source_reported_pKi</x:v>
      </x:c>
      <x:c r="L54" s="11" t="n">
        <x:v>6.36</x:v>
      </x:c>
      <x:c r="M54" s="11" t="n">
        <x:v>436.51583224016565</x:v>
      </x:c>
      <x:c r="N54" s="11" t="n">
        <x:v>436.52</x:v>
      </x:c>
      <x:c r="O54" s="11" t="n">
        <x:v>6.35999585346894</x:v>
      </x:c>
      <x:c r="P54" s="12" t="n">
        <x:v>-0.000004146531060733594</x:v>
      </x:c>
      <x:c r="Q54" s="12" t="n">
        <x:v>0.004167759834331264</x:v>
      </x:c>
      <x:c r="R54" s="11" t="n">
        <x:v>0.00501</x:v>
      </x:c>
      <x:c r="S54" s="9" t="str">
        <x:v>Cn1c(SCCCN2CC[C@]3(C[C@H]3c3ccc(C(F)(F)F)cc3)C2)nnc1-c1ccncn1</x:v>
      </x:c>
      <x:c r="T54" s="9" t="str">
        <x:v>Cn1c(SCCCN2CC[C@]3(C[C@H]3c3ccc(C(F)(F)F)cc3)C2)nnc1-c1ccncn1</x:v>
      </x:c>
      <x:c r="U54" s="9" t="str">
        <x:v>LKIZJVWLCHAZTJ-AVRDEDQJSA-N</x:v>
      </x:c>
      <x:c r="V54" s="9" t="str">
        <x:v>Cn1c(SCCCN2CCC3(CC3c3ccc(C(F)(F)F)cc3)C2)nnc1-c1ccncn1</x:v>
      </x:c>
      <x:c r="W54" s="9" t="str">
        <x:v>2e58078d38ef706dda1dd5c2ffc7a8906a06379b0de3f8a8e062e721b5075132</x:v>
      </x:c>
      <x:c r="X54" s="9" t="str">
        <x:v>c1ccc(C2CC23CCN(CCCSc2nnc(-c4ccncn4)[nH]2)C3)cc1</x:v>
      </x:c>
      <x:c r="Y54" s="9" t="str">
        <x:v>False</x:v>
      </x:c>
      <x:c r="Z54" s="13" t="n">
        <x:v>1</x:v>
      </x:c>
      <x:c r="AA54" s="9" t="str">
        <x:v>include</x:v>
      </x:c>
      <x:c r="AB54" s="9" t="str"/>
      <x:c r="AC54" s="9" t="str">
        <x:v>pKi</x:v>
      </x:c>
      <x:c r="AD54" s="9" t="str">
        <x:v>6.36</x:v>
      </x:c>
      <x:c r="AE54" s="9" t="str"/>
      <x:c r="AF54" s="9" t="str">
        <x:v>=</x:v>
      </x:c>
      <x:c r="AG54" s="9" t="str">
        <x:v>Ki</x:v>
      </x:c>
      <x:c r="AH54" s="11" t="n">
        <x:v>436.52</x:v>
      </x:c>
      <x:c r="AI54" s="9" t="str">
        <x:v>nM</x:v>
      </x:c>
      <x:c r="AJ54" s="9" t="str">
        <x:v>=</x:v>
      </x:c>
      <x:c r="AK54" s="11" t="n">
        <x:v>6.36</x:v>
      </x:c>
      <x:c r="AL54" s="13" t="n">
        <x:v>0</x:v>
      </x:c>
      <x:c r="AM54" s="9" t="str"/>
      <x:c r="AN54" s="9" t="str"/>
      <x:c r="AO54" s="9" t="str">
        <x:v>https://www.ebi.ac.uk/chembl/api/data/activity/16670410.json</x:v>
      </x:c>
      <x:c r="AP54" s="9" t="str">
        <x:v>Cn1c(SCCCN2CCC3(CC3c3ccc(C(F)(F)F)cc3)C2)nnc1-c1ccncn1</x:v>
      </x:c>
      <x:c r="AQ54" s="9" t="str">
        <x:v>c1ccc(C2CC23CCN(CCCSc2nnc(-c4ccncn4)[nH]2)C3)cc1</x:v>
      </x:c>
      <x:c r="AR54" s="11" t="n">
        <x:v>474.5560000000001</x:v>
      </x:c>
      <x:c r="AS54" s="11" t="n">
        <x:v>4.652700000000004</x:v>
      </x:c>
      <x:c r="AT54" s="11" t="n">
        <x:v>59.730000000000004</x:v>
      </x:c>
      <x:c r="AU54" s="13" t="n">
        <x:v>0</x:v>
      </x:c>
      <x:c r="AV54" s="13" t="n">
        <x:v>6</x:v>
      </x:c>
      <x:c r="AW54" s="9" t="str">
        <x:v>train</x:v>
      </x:c>
      <x:c r="AX54" s="9" t="str">
        <x:v>source_reported_experimental_pKi</x:v>
      </x:c>
      <x:c r="AY54" s="11" t="n">
        <x:v>6.1161094540089005</x:v>
      </x:c>
      <x:c r="AZ54" s="11" t="n">
        <x:v>6.149473684210526</x:v>
      </x:c>
      <x:c r="BA54" s="11" t="n">
        <x:v>0.24389054599109983</x:v>
      </x:c>
      <x:c r="BB54" s="9" t="str">
        <x:v>False</x:v>
      </x:c>
      <x:c r="BC54" s="11" t="n">
        <x:v>1</x:v>
      </x:c>
    </x:row>
    <x:row r="55" ht="36" customHeight="1">
      <x:c r="A55" s="14" t="str">
        <x:v>LKIZJVWLCHAZTJ-GCJKJVERSA-N</x:v>
      </x:c>
      <x:c r="B55" s="14" t="str">
        <x:v>CHEMBL3958309</x:v>
      </x:c>
      <x:c r="C55" s="14" t="str">
        <x:v>CHEMBL3958309</x:v>
      </x:c>
      <x:c r="D55" s="14" t="str">
        <x:v>16670411</x:v>
      </x:c>
      <x:c r="E55" s="14" t="str">
        <x:v>16670411</x:v>
      </x:c>
      <x:c r="F55" s="14" t="str">
        <x:v>CHEMBL3855278</x:v>
      </x:c>
      <x:c r="G55" s="14" t="str">
        <x:v>CHEMBL217</x:v>
      </x:c>
      <x:c r="H55" s="14" t="str">
        <x:v>CHEMBL3853329</x:v>
      </x:c>
      <x:c r="I55" s="14" t="str">
        <x:v>Cn1c(SCCCN2CC[C@]3(C[C@@H]3c3ccc(C(F)(F)F)cc3)C2)nnc1-c1ccncn1</x:v>
      </x:c>
      <x:c r="J55" s="14" t="str">
        <x:v>Cn1c(SCCCN2CC[C@]3(C[C@@H]3c3ccc(C(F)(F)F)cc3)C2)nnc1-c1ccncn1</x:v>
      </x:c>
      <x:c r="K55" s="14" t="str">
        <x:v>source_reported_pKi</x:v>
      </x:c>
      <x:c r="L55" s="15" t="n">
        <x:v>6.53</x:v>
      </x:c>
      <x:c r="M55" s="15" t="n">
        <x:v>295.1209226666384</x:v>
      </x:c>
      <x:c r="N55" s="15" t="n">
        <x:v>295.12</x:v>
      </x:c>
      <x:c r="O55" s="15" t="n">
        <x:v>6.530001357781253</x:v>
      </x:c>
      <x:c r="P55" s="16" t="n">
        <x:v>0.0000013577812527643118</x:v>
      </x:c>
      <x:c r="Q55" s="16" t="n">
        <x:v>-0.0009226666384165583</x:v>
      </x:c>
      <x:c r="R55" s="15" t="n">
        <x:v>0.00501</x:v>
      </x:c>
      <x:c r="S55" s="14" t="str">
        <x:v>Cn1c(SCCCN2CC[C@]3(C[C@@H]3c3ccc(C(F)(F)F)cc3)C2)nnc1-c1ccncn1</x:v>
      </x:c>
      <x:c r="T55" s="14" t="str">
        <x:v>Cn1c(SCCCN2CC[C@]3(C[C@@H]3c3ccc(C(F)(F)F)cc3)C2)nnc1-c1ccncn1</x:v>
      </x:c>
      <x:c r="U55" s="14" t="str">
        <x:v>LKIZJVWLCHAZTJ-GCJKJVERSA-N</x:v>
      </x:c>
      <x:c r="V55" s="14" t="str">
        <x:v>Cn1c(SCCCN2CCC3(CC3c3ccc(C(F)(F)F)cc3)C2)nnc1-c1ccncn1</x:v>
      </x:c>
      <x:c r="W55" s="14" t="str">
        <x:v>2e58078d38ef706dda1dd5c2ffc7a8906a06379b0de3f8a8e062e721b5075132</x:v>
      </x:c>
      <x:c r="X55" s="14" t="str">
        <x:v>c1ccc(C2CC23CCN(CCCSc2nnc(-c4ccncn4)[nH]2)C3)cc1</x:v>
      </x:c>
      <x:c r="Y55" s="14" t="str">
        <x:v>False</x:v>
      </x:c>
      <x:c r="Z55" s="17" t="n">
        <x:v>1</x:v>
      </x:c>
      <x:c r="AA55" s="14" t="str">
        <x:v>include</x:v>
      </x:c>
      <x:c r="AB55" s="14" t="str"/>
      <x:c r="AC55" s="14" t="str">
        <x:v>pKi</x:v>
      </x:c>
      <x:c r="AD55" s="14" t="str">
        <x:v>6.53</x:v>
      </x:c>
      <x:c r="AE55" s="14" t="str"/>
      <x:c r="AF55" s="14" t="str">
        <x:v>=</x:v>
      </x:c>
      <x:c r="AG55" s="14" t="str">
        <x:v>Ki</x:v>
      </x:c>
      <x:c r="AH55" s="15" t="n">
        <x:v>295.12</x:v>
      </x:c>
      <x:c r="AI55" s="14" t="str">
        <x:v>nM</x:v>
      </x:c>
      <x:c r="AJ55" s="14" t="str">
        <x:v>=</x:v>
      </x:c>
      <x:c r="AK55" s="15" t="n">
        <x:v>6.53</x:v>
      </x:c>
      <x:c r="AL55" s="17" t="n">
        <x:v>0</x:v>
      </x:c>
      <x:c r="AM55" s="14" t="str"/>
      <x:c r="AN55" s="14" t="str"/>
      <x:c r="AO55" s="14" t="str">
        <x:v>https://www.ebi.ac.uk/chembl/api/data/activity/16670411.json</x:v>
      </x:c>
      <x:c r="AP55" s="14" t="str">
        <x:v>Cn1c(SCCCN2CCC3(CC3c3ccc(C(F)(F)F)cc3)C2)nnc1-c1ccncn1</x:v>
      </x:c>
      <x:c r="AQ55" s="14" t="str">
        <x:v>c1ccc(C2CC23CCN(CCCSc2nnc(-c4ccncn4)[nH]2)C3)cc1</x:v>
      </x:c>
      <x:c r="AR55" s="15" t="n">
        <x:v>474.5560000000001</x:v>
      </x:c>
      <x:c r="AS55" s="15" t="n">
        <x:v>4.652700000000004</x:v>
      </x:c>
      <x:c r="AT55" s="15" t="n">
        <x:v>59.730000000000004</x:v>
      </x:c>
      <x:c r="AU55" s="17" t="n">
        <x:v>0</x:v>
      </x:c>
      <x:c r="AV55" s="17" t="n">
        <x:v>6</x:v>
      </x:c>
      <x:c r="AW55" s="14" t="str">
        <x:v>train</x:v>
      </x:c>
      <x:c r="AX55" s="14" t="str">
        <x:v>source_reported_experimental_pKi</x:v>
      </x:c>
      <x:c r="AY55" s="15" t="n">
        <x:v>6.1161094540089005</x:v>
      </x:c>
      <x:c r="AZ55" s="15" t="n">
        <x:v>6.149473684210526</x:v>
      </x:c>
      <x:c r="BA55" s="15" t="n">
        <x:v>0.41389054599109976</x:v>
      </x:c>
      <x:c r="BB55" s="14" t="str">
        <x:v>False</x:v>
      </x:c>
      <x:c r="BC55" s="15" t="n">
        <x:v>1</x:v>
      </x:c>
    </x:row>
    <x:row r="56" ht="36" customHeight="1">
      <x:c r="A56" s="9" t="str">
        <x:v>USSJQLOQXQBGTM-AVRDEDQJSA-N</x:v>
      </x:c>
      <x:c r="B56" s="9" t="str">
        <x:v>CHEMBL3930825</x:v>
      </x:c>
      <x:c r="C56" s="9" t="str">
        <x:v>CHEMBL3930825</x:v>
      </x:c>
      <x:c r="D56" s="9" t="str">
        <x:v>16670412</x:v>
      </x:c>
      <x:c r="E56" s="9" t="str">
        <x:v>16670412</x:v>
      </x:c>
      <x:c r="F56" s="9" t="str">
        <x:v>CHEMBL3855278</x:v>
      </x:c>
      <x:c r="G56" s="9" t="str">
        <x:v>CHEMBL217</x:v>
      </x:c>
      <x:c r="H56" s="9" t="str">
        <x:v>CHEMBL3853329</x:v>
      </x:c>
      <x:c r="I56" s="9" t="str">
        <x:v>Cn1c(SCCCN2CC[C@]3(C[C@H]3c3ccc(C(F)(F)F)cc3)C2)nnc1-c1cccnn1</x:v>
      </x:c>
      <x:c r="J56" s="9" t="str">
        <x:v>Cn1c(SCCCN2CC[C@]3(C[C@H]3c3ccc(C(F)(F)F)cc3)C2)nnc1-c1cccnn1</x:v>
      </x:c>
      <x:c r="K56" s="9" t="str">
        <x:v>source_reported_pKi</x:v>
      </x:c>
      <x:c r="L56" s="11" t="n">
        <x:v>5.75</x:v>
      </x:c>
      <x:c r="M56" s="11" t="n">
        <x:v>1778.2794100389228</x:v>
      </x:c>
      <x:c r="N56" s="11" t="n">
        <x:v>1778.28</x:v>
      </x:c>
      <x:c r="O56" s="11" t="n">
        <x:v>5.749999855918706</x:v>
      </x:c>
      <x:c r="P56" s="12" t="n">
        <x:v>-1.4408129356269228e-7</x:v>
      </x:c>
      <x:c r="Q56" s="12" t="n">
        <x:v>0.0005899610771393782</x:v>
      </x:c>
      <x:c r="R56" s="11" t="n">
        <x:v>0.00501</x:v>
      </x:c>
      <x:c r="S56" s="9" t="str">
        <x:v>Cn1c(SCCCN2CC[C@]3(C[C@H]3c3ccc(C(F)(F)F)cc3)C2)nnc1-c1cccnn1</x:v>
      </x:c>
      <x:c r="T56" s="9" t="str">
        <x:v>Cn1c(SCCCN2CC[C@]3(C[C@H]3c3ccc(C(F)(F)F)cc3)C2)nnc1-c1cccnn1</x:v>
      </x:c>
      <x:c r="U56" s="9" t="str">
        <x:v>USSJQLOQXQBGTM-AVRDEDQJSA-N</x:v>
      </x:c>
      <x:c r="V56" s="9" t="str">
        <x:v>Cn1c(SCCCN2CCC3(CC3c3ccc(C(F)(F)F)cc3)C2)nnc1-c1cccnn1</x:v>
      </x:c>
      <x:c r="W56" s="9" t="str">
        <x:v>356b794ceb6c6f7983e56fd1052b5fe303cb17c1c8052cc68a7c9c5de14d7d47</x:v>
      </x:c>
      <x:c r="X56" s="9" t="str">
        <x:v>c1ccc(C2CC23CCN(CCCSc2nnc(-c4cccnn4)[nH]2)C3)cc1</x:v>
      </x:c>
      <x:c r="Y56" s="9" t="str">
        <x:v>False</x:v>
      </x:c>
      <x:c r="Z56" s="13" t="n">
        <x:v>1</x:v>
      </x:c>
      <x:c r="AA56" s="9" t="str">
        <x:v>include</x:v>
      </x:c>
      <x:c r="AB56" s="9" t="str"/>
      <x:c r="AC56" s="9" t="str">
        <x:v>pKi</x:v>
      </x:c>
      <x:c r="AD56" s="9" t="str">
        <x:v>5.75</x:v>
      </x:c>
      <x:c r="AE56" s="9" t="str"/>
      <x:c r="AF56" s="9" t="str">
        <x:v>=</x:v>
      </x:c>
      <x:c r="AG56" s="9" t="str">
        <x:v>Ki</x:v>
      </x:c>
      <x:c r="AH56" s="11" t="n">
        <x:v>1778.28</x:v>
      </x:c>
      <x:c r="AI56" s="9" t="str">
        <x:v>nM</x:v>
      </x:c>
      <x:c r="AJ56" s="9" t="str">
        <x:v>=</x:v>
      </x:c>
      <x:c r="AK56" s="11" t="n">
        <x:v>5.75</x:v>
      </x:c>
      <x:c r="AL56" s="13" t="n">
        <x:v>0</x:v>
      </x:c>
      <x:c r="AM56" s="9" t="str"/>
      <x:c r="AN56" s="9" t="str"/>
      <x:c r="AO56" s="9" t="str">
        <x:v>https://www.ebi.ac.uk/chembl/api/data/activity/16670412.json</x:v>
      </x:c>
      <x:c r="AP56" s="9" t="str">
        <x:v>Cn1c(SCCCN2CCC3(CC3c3ccc(C(F)(F)F)cc3)C2)nnc1-c1cccnn1</x:v>
      </x:c>
      <x:c r="AQ56" s="9" t="str">
        <x:v>c1ccc(C2CC23CCN(CCCSc2nnc(-c4cccnn4)[nH]2)C3)cc1</x:v>
      </x:c>
      <x:c r="AR56" s="11" t="n">
        <x:v>474.5560000000001</x:v>
      </x:c>
      <x:c r="AS56" s="11" t="n">
        <x:v>4.652700000000004</x:v>
      </x:c>
      <x:c r="AT56" s="11" t="n">
        <x:v>59.730000000000004</x:v>
      </x:c>
      <x:c r="AU56" s="13" t="n">
        <x:v>0</x:v>
      </x:c>
      <x:c r="AV56" s="13" t="n">
        <x:v>6</x:v>
      </x:c>
      <x:c r="AW56" s="9" t="str">
        <x:v>train</x:v>
      </x:c>
      <x:c r="AX56" s="9" t="str">
        <x:v>source_reported_experimental_pKi</x:v>
      </x:c>
      <x:c r="AY56" s="11" t="n">
        <x:v>6.1161094540089005</x:v>
      </x:c>
      <x:c r="AZ56" s="11" t="n">
        <x:v>6.149473684210526</x:v>
      </x:c>
      <x:c r="BA56" s="11" t="n">
        <x:v>-0.3661094540089005</x:v>
      </x:c>
      <x:c r="BB56" s="9" t="str">
        <x:v>False</x:v>
      </x:c>
      <x:c r="BC56" s="11" t="n">
        <x:v>1</x:v>
      </x:c>
    </x:row>
    <x:row r="57" ht="36" customHeight="1">
      <x:c r="A57" s="14" t="str">
        <x:v>USSJQLOQXQBGTM-GCJKJVERSA-N</x:v>
      </x:c>
      <x:c r="B57" s="14" t="str">
        <x:v>CHEMBL3969386</x:v>
      </x:c>
      <x:c r="C57" s="14" t="str">
        <x:v>CHEMBL3969386</x:v>
      </x:c>
      <x:c r="D57" s="14" t="str">
        <x:v>16670413</x:v>
      </x:c>
      <x:c r="E57" s="14" t="str">
        <x:v>16670413</x:v>
      </x:c>
      <x:c r="F57" s="14" t="str">
        <x:v>CHEMBL3855278</x:v>
      </x:c>
      <x:c r="G57" s="14" t="str">
        <x:v>CHEMBL217</x:v>
      </x:c>
      <x:c r="H57" s="14" t="str">
        <x:v>CHEMBL3853329</x:v>
      </x:c>
      <x:c r="I57" s="14" t="str">
        <x:v>Cn1c(SCCCN2CC[C@]3(C[C@@H]3c3ccc(C(F)(F)F)cc3)C2)nnc1-c1cccnn1</x:v>
      </x:c>
      <x:c r="J57" s="14" t="str">
        <x:v>Cn1c(SCCCN2CC[C@]3(C[C@@H]3c3ccc(C(F)(F)F)cc3)C2)nnc1-c1cccnn1</x:v>
      </x:c>
      <x:c r="K57" s="14" t="str">
        <x:v>source_reported_pKi</x:v>
      </x:c>
      <x:c r="L57" s="15" t="n">
        <x:v>5.86</x:v>
      </x:c>
      <x:c r="M57" s="15" t="n">
        <x:v>1380.3842646028838</x:v>
      </x:c>
      <x:c r="N57" s="15" t="n">
        <x:v>1380.38</x:v>
      </x:c>
      <x:c r="O57" s="15" t="n">
        <x:v>5.860001341725205</x:v>
      </x:c>
      <x:c r="P57" s="16" t="n">
        <x:v>0.0000013417252047176476</x:v>
      </x:c>
      <x:c r="Q57" s="16" t="n">
        <x:v>-0.004264602883722546</x:v>
      </x:c>
      <x:c r="R57" s="15" t="n">
        <x:v>0.00501</x:v>
      </x:c>
      <x:c r="S57" s="14" t="str">
        <x:v>Cn1c(SCCCN2CC[C@]3(C[C@@H]3c3ccc(C(F)(F)F)cc3)C2)nnc1-c1cccnn1</x:v>
      </x:c>
      <x:c r="T57" s="14" t="str">
        <x:v>Cn1c(SCCCN2CC[C@]3(C[C@@H]3c3ccc(C(F)(F)F)cc3)C2)nnc1-c1cccnn1</x:v>
      </x:c>
      <x:c r="U57" s="14" t="str">
        <x:v>USSJQLOQXQBGTM-GCJKJVERSA-N</x:v>
      </x:c>
      <x:c r="V57" s="14" t="str">
        <x:v>Cn1c(SCCCN2CCC3(CC3c3ccc(C(F)(F)F)cc3)C2)nnc1-c1cccnn1</x:v>
      </x:c>
      <x:c r="W57" s="14" t="str">
        <x:v>356b794ceb6c6f7983e56fd1052b5fe303cb17c1c8052cc68a7c9c5de14d7d47</x:v>
      </x:c>
      <x:c r="X57" s="14" t="str">
        <x:v>c1ccc(C2CC23CCN(CCCSc2nnc(-c4cccnn4)[nH]2)C3)cc1</x:v>
      </x:c>
      <x:c r="Y57" s="14" t="str">
        <x:v>False</x:v>
      </x:c>
      <x:c r="Z57" s="17" t="n">
        <x:v>1</x:v>
      </x:c>
      <x:c r="AA57" s="14" t="str">
        <x:v>include</x:v>
      </x:c>
      <x:c r="AB57" s="14" t="str"/>
      <x:c r="AC57" s="14" t="str">
        <x:v>pKi</x:v>
      </x:c>
      <x:c r="AD57" s="14" t="str">
        <x:v>5.86</x:v>
      </x:c>
      <x:c r="AE57" s="14" t="str"/>
      <x:c r="AF57" s="14" t="str">
        <x:v>=</x:v>
      </x:c>
      <x:c r="AG57" s="14" t="str">
        <x:v>Ki</x:v>
      </x:c>
      <x:c r="AH57" s="15" t="n">
        <x:v>1380.38</x:v>
      </x:c>
      <x:c r="AI57" s="14" t="str">
        <x:v>nM</x:v>
      </x:c>
      <x:c r="AJ57" s="14" t="str">
        <x:v>=</x:v>
      </x:c>
      <x:c r="AK57" s="15" t="n">
        <x:v>5.86</x:v>
      </x:c>
      <x:c r="AL57" s="17" t="n">
        <x:v>0</x:v>
      </x:c>
      <x:c r="AM57" s="14" t="str"/>
      <x:c r="AN57" s="14" t="str"/>
      <x:c r="AO57" s="14" t="str">
        <x:v>https://www.ebi.ac.uk/chembl/api/data/activity/16670413.json</x:v>
      </x:c>
      <x:c r="AP57" s="14" t="str">
        <x:v>Cn1c(SCCCN2CCC3(CC3c3ccc(C(F)(F)F)cc3)C2)nnc1-c1cccnn1</x:v>
      </x:c>
      <x:c r="AQ57" s="14" t="str">
        <x:v>c1ccc(C2CC23CCN(CCCSc2nnc(-c4cccnn4)[nH]2)C3)cc1</x:v>
      </x:c>
      <x:c r="AR57" s="15" t="n">
        <x:v>474.5560000000001</x:v>
      </x:c>
      <x:c r="AS57" s="15" t="n">
        <x:v>4.652700000000004</x:v>
      </x:c>
      <x:c r="AT57" s="15" t="n">
        <x:v>59.730000000000004</x:v>
      </x:c>
      <x:c r="AU57" s="17" t="n">
        <x:v>0</x:v>
      </x:c>
      <x:c r="AV57" s="17" t="n">
        <x:v>6</x:v>
      </x:c>
      <x:c r="AW57" s="14" t="str">
        <x:v>train</x:v>
      </x:c>
      <x:c r="AX57" s="14" t="str">
        <x:v>source_reported_experimental_pKi</x:v>
      </x:c>
      <x:c r="AY57" s="15" t="n">
        <x:v>6.1161094540089005</x:v>
      </x:c>
      <x:c r="AZ57" s="15" t="n">
        <x:v>6.149473684210526</x:v>
      </x:c>
      <x:c r="BA57" s="15" t="n">
        <x:v>-0.2561094540089002</x:v>
      </x:c>
      <x:c r="BB57" s="14" t="str">
        <x:v>False</x:v>
      </x:c>
      <x:c r="BC57" s="15" t="n">
        <x:v>1</x:v>
      </x:c>
    </x:row>
    <x:row r="58" ht="36" customHeight="1">
      <x:c r="A58" s="9" t="str">
        <x:v>ACKJXZGTUCARLB-UGKGYDQZSA-N</x:v>
      </x:c>
      <x:c r="B58" s="9" t="str">
        <x:v>CHEMBL3939830</x:v>
      </x:c>
      <x:c r="C58" s="9" t="str">
        <x:v>CHEMBL3939830</x:v>
      </x:c>
      <x:c r="D58" s="9" t="str">
        <x:v>16670414</x:v>
      </x:c>
      <x:c r="E58" s="9" t="str">
        <x:v>16670414</x:v>
      </x:c>
      <x:c r="F58" s="9" t="str">
        <x:v>CHEMBL3855278</x:v>
      </x:c>
      <x:c r="G58" s="9" t="str">
        <x:v>CHEMBL217</x:v>
      </x:c>
      <x:c r="H58" s="9" t="str">
        <x:v>CHEMBL3853329</x:v>
      </x:c>
      <x:c r="I58" s="9" t="str">
        <x:v>Cn1c(SCCCN2CC[C@]3(C[C@H]3c3ccc(C(F)(F)F)cc3)C2)nnc1-c1ccnnc1</x:v>
      </x:c>
      <x:c r="J58" s="9" t="str">
        <x:v>Cn1c(SCCCN2CC[C@]3(C[C@H]3c3ccc(C(F)(F)F)cc3)C2)nnc1-c1ccnnc1</x:v>
      </x:c>
      <x:c r="K58" s="9" t="str">
        <x:v>source_reported_pKi</x:v>
      </x:c>
      <x:c r="L58" s="11" t="n">
        <x:v>5.59</x:v>
      </x:c>
      <x:c r="M58" s="11" t="n">
        <x:v>2570.3957827688646</x:v>
      </x:c>
      <x:c r="N58" s="11" t="n">
        <x:v>2570.4</x:v>
      </x:c>
      <x:c r="O58" s="11" t="n">
        <x:v>5.589999287456538</x:v>
      </x:c>
      <x:c r="P58" s="12" t="n">
        <x:v>-7.125434615673498e-7</x:v>
      </x:c>
      <x:c r="Q58" s="12" t="n">
        <x:v>0.004217231135498878</x:v>
      </x:c>
      <x:c r="R58" s="11" t="n">
        <x:v>0.00501</x:v>
      </x:c>
      <x:c r="S58" s="9" t="str">
        <x:v>Cn1c(SCCCN2CC[C@]3(C[C@H]3c3ccc(C(F)(F)F)cc3)C2)nnc1-c1ccnnc1</x:v>
      </x:c>
      <x:c r="T58" s="9" t="str">
        <x:v>Cn1c(SCCCN2CC[C@]3(C[C@H]3c3ccc(C(F)(F)F)cc3)C2)nnc1-c1ccnnc1</x:v>
      </x:c>
      <x:c r="U58" s="9" t="str">
        <x:v>ACKJXZGTUCARLB-UGKGYDQZSA-N</x:v>
      </x:c>
      <x:c r="V58" s="9" t="str">
        <x:v>Cn1c(SCCCN2CCC3(CC3c3ccc(C(F)(F)F)cc3)C2)nnc1-c1ccnnc1</x:v>
      </x:c>
      <x:c r="W58" s="9" t="str">
        <x:v>21122fd737b5488cc124d930b16b7e37c6e78e3ebc8d468bc844d995bc045290</x:v>
      </x:c>
      <x:c r="X58" s="9" t="str">
        <x:v>c1ccc(C2CC23CCN(CCCSc2nnc(-c4ccnnc4)[nH]2)C3)cc1</x:v>
      </x:c>
      <x:c r="Y58" s="9" t="str">
        <x:v>False</x:v>
      </x:c>
      <x:c r="Z58" s="13" t="n">
        <x:v>1</x:v>
      </x:c>
      <x:c r="AA58" s="9" t="str">
        <x:v>include</x:v>
      </x:c>
      <x:c r="AB58" s="9" t="str"/>
      <x:c r="AC58" s="9" t="str">
        <x:v>pKi</x:v>
      </x:c>
      <x:c r="AD58" s="9" t="str">
        <x:v>5.59</x:v>
      </x:c>
      <x:c r="AE58" s="9" t="str"/>
      <x:c r="AF58" s="9" t="str">
        <x:v>=</x:v>
      </x:c>
      <x:c r="AG58" s="9" t="str">
        <x:v>Ki</x:v>
      </x:c>
      <x:c r="AH58" s="11" t="n">
        <x:v>2570.4</x:v>
      </x:c>
      <x:c r="AI58" s="9" t="str">
        <x:v>nM</x:v>
      </x:c>
      <x:c r="AJ58" s="9" t="str">
        <x:v>=</x:v>
      </x:c>
      <x:c r="AK58" s="11" t="n">
        <x:v>5.59</x:v>
      </x:c>
      <x:c r="AL58" s="13" t="n">
        <x:v>0</x:v>
      </x:c>
      <x:c r="AM58" s="9" t="str"/>
      <x:c r="AN58" s="9" t="str"/>
      <x:c r="AO58" s="9" t="str">
        <x:v>https://www.ebi.ac.uk/chembl/api/data/activity/16670414.json</x:v>
      </x:c>
      <x:c r="AP58" s="9" t="str">
        <x:v>Cn1c(SCCCN2CCC3(CC3c3ccc(C(F)(F)F)cc3)C2)nnc1-c1ccnnc1</x:v>
      </x:c>
      <x:c r="AQ58" s="9" t="str">
        <x:v>c1ccc(C2CC23CCN(CCCSc2nnc(-c4ccnnc4)[nH]2)C3)cc1</x:v>
      </x:c>
      <x:c r="AR58" s="11" t="n">
        <x:v>474.5560000000001</x:v>
      </x:c>
      <x:c r="AS58" s="11" t="n">
        <x:v>4.652700000000004</x:v>
      </x:c>
      <x:c r="AT58" s="11" t="n">
        <x:v>59.730000000000004</x:v>
      </x:c>
      <x:c r="AU58" s="13" t="n">
        <x:v>0</x:v>
      </x:c>
      <x:c r="AV58" s="13" t="n">
        <x:v>6</x:v>
      </x:c>
      <x:c r="AW58" s="9" t="str">
        <x:v>train</x:v>
      </x:c>
      <x:c r="AX58" s="9" t="str">
        <x:v>source_reported_experimental_pKi</x:v>
      </x:c>
      <x:c r="AY58" s="11" t="n">
        <x:v>6.1161094540089005</x:v>
      </x:c>
      <x:c r="AZ58" s="11" t="n">
        <x:v>6.149473684210526</x:v>
      </x:c>
      <x:c r="BA58" s="11" t="n">
        <x:v>-0.5261094540089006</x:v>
      </x:c>
      <x:c r="BB58" s="9" t="str">
        <x:v>False</x:v>
      </x:c>
      <x:c r="BC58" s="11" t="n">
        <x:v>1</x:v>
      </x:c>
    </x:row>
    <x:row r="59" ht="36" customHeight="1">
      <x:c r="A59" s="14" t="str">
        <x:v>ACKJXZGTUCARLB-KNQAVFIVSA-N</x:v>
      </x:c>
      <x:c r="B59" s="14" t="str">
        <x:v>CHEMBL3940897</x:v>
      </x:c>
      <x:c r="C59" s="14" t="str">
        <x:v>CHEMBL3940897</x:v>
      </x:c>
      <x:c r="D59" s="14" t="str">
        <x:v>16670415</x:v>
      </x:c>
      <x:c r="E59" s="14" t="str">
        <x:v>16670415</x:v>
      </x:c>
      <x:c r="F59" s="14" t="str">
        <x:v>CHEMBL3855278</x:v>
      </x:c>
      <x:c r="G59" s="14" t="str">
        <x:v>CHEMBL217</x:v>
      </x:c>
      <x:c r="H59" s="14" t="str">
        <x:v>CHEMBL3853329</x:v>
      </x:c>
      <x:c r="I59" s="14" t="str">
        <x:v>Cn1c(SCCCN2CC[C@]3(C[C@@H]3c3ccc(C(F)(F)F)cc3)C2)nnc1-c1ccnnc1</x:v>
      </x:c>
      <x:c r="J59" s="14" t="str">
        <x:v>Cn1c(SCCCN2CC[C@]3(C[C@@H]3c3ccc(C(F)(F)F)cc3)C2)nnc1-c1ccnnc1</x:v>
      </x:c>
      <x:c r="K59" s="14" t="str">
        <x:v>source_reported_pKi</x:v>
      </x:c>
      <x:c r="L59" s="15" t="n">
        <x:v>5.81</x:v>
      </x:c>
      <x:c r="M59" s="15" t="n">
        <x:v>1548.8166189124827</x:v>
      </x:c>
      <x:c r="N59" s="15" t="n">
        <x:v>1548.82</x:v>
      </x:c>
      <x:c r="O59" s="15" t="n">
        <x:v>5.809999051930337</x:v>
      </x:c>
      <x:c r="P59" s="16" t="n">
        <x:v>-9.480696627761631e-7</x:v>
      </x:c>
      <x:c r="Q59" s="16" t="n">
        <x:v>0.003381087517254855</x:v>
      </x:c>
      <x:c r="R59" s="15" t="n">
        <x:v>0.00501</x:v>
      </x:c>
      <x:c r="S59" s="14" t="str">
        <x:v>Cn1c(SCCCN2CC[C@]3(C[C@@H]3c3ccc(C(F)(F)F)cc3)C2)nnc1-c1ccnnc1</x:v>
      </x:c>
      <x:c r="T59" s="14" t="str">
        <x:v>Cn1c(SCCCN2CC[C@]3(C[C@@H]3c3ccc(C(F)(F)F)cc3)C2)nnc1-c1ccnnc1</x:v>
      </x:c>
      <x:c r="U59" s="14" t="str">
        <x:v>ACKJXZGTUCARLB-KNQAVFIVSA-N</x:v>
      </x:c>
      <x:c r="V59" s="14" t="str">
        <x:v>Cn1c(SCCCN2CCC3(CC3c3ccc(C(F)(F)F)cc3)C2)nnc1-c1ccnnc1</x:v>
      </x:c>
      <x:c r="W59" s="14" t="str">
        <x:v>21122fd737b5488cc124d930b16b7e37c6e78e3ebc8d468bc844d995bc045290</x:v>
      </x:c>
      <x:c r="X59" s="14" t="str">
        <x:v>c1ccc(C2CC23CCN(CCCSc2nnc(-c4ccnnc4)[nH]2)C3)cc1</x:v>
      </x:c>
      <x:c r="Y59" s="14" t="str">
        <x:v>False</x:v>
      </x:c>
      <x:c r="Z59" s="17" t="n">
        <x:v>1</x:v>
      </x:c>
      <x:c r="AA59" s="14" t="str">
        <x:v>include</x:v>
      </x:c>
      <x:c r="AB59" s="14" t="str"/>
      <x:c r="AC59" s="14" t="str">
        <x:v>pKi</x:v>
      </x:c>
      <x:c r="AD59" s="14" t="str">
        <x:v>5.81</x:v>
      </x:c>
      <x:c r="AE59" s="14" t="str"/>
      <x:c r="AF59" s="14" t="str">
        <x:v>=</x:v>
      </x:c>
      <x:c r="AG59" s="14" t="str">
        <x:v>Ki</x:v>
      </x:c>
      <x:c r="AH59" s="15" t="n">
        <x:v>1548.82</x:v>
      </x:c>
      <x:c r="AI59" s="14" t="str">
        <x:v>nM</x:v>
      </x:c>
      <x:c r="AJ59" s="14" t="str">
        <x:v>=</x:v>
      </x:c>
      <x:c r="AK59" s="15" t="n">
        <x:v>5.81</x:v>
      </x:c>
      <x:c r="AL59" s="17" t="n">
        <x:v>0</x:v>
      </x:c>
      <x:c r="AM59" s="14" t="str"/>
      <x:c r="AN59" s="14" t="str"/>
      <x:c r="AO59" s="14" t="str">
        <x:v>https://www.ebi.ac.uk/chembl/api/data/activity/16670415.json</x:v>
      </x:c>
      <x:c r="AP59" s="14" t="str">
        <x:v>Cn1c(SCCCN2CCC3(CC3c3ccc(C(F)(F)F)cc3)C2)nnc1-c1ccnnc1</x:v>
      </x:c>
      <x:c r="AQ59" s="14" t="str">
        <x:v>c1ccc(C2CC23CCN(CCCSc2nnc(-c4ccnnc4)[nH]2)C3)cc1</x:v>
      </x:c>
      <x:c r="AR59" s="15" t="n">
        <x:v>474.5560000000001</x:v>
      </x:c>
      <x:c r="AS59" s="15" t="n">
        <x:v>4.652700000000004</x:v>
      </x:c>
      <x:c r="AT59" s="15" t="n">
        <x:v>59.730000000000004</x:v>
      </x:c>
      <x:c r="AU59" s="17" t="n">
        <x:v>0</x:v>
      </x:c>
      <x:c r="AV59" s="17" t="n">
        <x:v>6</x:v>
      </x:c>
      <x:c r="AW59" s="14" t="str">
        <x:v>train</x:v>
      </x:c>
      <x:c r="AX59" s="14" t="str">
        <x:v>source_reported_experimental_pKi</x:v>
      </x:c>
      <x:c r="AY59" s="15" t="n">
        <x:v>6.1161094540089005</x:v>
      </x:c>
      <x:c r="AZ59" s="15" t="n">
        <x:v>6.149473684210526</x:v>
      </x:c>
      <x:c r="BA59" s="15" t="n">
        <x:v>-0.3061094540089009</x:v>
      </x:c>
      <x:c r="BB59" s="14" t="str">
        <x:v>False</x:v>
      </x:c>
      <x:c r="BC59" s="15" t="n">
        <x:v>1</x:v>
      </x:c>
    </x:row>
    <x:row r="60" ht="36" customHeight="1">
      <x:c r="A60" s="9" t="str">
        <x:v>WURHPBCTBQAVRU-OFNKIYASSA-N</x:v>
      </x:c>
      <x:c r="B60" s="9" t="str">
        <x:v>CHEMBL3912897</x:v>
      </x:c>
      <x:c r="C60" s="9" t="str">
        <x:v>CHEMBL3912897</x:v>
      </x:c>
      <x:c r="D60" s="9" t="str">
        <x:v>16670416</x:v>
      </x:c>
      <x:c r="E60" s="9" t="str">
        <x:v>16670416</x:v>
      </x:c>
      <x:c r="F60" s="9" t="str">
        <x:v>CHEMBL3855278</x:v>
      </x:c>
      <x:c r="G60" s="9" t="str">
        <x:v>CHEMBL217</x:v>
      </x:c>
      <x:c r="H60" s="9" t="str">
        <x:v>CHEMBL3853329</x:v>
      </x:c>
      <x:c r="I60" s="9" t="str">
        <x:v>Cn1c(SCCCN2CC[C@]3(C[C@@H]3c3ccccc3)C2)nnc1-c1cccnc1</x:v>
      </x:c>
      <x:c r="J60" s="9" t="str">
        <x:v>Cn1c(SCCCN2CC[C@]3(C[C@@H]3c3ccccc3)C2)nnc1-c1cccnc1</x:v>
      </x:c>
      <x:c r="K60" s="9" t="str">
        <x:v>source_reported_pKi</x:v>
      </x:c>
      <x:c r="L60" s="11" t="n">
        <x:v>5.48</x:v>
      </x:c>
      <x:c r="M60" s="11" t="n">
        <x:v>3311.311214825908</x:v>
      </x:c>
      <x:c r="N60" s="11" t="n">
        <x:v>3311.31</x:v>
      </x:c>
      <x:c r="O60" s="11" t="n">
        <x:v>5.480000159330324</x:v>
      </x:c>
      <x:c r="P60" s="12" t="n">
        <x:v>1.5933032315729179e-7</x:v>
      </x:c>
      <x:c r="Q60" s="12" t="n">
        <x:v>-0.0012148259079367563</x:v>
      </x:c>
      <x:c r="R60" s="11" t="n">
        <x:v>0.00501</x:v>
      </x:c>
      <x:c r="S60" s="9" t="str">
        <x:v>Cn1c(SCCCN2CC[C@]3(C[C@@H]3c3ccccc3)C2)nnc1-c1cccnc1</x:v>
      </x:c>
      <x:c r="T60" s="9" t="str">
        <x:v>Cn1c(SCCCN2CC[C@]3(C[C@@H]3c3ccccc3)C2)nnc1-c1cccnc1</x:v>
      </x:c>
      <x:c r="U60" s="9" t="str">
        <x:v>WURHPBCTBQAVRU-OFNKIYASSA-N</x:v>
      </x:c>
      <x:c r="V60" s="9" t="str">
        <x:v>Cn1c(SCCCN2CCC3(CC3c3ccccc3)C2)nnc1-c1cccnc1</x:v>
      </x:c>
      <x:c r="W60" s="9" t="str">
        <x:v>e51c76363bb99063c3db629d65f9071a32b70abadd9980e0f879ecb664ae2208</x:v>
      </x:c>
      <x:c r="X60" s="9" t="str">
        <x:v>c1ccc(C2CC23CCN(CCCSc2nnc(-c4cccnc4)[nH]2)C3)cc1</x:v>
      </x:c>
      <x:c r="Y60" s="9" t="str">
        <x:v>False</x:v>
      </x:c>
      <x:c r="Z60" s="13" t="n">
        <x:v>1</x:v>
      </x:c>
      <x:c r="AA60" s="9" t="str">
        <x:v>include</x:v>
      </x:c>
      <x:c r="AB60" s="9" t="str"/>
      <x:c r="AC60" s="9" t="str">
        <x:v>pKi</x:v>
      </x:c>
      <x:c r="AD60" s="9" t="str">
        <x:v>5.48</x:v>
      </x:c>
      <x:c r="AE60" s="9" t="str"/>
      <x:c r="AF60" s="9" t="str">
        <x:v>=</x:v>
      </x:c>
      <x:c r="AG60" s="9" t="str">
        <x:v>Ki</x:v>
      </x:c>
      <x:c r="AH60" s="11" t="n">
        <x:v>3311.31</x:v>
      </x:c>
      <x:c r="AI60" s="9" t="str">
        <x:v>nM</x:v>
      </x:c>
      <x:c r="AJ60" s="9" t="str">
        <x:v>=</x:v>
      </x:c>
      <x:c r="AK60" s="11" t="n">
        <x:v>5.48</x:v>
      </x:c>
      <x:c r="AL60" s="13" t="n">
        <x:v>0</x:v>
      </x:c>
      <x:c r="AM60" s="9" t="str"/>
      <x:c r="AN60" s="9" t="str"/>
      <x:c r="AO60" s="9" t="str">
        <x:v>https://www.ebi.ac.uk/chembl/api/data/activity/16670416.json</x:v>
      </x:c>
      <x:c r="AP60" s="9" t="str">
        <x:v>Cn1c(SCCCN2CCC3(CC3c3ccccc3)C2)nnc1-c1cccnc1</x:v>
      </x:c>
      <x:c r="AQ60" s="9" t="str">
        <x:v>c1ccc(C2CC23CCN(CCCSc2nnc(-c4cccnc4)[nH]2)C3)cc1</x:v>
      </x:c>
      <x:c r="AR60" s="11" t="n">
        <x:v>405.5710000000001</x:v>
      </x:c>
      <x:c r="AS60" s="11" t="n">
        <x:v>4.238900000000004</x:v>
      </x:c>
      <x:c r="AT60" s="11" t="n">
        <x:v>46.84</x:v>
      </x:c>
      <x:c r="AU60" s="13" t="n">
        <x:v>0</x:v>
      </x:c>
      <x:c r="AV60" s="13" t="n">
        <x:v>5</x:v>
      </x:c>
      <x:c r="AW60" s="9" t="str">
        <x:v>train</x:v>
      </x:c>
      <x:c r="AX60" s="9" t="str">
        <x:v>source_reported_experimental_pKi</x:v>
      </x:c>
      <x:c r="AY60" s="11" t="n">
        <x:v>6.059166747071359</x:v>
      </x:c>
      <x:c r="AZ60" s="11" t="n">
        <x:v>6.149473684210526</x:v>
      </x:c>
      <x:c r="BA60" s="11" t="n">
        <x:v>-0.5791667470713584</x:v>
      </x:c>
      <x:c r="BB60" s="9" t="str">
        <x:v>False</x:v>
      </x:c>
      <x:c r="BC60" s="11" t="n">
        <x:v>0.859375</x:v>
      </x:c>
    </x:row>
    <x:row r="61" ht="36" customHeight="1">
      <x:c r="A61" s="14" t="str">
        <x:v>JZCCFPRFOOIKRY-XXBNENTESA-N</x:v>
      </x:c>
      <x:c r="B61" s="14" t="str">
        <x:v>CHEMBL3949662</x:v>
      </x:c>
      <x:c r="C61" s="14" t="str">
        <x:v>CHEMBL3949662</x:v>
      </x:c>
      <x:c r="D61" s="14" t="str">
        <x:v>16670417</x:v>
      </x:c>
      <x:c r="E61" s="14" t="str">
        <x:v>16670417</x:v>
      </x:c>
      <x:c r="F61" s="14" t="str">
        <x:v>CHEMBL3855278</x:v>
      </x:c>
      <x:c r="G61" s="14" t="str">
        <x:v>CHEMBL217</x:v>
      </x:c>
      <x:c r="H61" s="14" t="str">
        <x:v>CHEMBL3853329</x:v>
      </x:c>
      <x:c r="I61" s="14" t="str">
        <x:v>Cn1c(SCCCN2CC[C@]3(C[C@@H]3c3ccc(C(F)(F)F)cc3F)C2)nnc1-c1cccnc1</x:v>
      </x:c>
      <x:c r="J61" s="14" t="str">
        <x:v>Cn1c(SCCCN2CC[C@]3(C[C@@H]3c3ccc(C(F)(F)F)cc3F)C2)nnc1-c1cccnc1</x:v>
      </x:c>
      <x:c r="K61" s="14" t="str">
        <x:v>source_reported_pKi</x:v>
      </x:c>
      <x:c r="L61" s="15" t="n">
        <x:v>6.14</x:v>
      </x:c>
      <x:c r="M61" s="15" t="n">
        <x:v>724.4359600749906</x:v>
      </x:c>
      <x:c r="N61" s="15" t="n">
        <x:v>724.44</x:v>
      </x:c>
      <x:c r="O61" s="15" t="n">
        <x:v>6.139997578098902</x:v>
      </x:c>
      <x:c r="P61" s="16" t="n">
        <x:v>-0.0000024219010974491084</x:v>
      </x:c>
      <x:c r="Q61" s="16" t="n">
        <x:v>0.004039925009465151</x:v>
      </x:c>
      <x:c r="R61" s="15" t="n">
        <x:v>0.00501</x:v>
      </x:c>
      <x:c r="S61" s="14" t="str">
        <x:v>Cn1c(SCCCN2CC[C@]3(C[C@@H]3c3ccc(C(F)(F)F)cc3F)C2)nnc1-c1cccnc1</x:v>
      </x:c>
      <x:c r="T61" s="14" t="str">
        <x:v>Cn1c(SCCCN2CC[C@]3(C[C@@H]3c3ccc(C(F)(F)F)cc3F)C2)nnc1-c1cccnc1</x:v>
      </x:c>
      <x:c r="U61" s="14" t="str">
        <x:v>JZCCFPRFOOIKRY-XXBNENTESA-N</x:v>
      </x:c>
      <x:c r="V61" s="14" t="str">
        <x:v>Cn1c(SCCCN2CCC3(CC3c3ccc(C(F)(F)F)cc3F)C2)nnc1-c1cccnc1</x:v>
      </x:c>
      <x:c r="W61" s="14" t="str">
        <x:v>7312a5eb6c36851ab2eae6e069f6f6e14d9aa45b43b157482ebb4f0c2c6d160e</x:v>
      </x:c>
      <x:c r="X61" s="14" t="str">
        <x:v>c1ccc(C2CC23CCN(CCCSc2nnc(-c4cccnc4)[nH]2)C3)cc1</x:v>
      </x:c>
      <x:c r="Y61" s="14" t="str">
        <x:v>False</x:v>
      </x:c>
      <x:c r="Z61" s="17" t="n">
        <x:v>1</x:v>
      </x:c>
      <x:c r="AA61" s="14" t="str">
        <x:v>include</x:v>
      </x:c>
      <x:c r="AB61" s="14" t="str"/>
      <x:c r="AC61" s="14" t="str">
        <x:v>pKi</x:v>
      </x:c>
      <x:c r="AD61" s="14" t="str">
        <x:v>6.14</x:v>
      </x:c>
      <x:c r="AE61" s="14" t="str"/>
      <x:c r="AF61" s="14" t="str">
        <x:v>=</x:v>
      </x:c>
      <x:c r="AG61" s="14" t="str">
        <x:v>Ki</x:v>
      </x:c>
      <x:c r="AH61" s="15" t="n">
        <x:v>724.44</x:v>
      </x:c>
      <x:c r="AI61" s="14" t="str">
        <x:v>nM</x:v>
      </x:c>
      <x:c r="AJ61" s="14" t="str">
        <x:v>=</x:v>
      </x:c>
      <x:c r="AK61" s="15" t="n">
        <x:v>6.14</x:v>
      </x:c>
      <x:c r="AL61" s="17" t="n">
        <x:v>0</x:v>
      </x:c>
      <x:c r="AM61" s="14" t="str"/>
      <x:c r="AN61" s="14" t="str"/>
      <x:c r="AO61" s="14" t="str">
        <x:v>https://www.ebi.ac.uk/chembl/api/data/activity/16670417.json</x:v>
      </x:c>
      <x:c r="AP61" s="14" t="str">
        <x:v>Cn1c(SCCCN2CCC3(CC3c3ccc(C(F)(F)F)cc3F)C2)nnc1-c1cccnc1</x:v>
      </x:c>
      <x:c r="AQ61" s="14" t="str">
        <x:v>c1ccc(C2CC23CCN(CCCSc2nnc(-c4cccnc4)[nH]2)C3)cc1</x:v>
      </x:c>
      <x:c r="AR61" s="15" t="n">
        <x:v>491.5580000000001</x:v>
      </x:c>
      <x:c r="AS61" s="15" t="n">
        <x:v>5.396800000000006</x:v>
      </x:c>
      <x:c r="AT61" s="15" t="n">
        <x:v>46.84</x:v>
      </x:c>
      <x:c r="AU61" s="17" t="n">
        <x:v>0</x:v>
      </x:c>
      <x:c r="AV61" s="17" t="n">
        <x:v>5</x:v>
      </x:c>
      <x:c r="AW61" s="14" t="str">
        <x:v>train</x:v>
      </x:c>
      <x:c r="AX61" s="14" t="str">
        <x:v>source_reported_experimental_pKi</x:v>
      </x:c>
      <x:c r="AY61" s="15" t="n">
        <x:v>6.101536858233711</x:v>
      </x:c>
      <x:c r="AZ61" s="15" t="n">
        <x:v>6.149473684210526</x:v>
      </x:c>
      <x:c r="BA61" s="15" t="n">
        <x:v>0.03846314176628862</x:v>
      </x:c>
      <x:c r="BB61" s="14" t="str">
        <x:v>False</x:v>
      </x:c>
      <x:c r="BC61" s="15" t="n">
        <x:v>0.8356164383561644</x:v>
      </x:c>
    </x:row>
    <x:row r="62" ht="36" customHeight="1">
      <x:c r="A62" s="9" t="str">
        <x:v>IKSPSLCLHNNQFS-XXBNENTESA-N</x:v>
      </x:c>
      <x:c r="B62" s="9" t="str">
        <x:v>CHEMBL3921885</x:v>
      </x:c>
      <x:c r="C62" s="9" t="str">
        <x:v>CHEMBL3921885</x:v>
      </x:c>
      <x:c r="D62" s="9" t="str">
        <x:v>16670418</x:v>
      </x:c>
      <x:c r="E62" s="9" t="str">
        <x:v>16670418</x:v>
      </x:c>
      <x:c r="F62" s="9" t="str">
        <x:v>CHEMBL3855278</x:v>
      </x:c>
      <x:c r="G62" s="9" t="str">
        <x:v>CHEMBL217</x:v>
      </x:c>
      <x:c r="H62" s="9" t="str">
        <x:v>CHEMBL3853329</x:v>
      </x:c>
      <x:c r="I62" s="9" t="str">
        <x:v>Cn1c(SCCCN2CC[C@]3(C[C@@H]3c3ccc(F)cc3F)C2)nnc1-c1cccnc1</x:v>
      </x:c>
      <x:c r="J62" s="9" t="str">
        <x:v>Cn1c(SCCCN2CC[C@]3(C[C@@H]3c3ccc(F)cc3F)C2)nnc1-c1cccnc1</x:v>
      </x:c>
      <x:c r="K62" s="9" t="str">
        <x:v>source_reported_pKi</x:v>
      </x:c>
      <x:c r="L62" s="11" t="n">
        <x:v>6.28</x:v>
      </x:c>
      <x:c r="M62" s="11" t="n">
        <x:v>524.8074602497722</x:v>
      </x:c>
      <x:c r="N62" s="11" t="n">
        <x:v>524.81</x:v>
      </x:c>
      <x:c r="O62" s="11" t="n">
        <x:v>6.279997898282849</x:v>
      </x:c>
      <x:c r="P62" s="12" t="n">
        <x:v>-0.0000021017171514259303</x:v>
      </x:c>
      <x:c r="Q62" s="12" t="n">
        <x:v>0.0025397502276973682</x:v>
      </x:c>
      <x:c r="R62" s="11" t="n">
        <x:v>0.00501</x:v>
      </x:c>
      <x:c r="S62" s="9" t="str">
        <x:v>Cn1c(SCCCN2CC[C@]3(C[C@@H]3c3ccc(F)cc3F)C2)nnc1-c1cccnc1</x:v>
      </x:c>
      <x:c r="T62" s="9" t="str">
        <x:v>Cn1c(SCCCN2CC[C@]3(C[C@@H]3c3ccc(F)cc3F)C2)nnc1-c1cccnc1</x:v>
      </x:c>
      <x:c r="U62" s="9" t="str">
        <x:v>IKSPSLCLHNNQFS-XXBNENTESA-N</x:v>
      </x:c>
      <x:c r="V62" s="9" t="str">
        <x:v>Cn1c(SCCCN2CCC3(CC3c3ccc(F)cc3F)C2)nnc1-c1cccnc1</x:v>
      </x:c>
      <x:c r="W62" s="9" t="str">
        <x:v>3d45ebd612f33e174b22d058850dc4a21cb03efca4b5a6b8dc59edff9dbfb926</x:v>
      </x:c>
      <x:c r="X62" s="9" t="str">
        <x:v>c1ccc(C2CC23CCN(CCCSc2nnc(-c4cccnc4)[nH]2)C3)cc1</x:v>
      </x:c>
      <x:c r="Y62" s="9" t="str">
        <x:v>False</x:v>
      </x:c>
      <x:c r="Z62" s="13" t="n">
        <x:v>1</x:v>
      </x:c>
      <x:c r="AA62" s="9" t="str">
        <x:v>include</x:v>
      </x:c>
      <x:c r="AB62" s="9" t="str"/>
      <x:c r="AC62" s="9" t="str">
        <x:v>pKi</x:v>
      </x:c>
      <x:c r="AD62" s="9" t="str">
        <x:v>6.28</x:v>
      </x:c>
      <x:c r="AE62" s="9" t="str"/>
      <x:c r="AF62" s="9" t="str">
        <x:v>=</x:v>
      </x:c>
      <x:c r="AG62" s="9" t="str">
        <x:v>Ki</x:v>
      </x:c>
      <x:c r="AH62" s="11" t="n">
        <x:v>524.81</x:v>
      </x:c>
      <x:c r="AI62" s="9" t="str">
        <x:v>nM</x:v>
      </x:c>
      <x:c r="AJ62" s="9" t="str">
        <x:v>=</x:v>
      </x:c>
      <x:c r="AK62" s="11" t="n">
        <x:v>6.28</x:v>
      </x:c>
      <x:c r="AL62" s="13" t="n">
        <x:v>0</x:v>
      </x:c>
      <x:c r="AM62" s="9" t="str"/>
      <x:c r="AN62" s="9" t="str"/>
      <x:c r="AO62" s="9" t="str">
        <x:v>https://www.ebi.ac.uk/chembl/api/data/activity/16670418.json</x:v>
      </x:c>
      <x:c r="AP62" s="9" t="str">
        <x:v>Cn1c(SCCCN2CCC3(CC3c3ccc(F)cc3F)C2)nnc1-c1cccnc1</x:v>
      </x:c>
      <x:c r="AQ62" s="9" t="str">
        <x:v>c1ccc(C2CC23CCN(CCCSc2nnc(-c4cccnc4)[nH]2)C3)cc1</x:v>
      </x:c>
      <x:c r="AR62" s="11" t="n">
        <x:v>441.5510000000001</x:v>
      </x:c>
      <x:c r="AS62" s="11" t="n">
        <x:v>4.517100000000004</x:v>
      </x:c>
      <x:c r="AT62" s="11" t="n">
        <x:v>46.84</x:v>
      </x:c>
      <x:c r="AU62" s="13" t="n">
        <x:v>0</x:v>
      </x:c>
      <x:c r="AV62" s="13" t="n">
        <x:v>5</x:v>
      </x:c>
      <x:c r="AW62" s="9" t="str">
        <x:v>train</x:v>
      </x:c>
      <x:c r="AX62" s="9" t="str">
        <x:v>source_reported_experimental_pKi</x:v>
      </x:c>
      <x:c r="AY62" s="11" t="n">
        <x:v>6.046984559390487</x:v>
      </x:c>
      <x:c r="AZ62" s="11" t="n">
        <x:v>6.149473684210526</x:v>
      </x:c>
      <x:c r="BA62" s="11" t="n">
        <x:v>0.2330154406095133</x:v>
      </x:c>
      <x:c r="BB62" s="9" t="str">
        <x:v>False</x:v>
      </x:c>
      <x:c r="BC62" s="11" t="n">
        <x:v>0.8356164383561644</x:v>
      </x:c>
    </x:row>
    <x:row r="63" ht="36" customHeight="1">
      <x:c r="A63" s="14" t="str">
        <x:v>JGGOHKJHMHHQML-OFNKIYASSA-N</x:v>
      </x:c>
      <x:c r="B63" s="14" t="str">
        <x:v>CHEMBL3897134</x:v>
      </x:c>
      <x:c r="C63" s="14" t="str">
        <x:v>CHEMBL3897134</x:v>
      </x:c>
      <x:c r="D63" s="14" t="str">
        <x:v>16670419</x:v>
      </x:c>
      <x:c r="E63" s="14" t="str">
        <x:v>16670419</x:v>
      </x:c>
      <x:c r="F63" s="14" t="str">
        <x:v>CHEMBL3855278</x:v>
      </x:c>
      <x:c r="G63" s="14" t="str">
        <x:v>CHEMBL217</x:v>
      </x:c>
      <x:c r="H63" s="14" t="str">
        <x:v>CHEMBL3853329</x:v>
      </x:c>
      <x:c r="I63" s="14" t="str">
        <x:v>Cn1c(SCCCN2CC[C@]3(C[C@@H]3c3ccc(F)cc3)C2)nnc1-c1cccnc1</x:v>
      </x:c>
      <x:c r="J63" s="14" t="str">
        <x:v>Cn1c(SCCCN2CC[C@]3(C[C@@H]3c3ccc(F)cc3)C2)nnc1-c1cccnc1</x:v>
      </x:c>
      <x:c r="K63" s="14" t="str">
        <x:v>source_reported_pKi</x:v>
      </x:c>
      <x:c r="L63" s="15" t="n">
        <x:v>6.18</x:v>
      </x:c>
      <x:c r="M63" s="15" t="n">
        <x:v>660.6934480075964</x:v>
      </x:c>
      <x:c r="N63" s="15" t="n">
        <x:v>660.69</x:v>
      </x:c>
      <x:c r="O63" s="15" t="n">
        <x:v>6.180002266489224</x:v>
      </x:c>
      <x:c r="P63" s="16" t="n">
        <x:v>0.000002266489223856638</x:v>
      </x:c>
      <x:c r="Q63" s="16" t="n">
        <x:v>-0.0034480075963756462</x:v>
      </x:c>
      <x:c r="R63" s="15" t="n">
        <x:v>0.00501</x:v>
      </x:c>
      <x:c r="S63" s="14" t="str">
        <x:v>Cn1c(SCCCN2CC[C@]3(C[C@@H]3c3ccc(F)cc3)C2)nnc1-c1cccnc1</x:v>
      </x:c>
      <x:c r="T63" s="14" t="str">
        <x:v>Cn1c(SCCCN2CC[C@]3(C[C@@H]3c3ccc(F)cc3)C2)nnc1-c1cccnc1</x:v>
      </x:c>
      <x:c r="U63" s="14" t="str">
        <x:v>JGGOHKJHMHHQML-OFNKIYASSA-N</x:v>
      </x:c>
      <x:c r="V63" s="14" t="str">
        <x:v>Cn1c(SCCCN2CCC3(CC3c3ccc(F)cc3)C2)nnc1-c1cccnc1</x:v>
      </x:c>
      <x:c r="W63" s="14" t="str">
        <x:v>67837bf3b25973cd5602161e89589fe221722a55869bb467bb83aaf744d079f5</x:v>
      </x:c>
      <x:c r="X63" s="14" t="str">
        <x:v>c1ccc(C2CC23CCN(CCCSc2nnc(-c4cccnc4)[nH]2)C3)cc1</x:v>
      </x:c>
      <x:c r="Y63" s="14" t="str">
        <x:v>False</x:v>
      </x:c>
      <x:c r="Z63" s="17" t="n">
        <x:v>1</x:v>
      </x:c>
      <x:c r="AA63" s="14" t="str">
        <x:v>include</x:v>
      </x:c>
      <x:c r="AB63" s="14" t="str"/>
      <x:c r="AC63" s="14" t="str">
        <x:v>pKi</x:v>
      </x:c>
      <x:c r="AD63" s="14" t="str">
        <x:v>6.18</x:v>
      </x:c>
      <x:c r="AE63" s="14" t="str"/>
      <x:c r="AF63" s="14" t="str">
        <x:v>=</x:v>
      </x:c>
      <x:c r="AG63" s="14" t="str">
        <x:v>Ki</x:v>
      </x:c>
      <x:c r="AH63" s="15" t="n">
        <x:v>660.69</x:v>
      </x:c>
      <x:c r="AI63" s="14" t="str">
        <x:v>nM</x:v>
      </x:c>
      <x:c r="AJ63" s="14" t="str">
        <x:v>=</x:v>
      </x:c>
      <x:c r="AK63" s="15" t="n">
        <x:v>6.18</x:v>
      </x:c>
      <x:c r="AL63" s="17" t="n">
        <x:v>0</x:v>
      </x:c>
      <x:c r="AM63" s="14" t="str"/>
      <x:c r="AN63" s="14" t="str"/>
      <x:c r="AO63" s="14" t="str">
        <x:v>https://www.ebi.ac.uk/chembl/api/data/activity/16670419.json</x:v>
      </x:c>
      <x:c r="AP63" s="14" t="str">
        <x:v>Cn1c(SCCCN2CCC3(CC3c3ccc(F)cc3)C2)nnc1-c1cccnc1</x:v>
      </x:c>
      <x:c r="AQ63" s="14" t="str">
        <x:v>c1ccc(C2CC23CCN(CCCSc2nnc(-c4cccnc4)[nH]2)C3)cc1</x:v>
      </x:c>
      <x:c r="AR63" s="15" t="n">
        <x:v>423.5610000000001</x:v>
      </x:c>
      <x:c r="AS63" s="15" t="n">
        <x:v>4.378000000000004</x:v>
      </x:c>
      <x:c r="AT63" s="15" t="n">
        <x:v>46.84</x:v>
      </x:c>
      <x:c r="AU63" s="17" t="n">
        <x:v>0</x:v>
      </x:c>
      <x:c r="AV63" s="17" t="n">
        <x:v>5</x:v>
      </x:c>
      <x:c r="AW63" s="14" t="str">
        <x:v>train</x:v>
      </x:c>
      <x:c r="AX63" s="14" t="str">
        <x:v>source_reported_experimental_pKi</x:v>
      </x:c>
      <x:c r="AY63" s="15" t="n">
        <x:v>6.053075653230923</x:v>
      </x:c>
      <x:c r="AZ63" s="15" t="n">
        <x:v>6.149473684210526</x:v>
      </x:c>
      <x:c r="BA63" s="15" t="n">
        <x:v>0.12692434676907638</x:v>
      </x:c>
      <x:c r="BB63" s="14" t="str">
        <x:v>False</x:v>
      </x:c>
      <x:c r="BC63" s="15" t="n">
        <x:v>0.859375</x:v>
      </x:c>
    </x:row>
    <x:row r="64" ht="36" customHeight="1">
      <x:c r="A64" s="9" t="str">
        <x:v>MJUZYNLBBPDZMI-QPPBQGQZSA-N</x:v>
      </x:c>
      <x:c r="B64" s="9" t="str">
        <x:v>CHEMBL3968272</x:v>
      </x:c>
      <x:c r="C64" s="9" t="str">
        <x:v>CHEMBL3968272</x:v>
      </x:c>
      <x:c r="D64" s="9" t="str">
        <x:v>16670420</x:v>
      </x:c>
      <x:c r="E64" s="9" t="str">
        <x:v>16670420</x:v>
      </x:c>
      <x:c r="F64" s="9" t="str">
        <x:v>CHEMBL3855278</x:v>
      </x:c>
      <x:c r="G64" s="9" t="str">
        <x:v>CHEMBL217</x:v>
      </x:c>
      <x:c r="H64" s="9" t="str">
        <x:v>CHEMBL3853329</x:v>
      </x:c>
      <x:c r="I64" s="9" t="str">
        <x:v>Cc1ncccc1-c1nnc(SCCCN2CC[C@]3(C[C@@H]3c3ccc(C(F)(F)F)cc3)C2)n1C</x:v>
      </x:c>
      <x:c r="J64" s="9" t="str">
        <x:v>Cc1ncccc1-c1nnc(SCCCN2CC[C@]3(C[C@@H]3c3ccc(C(F)(F)F)cc3)C2)n1C</x:v>
      </x:c>
      <x:c r="K64" s="9" t="str">
        <x:v>source_reported_pKi</x:v>
      </x:c>
      <x:c r="L64" s="11" t="n">
        <x:v>5.83</x:v>
      </x:c>
      <x:c r="M64" s="11" t="n">
        <x:v>1479.1083881682073</x:v>
      </x:c>
      <x:c r="N64" s="11" t="n">
        <x:v>1479.11</x:v>
      </x:c>
      <x:c r="O64" s="11" t="n">
        <x:v>5.829999526735649</x:v>
      </x:c>
      <x:c r="P64" s="12" t="n">
        <x:v>-4.732643512639356e-7</x:v>
      </x:c>
      <x:c r="Q64" s="12" t="n">
        <x:v>0.0016118317926157033</x:v>
      </x:c>
      <x:c r="R64" s="11" t="n">
        <x:v>0.00501</x:v>
      </x:c>
      <x:c r="S64" s="9" t="str">
        <x:v>Cc1ncccc1-c1nnc(SCCCN2CC[C@]3(C[C@@H]3c3ccc(C(F)(F)F)cc3)C2)n1C</x:v>
      </x:c>
      <x:c r="T64" s="9" t="str">
        <x:v>Cc1ncccc1-c1nnc(SCCCN2CC[C@]3(C[C@@H]3c3ccc(C(F)(F)F)cc3)C2)n1C</x:v>
      </x:c>
      <x:c r="U64" s="9" t="str">
        <x:v>MJUZYNLBBPDZMI-QPPBQGQZSA-N</x:v>
      </x:c>
      <x:c r="V64" s="9" t="str">
        <x:v>Cc1ncccc1-c1nnc(SCCCN2CCC3(CC3c3ccc(C(F)(F)F)cc3)C2)n1C</x:v>
      </x:c>
      <x:c r="W64" s="9" t="str">
        <x:v>1a5ed4d9d841c21bac7a48325ccf00f87a738505af583a447183c940dafec8af</x:v>
      </x:c>
      <x:c r="X64" s="9" t="str">
        <x:v>c1ccc(C2CC23CCN(CCCSc2nnc(-c4cccnc4)[nH]2)C3)cc1</x:v>
      </x:c>
      <x:c r="Y64" s="9" t="str">
        <x:v>False</x:v>
      </x:c>
      <x:c r="Z64" s="13" t="n">
        <x:v>1</x:v>
      </x:c>
      <x:c r="AA64" s="9" t="str">
        <x:v>include</x:v>
      </x:c>
      <x:c r="AB64" s="9" t="str"/>
      <x:c r="AC64" s="9" t="str">
        <x:v>pKi</x:v>
      </x:c>
      <x:c r="AD64" s="9" t="str">
        <x:v>5.83</x:v>
      </x:c>
      <x:c r="AE64" s="9" t="str"/>
      <x:c r="AF64" s="9" t="str">
        <x:v>=</x:v>
      </x:c>
      <x:c r="AG64" s="9" t="str">
        <x:v>Ki</x:v>
      </x:c>
      <x:c r="AH64" s="11" t="n">
        <x:v>1479.11</x:v>
      </x:c>
      <x:c r="AI64" s="9" t="str">
        <x:v>nM</x:v>
      </x:c>
      <x:c r="AJ64" s="9" t="str">
        <x:v>=</x:v>
      </x:c>
      <x:c r="AK64" s="11" t="n">
        <x:v>5.83</x:v>
      </x:c>
      <x:c r="AL64" s="13" t="n">
        <x:v>0</x:v>
      </x:c>
      <x:c r="AM64" s="9" t="str"/>
      <x:c r="AN64" s="9" t="str"/>
      <x:c r="AO64" s="9" t="str">
        <x:v>https://www.ebi.ac.uk/chembl/api/data/activity/16670420.json</x:v>
      </x:c>
      <x:c r="AP64" s="9" t="str">
        <x:v>Cc1ncccc1-c1nnc(SCCCN2CCC3(CC3c3ccc(C(F)(F)F)cc3)C2)n1C</x:v>
      </x:c>
      <x:c r="AQ64" s="9" t="str">
        <x:v>c1ccc(C2CC23CCN(CCCSc2nnc(-c4cccnc4)[nH]2)C3)cc1</x:v>
      </x:c>
      <x:c r="AR64" s="11" t="n">
        <x:v>487.5950000000002</x:v>
      </x:c>
      <x:c r="AS64" s="11" t="n">
        <x:v>5.566120000000006</x:v>
      </x:c>
      <x:c r="AT64" s="11" t="n">
        <x:v>46.84</x:v>
      </x:c>
      <x:c r="AU64" s="13" t="n">
        <x:v>0</x:v>
      </x:c>
      <x:c r="AV64" s="13" t="n">
        <x:v>5</x:v>
      </x:c>
      <x:c r="AW64" s="9" t="str">
        <x:v>train</x:v>
      </x:c>
      <x:c r="AX64" s="9" t="str">
        <x:v>source_reported_experimental_pKi</x:v>
      </x:c>
      <x:c r="AY64" s="11" t="n">
        <x:v>6.13187020225788</x:v>
      </x:c>
      <x:c r="AZ64" s="11" t="n">
        <x:v>6.149473684210526</x:v>
      </x:c>
      <x:c r="BA64" s="11" t="n">
        <x:v>-0.30187020225787986</x:v>
      </x:c>
      <x:c r="BB64" s="9" t="str">
        <x:v>False</x:v>
      </x:c>
      <x:c r="BC64" s="11" t="n">
        <x:v>0.8676470588235294</x:v>
      </x:c>
    </x:row>
    <x:row r="65" ht="36" customHeight="1">
      <x:c r="A65" s="14" t="str">
        <x:v>DVUOLXOWKHDIAV-XXBNENTESA-N</x:v>
      </x:c>
      <x:c r="B65" s="14" t="str">
        <x:v>CHEMBL3946313</x:v>
      </x:c>
      <x:c r="C65" s="14" t="str">
        <x:v>CHEMBL3946313</x:v>
      </x:c>
      <x:c r="D65" s="14" t="str">
        <x:v>16670421</x:v>
      </x:c>
      <x:c r="E65" s="14" t="str">
        <x:v>16670421</x:v>
      </x:c>
      <x:c r="F65" s="14" t="str">
        <x:v>CHEMBL3855278</x:v>
      </x:c>
      <x:c r="G65" s="14" t="str">
        <x:v>CHEMBL217</x:v>
      </x:c>
      <x:c r="H65" s="14" t="str">
        <x:v>CHEMBL3853329</x:v>
      </x:c>
      <x:c r="I65" s="14" t="str">
        <x:v>Cn1c(SCCCN2CC[C@]3(C[C@@H]3c3ccc(C(F)(F)F)cc3)C2)nnc1-c1cccnc1C(F)(F)F</x:v>
      </x:c>
      <x:c r="J65" s="14" t="str">
        <x:v>Cn1c(SCCCN2CC[C@]3(C[C@@H]3c3ccc(C(F)(F)F)cc3)C2)nnc1-c1cccnc1C(F)(F)F</x:v>
      </x:c>
      <x:c r="K65" s="14" t="str">
        <x:v>source_reported_pKi</x:v>
      </x:c>
      <x:c r="L65" s="15" t="n">
        <x:v>6.02</x:v>
      </x:c>
      <x:c r="M65" s="15" t="n">
        <x:v>954.9925860214369</x:v>
      </x:c>
      <x:c r="N65" s="15" t="n">
        <x:v>954.99</x:v>
      </x:c>
      <x:c r="O65" s="15" t="n">
        <x:v>6.020001176026261</x:v>
      </x:c>
      <x:c r="P65" s="16" t="n">
        <x:v>0.0000011760262612625638</x:v>
      </x:c>
      <x:c r="Q65" s="16" t="n">
        <x:v>-0.002586021436854935</x:v>
      </x:c>
      <x:c r="R65" s="15" t="n">
        <x:v>0.00501</x:v>
      </x:c>
      <x:c r="S65" s="14" t="str">
        <x:v>Cn1c(SCCCN2CC[C@]3(C[C@@H]3c3ccc(C(F)(F)F)cc3)C2)nnc1-c1cccnc1C(F)(F)F</x:v>
      </x:c>
      <x:c r="T65" s="14" t="str">
        <x:v>Cn1c(SCCCN2CC[C@]3(C[C@@H]3c3ccc(C(F)(F)F)cc3)C2)nnc1-c1cccnc1C(F)(F)F</x:v>
      </x:c>
      <x:c r="U65" s="14" t="str">
        <x:v>DVUOLXOWKHDIAV-XXBNENTESA-N</x:v>
      </x:c>
      <x:c r="V65" s="14" t="str">
        <x:v>Cn1c(SCCCN2CCC3(CC3c3ccc(C(F)(F)F)cc3)C2)nnc1-c1cccnc1C(F)(F)F</x:v>
      </x:c>
      <x:c r="W65" s="14" t="str">
        <x:v>ffdc93482f2936e0c3a7c58e3bc1aeafd646d94c723107a9edf3f59445d01a06</x:v>
      </x:c>
      <x:c r="X65" s="14" t="str">
        <x:v>c1ccc(C2CC23CCN(CCCSc2nnc(-c4cccnc4)[nH]2)C3)cc1</x:v>
      </x:c>
      <x:c r="Y65" s="14" t="str">
        <x:v>False</x:v>
      </x:c>
      <x:c r="Z65" s="17" t="n">
        <x:v>1</x:v>
      </x:c>
      <x:c r="AA65" s="14" t="str">
        <x:v>include</x:v>
      </x:c>
      <x:c r="AB65" s="14" t="str"/>
      <x:c r="AC65" s="14" t="str">
        <x:v>pKi</x:v>
      </x:c>
      <x:c r="AD65" s="14" t="str">
        <x:v>6.02</x:v>
      </x:c>
      <x:c r="AE65" s="14" t="str"/>
      <x:c r="AF65" s="14" t="str">
        <x:v>=</x:v>
      </x:c>
      <x:c r="AG65" s="14" t="str">
        <x:v>Ki</x:v>
      </x:c>
      <x:c r="AH65" s="15" t="n">
        <x:v>954.99</x:v>
      </x:c>
      <x:c r="AI65" s="14" t="str">
        <x:v>nM</x:v>
      </x:c>
      <x:c r="AJ65" s="14" t="str">
        <x:v>=</x:v>
      </x:c>
      <x:c r="AK65" s="15" t="n">
        <x:v>6.02</x:v>
      </x:c>
      <x:c r="AL65" s="17" t="n">
        <x:v>0</x:v>
      </x:c>
      <x:c r="AM65" s="14" t="str"/>
      <x:c r="AN65" s="14" t="str"/>
      <x:c r="AO65" s="14" t="str">
        <x:v>https://www.ebi.ac.uk/chembl/api/data/activity/16670421.json</x:v>
      </x:c>
      <x:c r="AP65" s="14" t="str">
        <x:v>Cn1c(SCCCN2CCC3(CC3c3ccc(C(F)(F)F)cc3)C2)nnc1-c1cccnc1C(F)(F)F</x:v>
      </x:c>
      <x:c r="AQ65" s="14" t="str">
        <x:v>c1ccc(C2CC23CCN(CCCSc2nnc(-c4cccnc4)[nH]2)C3)cc1</x:v>
      </x:c>
      <x:c r="AR65" s="15" t="n">
        <x:v>541.5650000000002</x:v>
      </x:c>
      <x:c r="AS65" s="15" t="n">
        <x:v>6.276500000000005</x:v>
      </x:c>
      <x:c r="AT65" s="15" t="n">
        <x:v>46.84</x:v>
      </x:c>
      <x:c r="AU65" s="17" t="n">
        <x:v>0</x:v>
      </x:c>
      <x:c r="AV65" s="17" t="n">
        <x:v>5</x:v>
      </x:c>
      <x:c r="AW65" s="14" t="str">
        <x:v>train</x:v>
      </x:c>
      <x:c r="AX65" s="14" t="str">
        <x:v>source_reported_experimental_pKi</x:v>
      </x:c>
      <x:c r="AY65" s="15" t="n">
        <x:v>6.156089157076934</x:v>
      </x:c>
      <x:c r="AZ65" s="15" t="n">
        <x:v>6.149473684210526</x:v>
      </x:c>
      <x:c r="BA65" s="15" t="n">
        <x:v>-0.1360891570769347</x:v>
      </x:c>
      <x:c r="BB65" s="14" t="str">
        <x:v>False</x:v>
      </x:c>
      <x:c r="BC65" s="15" t="n">
        <x:v>0.8676470588235294</x:v>
      </x:c>
    </x:row>
    <x:row r="66" ht="36" customHeight="1">
      <x:c r="A66" s="9" t="str">
        <x:v>DOTLHOVQYVFUDB-YKSBVNFPSA-N</x:v>
      </x:c>
      <x:c r="B66" s="9" t="str">
        <x:v>CHEMBL3958949</x:v>
      </x:c>
      <x:c r="C66" s="9" t="str">
        <x:v>CHEMBL3958949</x:v>
      </x:c>
      <x:c r="D66" s="9" t="str">
        <x:v>16670422</x:v>
      </x:c>
      <x:c r="E66" s="9" t="str">
        <x:v>16670422</x:v>
      </x:c>
      <x:c r="F66" s="9" t="str">
        <x:v>CHEMBL3855278</x:v>
      </x:c>
      <x:c r="G66" s="9" t="str">
        <x:v>CHEMBL217</x:v>
      </x:c>
      <x:c r="H66" s="9" t="str">
        <x:v>CHEMBL3853329</x:v>
      </x:c>
      <x:c r="I66" s="9" t="str">
        <x:v>COc1ncccc1-c1nnc(SCCCN2CC[C@]3(C[C@@H]3c3ccc(C(F)(F)F)cc3)C2)n1C</x:v>
      </x:c>
      <x:c r="J66" s="9" t="str">
        <x:v>COc1ncccc1-c1nnc(SCCCN2CC[C@]3(C[C@@H]3c3ccc(C(F)(F)F)cc3)C2)n1C</x:v>
      </x:c>
      <x:c r="K66" s="9" t="str">
        <x:v>source_reported_pKi</x:v>
      </x:c>
      <x:c r="L66" s="11" t="n">
        <x:v>5.94</x:v>
      </x:c>
      <x:c r="M66" s="11" t="n">
        <x:v>1148.1536214968817</x:v>
      </x:c>
      <x:c r="N66" s="11" t="n">
        <x:v>1148.15</x:v>
      </x:c>
      <x:c r="O66" s="11" t="n">
        <x:v>5.940001369850309</x:v>
      </x:c>
      <x:c r="P66" s="12" t="n">
        <x:v>0.0000013698503087411495</x:v>
      </x:c>
      <x:c r="Q66" s="12" t="n">
        <x:v>-0.003621496881578423</x:v>
      </x:c>
      <x:c r="R66" s="11" t="n">
        <x:v>0.00501</x:v>
      </x:c>
      <x:c r="S66" s="9" t="str">
        <x:v>COc1ncccc1-c1nnc(SCCCN2CC[C@]3(C[C@@H]3c3ccc(C(F)(F)F)cc3)C2)n1C</x:v>
      </x:c>
      <x:c r="T66" s="9" t="str">
        <x:v>COc1ncccc1-c1nnc(SCCCN2CC[C@]3(C[C@@H]3c3ccc(C(F)(F)F)cc3)C2)n1C</x:v>
      </x:c>
      <x:c r="U66" s="9" t="str">
        <x:v>DOTLHOVQYVFUDB-YKSBVNFPSA-N</x:v>
      </x:c>
      <x:c r="V66" s="9" t="str">
        <x:v>COc1ncccc1-c1nnc(SCCCN2CCC3(CC3c3ccc(C(F)(F)F)cc3)C2)n1C</x:v>
      </x:c>
      <x:c r="W66" s="9" t="str">
        <x:v>898e3ec18bfe6c9b712320cd4ede2563247385e5e14072511fcd5548497ca00b</x:v>
      </x:c>
      <x:c r="X66" s="9" t="str">
        <x:v>c1ccc(C2CC23CCN(CCCSc2nnc(-c4cccnc4)[nH]2)C3)cc1</x:v>
      </x:c>
      <x:c r="Y66" s="9" t="str">
        <x:v>False</x:v>
      </x:c>
      <x:c r="Z66" s="13" t="n">
        <x:v>1</x:v>
      </x:c>
      <x:c r="AA66" s="9" t="str">
        <x:v>include</x:v>
      </x:c>
      <x:c r="AB66" s="9" t="str"/>
      <x:c r="AC66" s="9" t="str">
        <x:v>pKi</x:v>
      </x:c>
      <x:c r="AD66" s="9" t="str">
        <x:v>5.94</x:v>
      </x:c>
      <x:c r="AE66" s="9" t="str"/>
      <x:c r="AF66" s="9" t="str">
        <x:v>=</x:v>
      </x:c>
      <x:c r="AG66" s="9" t="str">
        <x:v>Ki</x:v>
      </x:c>
      <x:c r="AH66" s="11" t="n">
        <x:v>1148.15</x:v>
      </x:c>
      <x:c r="AI66" s="9" t="str">
        <x:v>nM</x:v>
      </x:c>
      <x:c r="AJ66" s="9" t="str">
        <x:v>=</x:v>
      </x:c>
      <x:c r="AK66" s="11" t="n">
        <x:v>5.94</x:v>
      </x:c>
      <x:c r="AL66" s="13" t="n">
        <x:v>0</x:v>
      </x:c>
      <x:c r="AM66" s="9" t="str"/>
      <x:c r="AN66" s="9" t="str"/>
      <x:c r="AO66" s="9" t="str">
        <x:v>https://www.ebi.ac.uk/chembl/api/data/activity/16670422.json</x:v>
      </x:c>
      <x:c r="AP66" s="9" t="str">
        <x:v>COc1ncccc1-c1nnc(SCCCN2CCC3(CC3c3ccc(C(F)(F)F)cc3)C2)n1C</x:v>
      </x:c>
      <x:c r="AQ66" s="9" t="str">
        <x:v>c1ccc(C2CC23CCN(CCCSc2nnc(-c4cccnc4)[nH]2)C3)cc1</x:v>
      </x:c>
      <x:c r="AR66" s="11" t="n">
        <x:v>503.5940000000002</x:v>
      </x:c>
      <x:c r="AS66" s="11" t="n">
        <x:v>5.2663000000000055</x:v>
      </x:c>
      <x:c r="AT66" s="11" t="n">
        <x:v>56.07000000000001</x:v>
      </x:c>
      <x:c r="AU66" s="13" t="n">
        <x:v>0</x:v>
      </x:c>
      <x:c r="AV66" s="13" t="n">
        <x:v>6</x:v>
      </x:c>
      <x:c r="AW66" s="9" t="str">
        <x:v>train</x:v>
      </x:c>
      <x:c r="AX66" s="9" t="str">
        <x:v>source_reported_experimental_pKi</x:v>
      </x:c>
      <x:c r="AY66" s="11" t="n">
        <x:v>6.162806099198707</x:v>
      </x:c>
      <x:c r="AZ66" s="11" t="n">
        <x:v>6.149473684210526</x:v>
      </x:c>
      <x:c r="BA66" s="11" t="n">
        <x:v>-0.22280609919870642</x:v>
      </x:c>
      <x:c r="BB66" s="9" t="str">
        <x:v>False</x:v>
      </x:c>
      <x:c r="BC66" s="11" t="n">
        <x:v>0.8428571428571429</x:v>
      </x:c>
    </x:row>
    <x:row r="67" ht="36" customHeight="1">
      <x:c r="A67" s="14" t="str">
        <x:v>LMYXDMLXVWZVJJ-QPPBQGQZSA-N</x:v>
      </x:c>
      <x:c r="B67" s="14" t="str">
        <x:v>CHEMBL3922535</x:v>
      </x:c>
      <x:c r="C67" s="14" t="str">
        <x:v>CHEMBL3922535</x:v>
      </x:c>
      <x:c r="D67" s="14" t="str">
        <x:v>16670423</x:v>
      </x:c>
      <x:c r="E67" s="14" t="str">
        <x:v>16670423</x:v>
      </x:c>
      <x:c r="F67" s="14" t="str">
        <x:v>CHEMBL3855278</x:v>
      </x:c>
      <x:c r="G67" s="14" t="str">
        <x:v>CHEMBL217</x:v>
      </x:c>
      <x:c r="H67" s="14" t="str">
        <x:v>CHEMBL3853329</x:v>
      </x:c>
      <x:c r="I67" s="14" t="str">
        <x:v>Cn1c(SCCCN2CC[C@]3(C[C@@H]3c3ccc(C(F)(F)F)cc3)C2)nnc1-c1ccc(C#N)nc1</x:v>
      </x:c>
      <x:c r="J67" s="14" t="str">
        <x:v>Cn1c(SCCCN2CC[C@]3(C[C@@H]3c3ccc(C(F)(F)F)cc3)C2)nnc1-c1ccc(C#N)nc1</x:v>
      </x:c>
      <x:c r="K67" s="14" t="str">
        <x:v>source_reported_pKi</x:v>
      </x:c>
      <x:c r="L67" s="15" t="n">
        <x:v>6.16</x:v>
      </x:c>
      <x:c r="M67" s="15" t="n">
        <x:v>691.8309709189363</x:v>
      </x:c>
      <x:c r="N67" s="15" t="n">
        <x:v>691.83</x:v>
      </x:c>
      <x:c r="O67" s="15" t="n">
        <x:v>6.160000609491408</x:v>
      </x:c>
      <x:c r="P67" s="16" t="n">
        <x:v>6.09491407566054e-7</x:v>
      </x:c>
      <x:c r="Q67" s="16" t="n">
        <x:v>-0.0009709189362183679</x:v>
      </x:c>
      <x:c r="R67" s="15" t="n">
        <x:v>0.00501</x:v>
      </x:c>
      <x:c r="S67" s="14" t="str">
        <x:v>Cn1c(SCCCN2CC[C@]3(C[C@@H]3c3ccc(C(F)(F)F)cc3)C2)nnc1-c1ccc(C#N)nc1</x:v>
      </x:c>
      <x:c r="T67" s="14" t="str">
        <x:v>Cn1c(SCCCN2CC[C@]3(C[C@@H]3c3ccc(C(F)(F)F)cc3)C2)nnc1-c1ccc(C#N)nc1</x:v>
      </x:c>
      <x:c r="U67" s="14" t="str">
        <x:v>LMYXDMLXVWZVJJ-QPPBQGQZSA-N</x:v>
      </x:c>
      <x:c r="V67" s="14" t="str">
        <x:v>Cn1c(SCCCN2CCC3(CC3c3ccc(C(F)(F)F)cc3)C2)nnc1-c1ccc(C#N)nc1</x:v>
      </x:c>
      <x:c r="W67" s="14" t="str">
        <x:v>15eb3b2aa897ffa440e733f4aaed728d6c6664311005d7c0dc4fc2a5cec3b99d</x:v>
      </x:c>
      <x:c r="X67" s="14" t="str">
        <x:v>c1ccc(C2CC23CCN(CCCSc2nnc(-c4cccnc4)[nH]2)C3)cc1</x:v>
      </x:c>
      <x:c r="Y67" s="14" t="str">
        <x:v>False</x:v>
      </x:c>
      <x:c r="Z67" s="17" t="n">
        <x:v>1</x:v>
      </x:c>
      <x:c r="AA67" s="14" t="str">
        <x:v>include</x:v>
      </x:c>
      <x:c r="AB67" s="14" t="str"/>
      <x:c r="AC67" s="14" t="str">
        <x:v>pKi</x:v>
      </x:c>
      <x:c r="AD67" s="14" t="str">
        <x:v>6.16</x:v>
      </x:c>
      <x:c r="AE67" s="14" t="str"/>
      <x:c r="AF67" s="14" t="str">
        <x:v>=</x:v>
      </x:c>
      <x:c r="AG67" s="14" t="str">
        <x:v>Ki</x:v>
      </x:c>
      <x:c r="AH67" s="15" t="n">
        <x:v>691.83</x:v>
      </x:c>
      <x:c r="AI67" s="14" t="str">
        <x:v>nM</x:v>
      </x:c>
      <x:c r="AJ67" s="14" t="str">
        <x:v>=</x:v>
      </x:c>
      <x:c r="AK67" s="15" t="n">
        <x:v>6.16</x:v>
      </x:c>
      <x:c r="AL67" s="17" t="n">
        <x:v>0</x:v>
      </x:c>
      <x:c r="AM67" s="14" t="str"/>
      <x:c r="AN67" s="14" t="str"/>
      <x:c r="AO67" s="14" t="str">
        <x:v>https://www.ebi.ac.uk/chembl/api/data/activity/16670423.json</x:v>
      </x:c>
      <x:c r="AP67" s="14" t="str">
        <x:v>Cn1c(SCCCN2CCC3(CC3c3ccc(C(F)(F)F)cc3)C2)nnc1-c1ccc(C#N)nc1</x:v>
      </x:c>
      <x:c r="AQ67" s="14" t="str">
        <x:v>c1ccc(C2CC23CCN(CCCSc2nnc(-c4cccnc4)[nH]2)C3)cc1</x:v>
      </x:c>
      <x:c r="AR67" s="15" t="n">
        <x:v>498.57800000000015</x:v>
      </x:c>
      <x:c r="AS67" s="15" t="n">
        <x:v>5.129380000000006</x:v>
      </x:c>
      <x:c r="AT67" s="15" t="n">
        <x:v>70.63</x:v>
      </x:c>
      <x:c r="AU67" s="17" t="n">
        <x:v>0</x:v>
      </x:c>
      <x:c r="AV67" s="17" t="n">
        <x:v>6</x:v>
      </x:c>
      <x:c r="AW67" s="14" t="str">
        <x:v>train</x:v>
      </x:c>
      <x:c r="AX67" s="14" t="str">
        <x:v>source_reported_experimental_pKi</x:v>
      </x:c>
      <x:c r="AY67" s="15" t="n">
        <x:v>6.149806121347423</x:v>
      </x:c>
      <x:c r="AZ67" s="15" t="n">
        <x:v>6.149473684210526</x:v>
      </x:c>
      <x:c r="BA67" s="15" t="n">
        <x:v>0.010193878652577482</x:v>
      </x:c>
      <x:c r="BB67" s="14" t="str">
        <x:v>False</x:v>
      </x:c>
      <x:c r="BC67" s="15" t="n">
        <x:v>0.8082191780821918</x:v>
      </x:c>
    </x:row>
    <x:row r="68" ht="36" customHeight="1">
      <x:c r="A68" s="9" t="str">
        <x:v>PQHIRTDXFUZNBI-DVECYGJZSA-N</x:v>
      </x:c>
      <x:c r="B68" s="9" t="str">
        <x:v>CHEMBL3950254</x:v>
      </x:c>
      <x:c r="C68" s="9" t="str">
        <x:v>CHEMBL3950254</x:v>
      </x:c>
      <x:c r="D68" s="9" t="str">
        <x:v>16670424</x:v>
      </x:c>
      <x:c r="E68" s="9" t="str">
        <x:v>16670424</x:v>
      </x:c>
      <x:c r="F68" s="9" t="str">
        <x:v>CHEMBL3855278</x:v>
      </x:c>
      <x:c r="G68" s="9" t="str">
        <x:v>CHEMBL217</x:v>
      </x:c>
      <x:c r="H68" s="9" t="str">
        <x:v>CHEMBL3853329</x:v>
      </x:c>
      <x:c r="I68" s="9" t="str">
        <x:v>Cn1c(SCCCN2CC[C@]3(C[C@@H]3c3ccc(C(F)(F)F)cc3)C2)nnc1-c1ccc(C(N)=O)nc1</x:v>
      </x:c>
      <x:c r="J68" s="9" t="str">
        <x:v>Cn1c(SCCCN2CC[C@]3(C[C@@H]3c3ccc(C(F)(F)F)cc3)C2)nnc1-c1ccc(C(N)=O)nc1</x:v>
      </x:c>
      <x:c r="K68" s="9" t="str">
        <x:v>source_reported_pKi</x:v>
      </x:c>
      <x:c r="L68" s="11" t="n">
        <x:v>6.26</x:v>
      </x:c>
      <x:c r="M68" s="11" t="n">
        <x:v>549.5408738576248</x:v>
      </x:c>
      <x:c r="N68" s="11" t="n">
        <x:v>549.54</x:v>
      </x:c>
      <x:c r="O68" s="11" t="n">
        <x:v>6.260000690598032</x:v>
      </x:c>
      <x:c r="P68" s="12" t="n">
        <x:v>6.905980320937033e-7</x:v>
      </x:c>
      <x:c r="Q68" s="12" t="n">
        <x:v>-0.0008738576248106256</x:v>
      </x:c>
      <x:c r="R68" s="11" t="n">
        <x:v>0.00501</x:v>
      </x:c>
      <x:c r="S68" s="9" t="str">
        <x:v>Cn1c(SCCCN2CC[C@]3(C[C@@H]3c3ccc(C(F)(F)F)cc3)C2)nnc1-c1ccc(C(N)=O)nc1</x:v>
      </x:c>
      <x:c r="T68" s="9" t="str">
        <x:v>Cn1c(SCCCN2CC[C@]3(C[C@@H]3c3ccc(C(F)(F)F)cc3)C2)nnc1-c1ccc(C(N)=O)nc1</x:v>
      </x:c>
      <x:c r="U68" s="9" t="str">
        <x:v>PQHIRTDXFUZNBI-DVECYGJZSA-N</x:v>
      </x:c>
      <x:c r="V68" s="9" t="str">
        <x:v>Cn1c(SCCCN2CCC3(CC3c3ccc(C(F)(F)F)cc3)C2)nnc1-c1ccc(C(N)=O)nc1</x:v>
      </x:c>
      <x:c r="W68" s="9" t="str">
        <x:v>3759f11dd2859c5a76b5a0e2ec5ee3716c4670d2d7b27d70e83309cd2089062e</x:v>
      </x:c>
      <x:c r="X68" s="9" t="str">
        <x:v>c1ccc(C2CC23CCN(CCCSc2nnc(-c4cccnc4)[nH]2)C3)cc1</x:v>
      </x:c>
      <x:c r="Y68" s="9" t="str">
        <x:v>False</x:v>
      </x:c>
      <x:c r="Z68" s="13" t="n">
        <x:v>1</x:v>
      </x:c>
      <x:c r="AA68" s="9" t="str">
        <x:v>include</x:v>
      </x:c>
      <x:c r="AB68" s="9" t="str"/>
      <x:c r="AC68" s="9" t="str">
        <x:v>pKi</x:v>
      </x:c>
      <x:c r="AD68" s="9" t="str">
        <x:v>6.26</x:v>
      </x:c>
      <x:c r="AE68" s="9" t="str"/>
      <x:c r="AF68" s="9" t="str">
        <x:v>=</x:v>
      </x:c>
      <x:c r="AG68" s="9" t="str">
        <x:v>Ki</x:v>
      </x:c>
      <x:c r="AH68" s="11" t="n">
        <x:v>549.54</x:v>
      </x:c>
      <x:c r="AI68" s="9" t="str">
        <x:v>nM</x:v>
      </x:c>
      <x:c r="AJ68" s="9" t="str">
        <x:v>=</x:v>
      </x:c>
      <x:c r="AK68" s="11" t="n">
        <x:v>6.26</x:v>
      </x:c>
      <x:c r="AL68" s="13" t="n">
        <x:v>0</x:v>
      </x:c>
      <x:c r="AM68" s="9" t="str"/>
      <x:c r="AN68" s="9" t="str"/>
      <x:c r="AO68" s="9" t="str">
        <x:v>https://www.ebi.ac.uk/chembl/api/data/activity/16670424.json</x:v>
      </x:c>
      <x:c r="AP68" s="9" t="str">
        <x:v>Cn1c(SCCCN2CCC3(CC3c3ccc(C(F)(F)F)cc3)C2)nnc1-c1ccc(C(N)=O)nc1</x:v>
      </x:c>
      <x:c r="AQ68" s="9" t="str">
        <x:v>c1ccc(C2CC23CCN(CCCSc2nnc(-c4cccnc4)[nH]2)C3)cc1</x:v>
      </x:c>
      <x:c r="AR68" s="11" t="n">
        <x:v>516.5930000000002</x:v>
      </x:c>
      <x:c r="AS68" s="11" t="n">
        <x:v>4.356600000000003</x:v>
      </x:c>
      <x:c r="AT68" s="11" t="n">
        <x:v>89.92999999999999</x:v>
      </x:c>
      <x:c r="AU68" s="13" t="n">
        <x:v>1</x:v>
      </x:c>
      <x:c r="AV68" s="13" t="n">
        <x:v>6</x:v>
      </x:c>
      <x:c r="AW68" s="9" t="str">
        <x:v>train</x:v>
      </x:c>
      <x:c r="AX68" s="9" t="str">
        <x:v>source_reported_experimental_pKi</x:v>
      </x:c>
      <x:c r="AY68" s="11" t="n">
        <x:v>6.261752941871141</x:v>
      </x:c>
      <x:c r="AZ68" s="11" t="n">
        <x:v>6.149473684210526</x:v>
      </x:c>
      <x:c r="BA68" s="11" t="n">
        <x:v>-0.001752941871140834</x:v>
      </x:c>
      <x:c r="BB68" s="9" t="str">
        <x:v>False</x:v>
      </x:c>
      <x:c r="BC68" s="11" t="n">
        <x:v>0.8133333333333334</x:v>
      </x:c>
    </x:row>
    <x:row r="69" ht="36" customHeight="1">
      <x:c r="A69" s="14" t="str">
        <x:v>MRFLPGUUAPCTFB-RDGATRHJSA-N</x:v>
      </x:c>
      <x:c r="B69" s="14" t="str">
        <x:v>CHEMBL3913542</x:v>
      </x:c>
      <x:c r="C69" s="14" t="str">
        <x:v>CHEMBL3913542</x:v>
      </x:c>
      <x:c r="D69" s="14" t="str">
        <x:v>16670425</x:v>
      </x:c>
      <x:c r="E69" s="14" t="str">
        <x:v>16670425</x:v>
      </x:c>
      <x:c r="F69" s="14" t="str">
        <x:v>CHEMBL3855278</x:v>
      </x:c>
      <x:c r="G69" s="14" t="str">
        <x:v>CHEMBL217</x:v>
      </x:c>
      <x:c r="H69" s="14" t="str">
        <x:v>CHEMBL3853329</x:v>
      </x:c>
      <x:c r="I69" s="14" t="str">
        <x:v>Cc1ccc(-c2nnc(SCCCN3CC[C@]4(C[C@@H]4c4ccc(C(F)(F)F)cc4)C3)n2C)c(C)n1</x:v>
      </x:c>
      <x:c r="J69" s="14" t="str">
        <x:v>Cc1ccc(-c2nnc(SCCCN3CC[C@]4(C[C@@H]4c4ccc(C(F)(F)F)cc4)C3)n2C)c(C)n1</x:v>
      </x:c>
      <x:c r="K69" s="14" t="str">
        <x:v>source_reported_pKi</x:v>
      </x:c>
      <x:c r="L69" s="15" t="n">
        <x:v>5.91</x:v>
      </x:c>
      <x:c r="M69" s="15" t="n">
        <x:v>1230.268770812381</x:v>
      </x:c>
      <x:c r="N69" s="15" t="n">
        <x:v>1230.27</x:v>
      </x:c>
      <x:c r="O69" s="15" t="n">
        <x:v>5.90999956608739</x:v>
      </x:c>
      <x:c r="P69" s="16" t="n">
        <x:v>-4.3391260984293467e-7</x:v>
      </x:c>
      <x:c r="Q69" s="16" t="n">
        <x:v>0.0012291876189465256</x:v>
      </x:c>
      <x:c r="R69" s="15" t="n">
        <x:v>0.00501</x:v>
      </x:c>
      <x:c r="S69" s="14" t="str">
        <x:v>Cc1ccc(-c2nnc(SCCCN3CC[C@]4(C[C@@H]4c4ccc(C(F)(F)F)cc4)C3)n2C)c(C)n1</x:v>
      </x:c>
      <x:c r="T69" s="14" t="str">
        <x:v>Cc1ccc(-c2nnc(SCCCN3CC[C@]4(C[C@@H]4c4ccc(C(F)(F)F)cc4)C3)n2C)c(C)n1</x:v>
      </x:c>
      <x:c r="U69" s="14" t="str">
        <x:v>MRFLPGUUAPCTFB-RDGATRHJSA-N</x:v>
      </x:c>
      <x:c r="V69" s="14" t="str">
        <x:v>Cc1ccc(-c2nnc(SCCCN3CCC4(CC4c4ccc(C(F)(F)F)cc4)C3)n2C)c(C)n1</x:v>
      </x:c>
      <x:c r="W69" s="14" t="str">
        <x:v>27731b4561e40a6f17d05d05646acdb71b9ff87b8c22691cad4b66faf1aeecac</x:v>
      </x:c>
      <x:c r="X69" s="14" t="str">
        <x:v>c1ccc(C2CC23CCN(CCCSc2nnc(-c4cccnc4)[nH]2)C3)cc1</x:v>
      </x:c>
      <x:c r="Y69" s="14" t="str">
        <x:v>False</x:v>
      </x:c>
      <x:c r="Z69" s="17" t="n">
        <x:v>1</x:v>
      </x:c>
      <x:c r="AA69" s="14" t="str">
        <x:v>include</x:v>
      </x:c>
      <x:c r="AB69" s="14" t="str"/>
      <x:c r="AC69" s="14" t="str">
        <x:v>pKi</x:v>
      </x:c>
      <x:c r="AD69" s="14" t="str">
        <x:v>5.91</x:v>
      </x:c>
      <x:c r="AE69" s="14" t="str"/>
      <x:c r="AF69" s="14" t="str">
        <x:v>=</x:v>
      </x:c>
      <x:c r="AG69" s="14" t="str">
        <x:v>Ki</x:v>
      </x:c>
      <x:c r="AH69" s="15" t="n">
        <x:v>1230.27</x:v>
      </x:c>
      <x:c r="AI69" s="14" t="str">
        <x:v>nM</x:v>
      </x:c>
      <x:c r="AJ69" s="14" t="str">
        <x:v>=</x:v>
      </x:c>
      <x:c r="AK69" s="15" t="n">
        <x:v>5.91</x:v>
      </x:c>
      <x:c r="AL69" s="17" t="n">
        <x:v>0</x:v>
      </x:c>
      <x:c r="AM69" s="14" t="str"/>
      <x:c r="AN69" s="14" t="str"/>
      <x:c r="AO69" s="14" t="str">
        <x:v>https://www.ebi.ac.uk/chembl/api/data/activity/16670425.json</x:v>
      </x:c>
      <x:c r="AP69" s="14" t="str">
        <x:v>Cc1ccc(-c2nnc(SCCCN3CCC4(CC4c4ccc(C(F)(F)F)cc4)C3)n2C)c(C)n1</x:v>
      </x:c>
      <x:c r="AQ69" s="14" t="str">
        <x:v>c1ccc(C2CC23CCN(CCCSc2nnc(-c4cccnc4)[nH]2)C3)cc1</x:v>
      </x:c>
      <x:c r="AR69" s="15" t="n">
        <x:v>501.6220000000002</x:v>
      </x:c>
      <x:c r="AS69" s="15" t="n">
        <x:v>5.874540000000006</x:v>
      </x:c>
      <x:c r="AT69" s="15" t="n">
        <x:v>46.84</x:v>
      </x:c>
      <x:c r="AU69" s="17" t="n">
        <x:v>0</x:v>
      </x:c>
      <x:c r="AV69" s="17" t="n">
        <x:v>5</x:v>
      </x:c>
      <x:c r="AW69" s="14" t="str">
        <x:v>train</x:v>
      </x:c>
      <x:c r="AX69" s="14" t="str">
        <x:v>source_reported_experimental_pKi</x:v>
      </x:c>
      <x:c r="AY69" s="15" t="n">
        <x:v>6.156112452441612</x:v>
      </x:c>
      <x:c r="AZ69" s="15" t="n">
        <x:v>6.149473684210526</x:v>
      </x:c>
      <x:c r="BA69" s="15" t="n">
        <x:v>-0.24611245244161228</x:v>
      </x:c>
      <x:c r="BB69" s="14" t="str">
        <x:v>False</x:v>
      </x:c>
      <x:c r="BC69" s="15" t="n">
        <x:v>0.8055555555555556</x:v>
      </x:c>
    </x:row>
    <x:row r="70" ht="36" customHeight="1">
      <x:c r="A70" s="9" t="str">
        <x:v>WEEBXSDEOQNZPK-NLFFAJNJSA-N</x:v>
      </x:c>
      <x:c r="B70" s="9" t="str">
        <x:v>CHEMBL3941520</x:v>
      </x:c>
      <x:c r="C70" s="9" t="str">
        <x:v>CHEMBL3941520</x:v>
      </x:c>
      <x:c r="D70" s="9" t="str">
        <x:v>16670426</x:v>
      </x:c>
      <x:c r="E70" s="9" t="str">
        <x:v>16670426</x:v>
      </x:c>
      <x:c r="F70" s="9" t="str">
        <x:v>CHEMBL3855278</x:v>
      </x:c>
      <x:c r="G70" s="9" t="str">
        <x:v>CHEMBL217</x:v>
      </x:c>
      <x:c r="H70" s="9" t="str">
        <x:v>CHEMBL3853329</x:v>
      </x:c>
      <x:c r="I70" s="9" t="str">
        <x:v>Cc1nc(C(N)=O)ccc1-c1nnc(SCCCN2CC[C@]3(C[C@@H]3c3ccc(C(F)(F)F)cc3)C2)n1C</x:v>
      </x:c>
      <x:c r="J70" s="9" t="str">
        <x:v>Cc1nc(C(N)=O)ccc1-c1nnc(SCCCN2CC[C@]3(C[C@@H]3c3ccc(C(F)(F)F)cc3)C2)n1C</x:v>
      </x:c>
      <x:c r="K70" s="9" t="str">
        <x:v>source_reported_pKi</x:v>
      </x:c>
      <x:c r="L70" s="11" t="n">
        <x:v>5.94</x:v>
      </x:c>
      <x:c r="M70" s="11" t="n">
        <x:v>1148.1536214968817</x:v>
      </x:c>
      <x:c r="N70" s="11" t="n">
        <x:v>1148.15</x:v>
      </x:c>
      <x:c r="O70" s="11" t="n">
        <x:v>5.940001369850309</x:v>
      </x:c>
      <x:c r="P70" s="12" t="n">
        <x:v>0.0000013698503087411495</x:v>
      </x:c>
      <x:c r="Q70" s="12" t="n">
        <x:v>-0.003621496881578423</x:v>
      </x:c>
      <x:c r="R70" s="11" t="n">
        <x:v>0.00501</x:v>
      </x:c>
      <x:c r="S70" s="9" t="str">
        <x:v>Cc1nc(C(N)=O)ccc1-c1nnc(SCCCN2CC[C@]3(C[C@@H]3c3ccc(C(F)(F)F)cc3)C2)n1C</x:v>
      </x:c>
      <x:c r="T70" s="9" t="str">
        <x:v>Cc1nc(C(N)=O)ccc1-c1nnc(SCCCN2CC[C@]3(C[C@@H]3c3ccc(C(F)(F)F)cc3)C2)n1C</x:v>
      </x:c>
      <x:c r="U70" s="9" t="str">
        <x:v>WEEBXSDEOQNZPK-NLFFAJNJSA-N</x:v>
      </x:c>
      <x:c r="V70" s="9" t="str">
        <x:v>Cc1nc(C(N)=O)ccc1-c1nnc(SCCCN2CCC3(CC3c3ccc(C(F)(F)F)cc3)C2)n1C</x:v>
      </x:c>
      <x:c r="W70" s="9" t="str">
        <x:v>c4ff51d877a5ad4bdaf2d344461b6e2e0e5c9e902f4eb61f1ae1b6a28ec0009e</x:v>
      </x:c>
      <x:c r="X70" s="9" t="str">
        <x:v>c1ccc(C2CC23CCN(CCCSc2nnc(-c4cccnc4)[nH]2)C3)cc1</x:v>
      </x:c>
      <x:c r="Y70" s="9" t="str">
        <x:v>False</x:v>
      </x:c>
      <x:c r="Z70" s="13" t="n">
        <x:v>1</x:v>
      </x:c>
      <x:c r="AA70" s="9" t="str">
        <x:v>include</x:v>
      </x:c>
      <x:c r="AB70" s="9" t="str"/>
      <x:c r="AC70" s="9" t="str">
        <x:v>pKi</x:v>
      </x:c>
      <x:c r="AD70" s="9" t="str">
        <x:v>5.94</x:v>
      </x:c>
      <x:c r="AE70" s="9" t="str"/>
      <x:c r="AF70" s="9" t="str">
        <x:v>=</x:v>
      </x:c>
      <x:c r="AG70" s="9" t="str">
        <x:v>Ki</x:v>
      </x:c>
      <x:c r="AH70" s="11" t="n">
        <x:v>1148.15</x:v>
      </x:c>
      <x:c r="AI70" s="9" t="str">
        <x:v>nM</x:v>
      </x:c>
      <x:c r="AJ70" s="9" t="str">
        <x:v>=</x:v>
      </x:c>
      <x:c r="AK70" s="11" t="n">
        <x:v>5.94</x:v>
      </x:c>
      <x:c r="AL70" s="13" t="n">
        <x:v>0</x:v>
      </x:c>
      <x:c r="AM70" s="9" t="str"/>
      <x:c r="AN70" s="9" t="str"/>
      <x:c r="AO70" s="9" t="str">
        <x:v>https://www.ebi.ac.uk/chembl/api/data/activity/16670426.json</x:v>
      </x:c>
      <x:c r="AP70" s="9" t="str">
        <x:v>Cc1nc(C(N)=O)ccc1-c1nnc(SCCCN2CCC3(CC3c3ccc(C(F)(F)F)cc3)C2)n1C</x:v>
      </x:c>
      <x:c r="AQ70" s="9" t="str">
        <x:v>c1ccc(C2CC23CCN(CCCSc2nnc(-c4cccnc4)[nH]2)C3)cc1</x:v>
      </x:c>
      <x:c r="AR70" s="11" t="n">
        <x:v>530.6200000000002</x:v>
      </x:c>
      <x:c r="AS70" s="11" t="n">
        <x:v>4.665020000000005</x:v>
      </x:c>
      <x:c r="AT70" s="11" t="n">
        <x:v>89.93</x:v>
      </x:c>
      <x:c r="AU70" s="13" t="n">
        <x:v>1</x:v>
      </x:c>
      <x:c r="AV70" s="13" t="n">
        <x:v>6</x:v>
      </x:c>
      <x:c r="AW70" s="9" t="str">
        <x:v>train</x:v>
      </x:c>
      <x:c r="AX70" s="9" t="str">
        <x:v>source_reported_experimental_pKi</x:v>
      </x:c>
      <x:c r="AY70" s="11" t="n">
        <x:v>6.285995192054873</x:v>
      </x:c>
      <x:c r="AZ70" s="11" t="n">
        <x:v>6.149473684210526</x:v>
      </x:c>
      <x:c r="BA70" s="11" t="n">
        <x:v>-0.3459951920548727</x:v>
      </x:c>
      <x:c r="BB70" s="9" t="str">
        <x:v>False</x:v>
      </x:c>
      <x:c r="BC70" s="11" t="n">
        <x:v>0.8888888888888888</x:v>
      </x:c>
    </x:row>
    <x:row r="71" ht="36" customHeight="1">
      <x:c r="A71" s="14" t="str">
        <x:v>FXIOLEMXUYMYEG-NLFFAJNJSA-N</x:v>
      </x:c>
      <x:c r="B71" s="14" t="str">
        <x:v>CHEMBL3964649</x:v>
      </x:c>
      <x:c r="C71" s="14" t="str">
        <x:v>CHEMBL3964649</x:v>
      </x:c>
      <x:c r="D71" s="14" t="str">
        <x:v>16670427</x:v>
      </x:c>
      <x:c r="E71" s="14" t="str">
        <x:v>16670427</x:v>
      </x:c>
      <x:c r="F71" s="14" t="str">
        <x:v>CHEMBL3855278</x:v>
      </x:c>
      <x:c r="G71" s="14" t="str">
        <x:v>CHEMBL217</x:v>
      </x:c>
      <x:c r="H71" s="14" t="str">
        <x:v>CHEMBL3853329</x:v>
      </x:c>
      <x:c r="I71" s="14" t="str">
        <x:v>Cc1nc(C(=O)O)ccc1-c1nnc(SCCCN2CC[C@]3(C[C@@H]3c3ccc(C(F)(F)F)cc3)C2)n1C</x:v>
      </x:c>
      <x:c r="J71" s="14" t="str">
        <x:v>Cc1nc(C(=O)O)ccc1-c1nnc(SCCCN2CC[C@]3(C[C@@H]3c3ccc(C(F)(F)F)cc3)C2)n1C</x:v>
      </x:c>
      <x:c r="K71" s="14" t="str">
        <x:v>source_reported_pKi</x:v>
      </x:c>
      <x:c r="L71" s="15" t="n">
        <x:v>5.12</x:v>
      </x:c>
      <x:c r="M71" s="15" t="n">
        <x:v>7585.775750291836</x:v>
      </x:c>
      <x:c r="N71" s="15" t="n">
        <x:v>7585.78</x:v>
      </x:c>
      <x:c r="O71" s="15" t="n">
        <x:v>5.119999756699334</x:v>
      </x:c>
      <x:c r="P71" s="16" t="n">
        <x:v>-2.433006658364434e-7</x:v>
      </x:c>
      <x:c r="Q71" s="16" t="n">
        <x:v>0.0042497081640249235</x:v>
      </x:c>
      <x:c r="R71" s="15" t="n">
        <x:v>0.007585775750291835</x:v>
      </x:c>
      <x:c r="S71" s="14" t="str">
        <x:v>Cc1nc(C(=O)O)ccc1-c1nnc(SCCCN2CC[C@]3(C[C@@H]3c3ccc(C(F)(F)F)cc3)C2)n1C</x:v>
      </x:c>
      <x:c r="T71" s="14" t="str">
        <x:v>Cc1nc(C(=O)O)ccc1-c1nnc(SCCCN2CC[C@]3(C[C@@H]3c3ccc(C(F)(F)F)cc3)C2)n1C</x:v>
      </x:c>
      <x:c r="U71" s="14" t="str">
        <x:v>FXIOLEMXUYMYEG-NLFFAJNJSA-N</x:v>
      </x:c>
      <x:c r="V71" s="14" t="str">
        <x:v>Cc1nc(C(=O)O)ccc1-c1nnc(SCCCN2CCC3(CC3c3ccc(C(F)(F)F)cc3)C2)n1C</x:v>
      </x:c>
      <x:c r="W71" s="14" t="str">
        <x:v>9f519e4703424464cfd09e1c6a9cd0d43fcdaf1febb212b1976d0396d5f37cf7</x:v>
      </x:c>
      <x:c r="X71" s="14" t="str">
        <x:v>c1ccc(C2CC23CCN(CCCSc2nnc(-c4cccnc4)[nH]2)C3)cc1</x:v>
      </x:c>
      <x:c r="Y71" s="14" t="str">
        <x:v>False</x:v>
      </x:c>
      <x:c r="Z71" s="17" t="n">
        <x:v>1</x:v>
      </x:c>
      <x:c r="AA71" s="14" t="str">
        <x:v>include</x:v>
      </x:c>
      <x:c r="AB71" s="14" t="str"/>
      <x:c r="AC71" s="14" t="str">
        <x:v>pKi</x:v>
      </x:c>
      <x:c r="AD71" s="14" t="str">
        <x:v>5.12</x:v>
      </x:c>
      <x:c r="AE71" s="14" t="str"/>
      <x:c r="AF71" s="14" t="str">
        <x:v>=</x:v>
      </x:c>
      <x:c r="AG71" s="14" t="str">
        <x:v>Ki</x:v>
      </x:c>
      <x:c r="AH71" s="15" t="n">
        <x:v>7585.78</x:v>
      </x:c>
      <x:c r="AI71" s="14" t="str">
        <x:v>nM</x:v>
      </x:c>
      <x:c r="AJ71" s="14" t="str">
        <x:v>=</x:v>
      </x:c>
      <x:c r="AK71" s="15" t="n">
        <x:v>5.12</x:v>
      </x:c>
      <x:c r="AL71" s="17" t="n">
        <x:v>0</x:v>
      </x:c>
      <x:c r="AM71" s="14" t="str"/>
      <x:c r="AN71" s="14" t="str"/>
      <x:c r="AO71" s="14" t="str">
        <x:v>https://www.ebi.ac.uk/chembl/api/data/activity/16670427.json</x:v>
      </x:c>
      <x:c r="AP71" s="14" t="str">
        <x:v>Cc1nc(C(=O)O)ccc1-c1nnc(SCCCN2CCC3(CC3c3ccc(C(F)(F)F)cc3)C2)n1C</x:v>
      </x:c>
      <x:c r="AQ71" s="14" t="str">
        <x:v>c1ccc(C2CC23CCN(CCCSc2nnc(-c4cccnc4)[nH]2)C3)cc1</x:v>
      </x:c>
      <x:c r="AR71" s="15" t="n">
        <x:v>531.6040000000002</x:v>
      </x:c>
      <x:c r="AS71" s="15" t="n">
        <x:v>5.264320000000005</x:v>
      </x:c>
      <x:c r="AT71" s="15" t="n">
        <x:v>84.13999999999999</x:v>
      </x:c>
      <x:c r="AU71" s="17" t="n">
        <x:v>1</x:v>
      </x:c>
      <x:c r="AV71" s="17" t="n">
        <x:v>6</x:v>
      </x:c>
      <x:c r="AW71" s="14" t="str">
        <x:v>train</x:v>
      </x:c>
      <x:c r="AX71" s="14" t="str">
        <x:v>source_reported_experimental_pKi</x:v>
      </x:c>
      <x:c r="AY71" s="15" t="n">
        <x:v>6.371635431166136</x:v>
      </x:c>
      <x:c r="AZ71" s="15" t="n">
        <x:v>6.149473684210526</x:v>
      </x:c>
      <x:c r="BA71" s="15" t="n">
        <x:v>-1.251635431166136</x:v>
      </x:c>
      <x:c r="BB71" s="14" t="str">
        <x:v>False</x:v>
      </x:c>
      <x:c r="BC71" s="15" t="n">
        <x:v>0.8888888888888888</x:v>
      </x:c>
    </x:row>
    <x:row r="72" ht="36" customHeight="1">
      <x:c r="A72" s="9" t="str">
        <x:v>JVGDBVAGMMZAGB-YKSBVNFPSA-N</x:v>
      </x:c>
      <x:c r="B72" s="9" t="str">
        <x:v>CHEMBL3894853</x:v>
      </x:c>
      <x:c r="C72" s="9" t="str">
        <x:v>CHEMBL3894853</x:v>
      </x:c>
      <x:c r="D72" s="9" t="str">
        <x:v>16670459</x:v>
      </x:c>
      <x:c r="E72" s="9" t="str">
        <x:v>16670459</x:v>
      </x:c>
      <x:c r="F72" s="9" t="str">
        <x:v>CHEMBL3855278</x:v>
      </x:c>
      <x:c r="G72" s="9" t="str">
        <x:v>CHEMBL217</x:v>
      </x:c>
      <x:c r="H72" s="9" t="str">
        <x:v>CHEMBL3853329</x:v>
      </x:c>
      <x:c r="I72" s="9" t="str">
        <x:v>Cn1c(SCCCN2CC[C@]3(C[C@@H]3c3ccc(C(F)(F)F)cc3)C2)nnc1-c1ccn(C)c(=O)c1</x:v>
      </x:c>
      <x:c r="J72" s="9" t="str">
        <x:v>Cn1c(SCCCN2CC[C@]3(C[C@@H]3c3ccc(C(F)(F)F)cc3)C2)nnc1-c1ccn(C)c(=O)c1</x:v>
      </x:c>
      <x:c r="K72" s="9" t="str">
        <x:v>source_reported_pKi</x:v>
      </x:c>
      <x:c r="L72" s="11" t="n">
        <x:v>5.65</x:v>
      </x:c>
      <x:c r="M72" s="11" t="n">
        <x:v>2238.7211385683377</x:v>
      </x:c>
      <x:c r="N72" s="11" t="n">
        <x:v>2238.72</x:v>
      </x:c>
      <x:c r="O72" s="11" t="n">
        <x:v>5.650000220873455</x:v>
      </x:c>
      <x:c r="P72" s="12" t="n">
        <x:v>2.2087345463717156e-7</x:v>
      </x:c>
      <x:c r="Q72" s="12" t="n">
        <x:v>-0.0011385683378648537</x:v>
      </x:c>
      <x:c r="R72" s="11" t="n">
        <x:v>0.00501</x:v>
      </x:c>
      <x:c r="S72" s="9" t="str">
        <x:v>Cn1c(SCCCN2CC[C@]3(C[C@@H]3c3ccc(C(F)(F)F)cc3)C2)nnc1-c1ccn(C)c(=O)c1</x:v>
      </x:c>
      <x:c r="T72" s="9" t="str">
        <x:v>Cn1c(SCCCN2CC[C@]3(C[C@@H]3c3ccc(C(F)(F)F)cc3)C2)nnc1-c1ccn(C)c(=O)c1</x:v>
      </x:c>
      <x:c r="U72" s="9" t="str">
        <x:v>JVGDBVAGMMZAGB-YKSBVNFPSA-N</x:v>
      </x:c>
      <x:c r="V72" s="9" t="str">
        <x:v>Cn1c(SCCCN2CCC3(CC3c3ccc(C(F)(F)F)cc3)C2)nnc1-c1ccn(C)c(=O)c1</x:v>
      </x:c>
      <x:c r="W72" s="9" t="str">
        <x:v>6a804ade9c2b1724e4288c3e86a07b335fdf491ad1c5e3249a30015eb625e6de</x:v>
      </x:c>
      <x:c r="X72" s="9" t="str">
        <x:v>O=c1cc(-c2nnc(SCCCN3CCC4(CC4c4ccccc4)C3)[nH]2)cc[nH]1</x:v>
      </x:c>
      <x:c r="Y72" s="9" t="str">
        <x:v>False</x:v>
      </x:c>
      <x:c r="Z72" s="13" t="n">
        <x:v>1</x:v>
      </x:c>
      <x:c r="AA72" s="9" t="str">
        <x:v>include</x:v>
      </x:c>
      <x:c r="AB72" s="9" t="str"/>
      <x:c r="AC72" s="9" t="str">
        <x:v>pKi</x:v>
      </x:c>
      <x:c r="AD72" s="9" t="str">
        <x:v>5.65</x:v>
      </x:c>
      <x:c r="AE72" s="9" t="str"/>
      <x:c r="AF72" s="9" t="str">
        <x:v>=</x:v>
      </x:c>
      <x:c r="AG72" s="9" t="str">
        <x:v>Ki</x:v>
      </x:c>
      <x:c r="AH72" s="11" t="n">
        <x:v>2238.72</x:v>
      </x:c>
      <x:c r="AI72" s="9" t="str">
        <x:v>nM</x:v>
      </x:c>
      <x:c r="AJ72" s="9" t="str">
        <x:v>=</x:v>
      </x:c>
      <x:c r="AK72" s="11" t="n">
        <x:v>5.65</x:v>
      </x:c>
      <x:c r="AL72" s="13" t="n">
        <x:v>0</x:v>
      </x:c>
      <x:c r="AM72" s="9" t="str"/>
      <x:c r="AN72" s="9" t="str"/>
      <x:c r="AO72" s="9" t="str">
        <x:v>https://www.ebi.ac.uk/chembl/api/data/activity/16670459.json</x:v>
      </x:c>
      <x:c r="AP72" s="9" t="str">
        <x:v>Cn1c(SCCCN2CCC3(CC3c3ccc(C(F)(F)F)cc3)C2)nnc1-c1ccn(C)c(=O)c1</x:v>
      </x:c>
      <x:c r="AQ72" s="9" t="str">
        <x:v>O=c1cc(-c2nnc(SCCCN3CCC4(CC4c4ccccc4)C3)[nH]2)cc[nH]1</x:v>
      </x:c>
      <x:c r="AR72" s="11" t="n">
        <x:v>503.59400000000016</x:v>
      </x:c>
      <x:c r="AS72" s="11" t="n">
        <x:v>4.5614000000000035</x:v>
      </x:c>
      <x:c r="AT72" s="11" t="n">
        <x:v>55.95</x:v>
      </x:c>
      <x:c r="AU72" s="13" t="n">
        <x:v>0</x:v>
      </x:c>
      <x:c r="AV72" s="13" t="n">
        <x:v>5</x:v>
      </x:c>
      <x:c r="AW72" s="9" t="str">
        <x:v>train</x:v>
      </x:c>
      <x:c r="AX72" s="9" t="str">
        <x:v>source_reported_experimental_pKi</x:v>
      </x:c>
      <x:c r="AY72" s="11" t="n">
        <x:v>5.962554227925102</x:v>
      </x:c>
      <x:c r="AZ72" s="11" t="n">
        <x:v>6.149473684210526</x:v>
      </x:c>
      <x:c r="BA72" s="11" t="n">
        <x:v>-0.31255422792510146</x:v>
      </x:c>
      <x:c r="BB72" s="9" t="str">
        <x:v>False</x:v>
      </x:c>
      <x:c r="BC72" s="11" t="n">
        <x:v>0.7945205479452054</x:v>
      </x:c>
    </x:row>
    <x:row r="73" ht="36" customHeight="1">
      <x:c r="A73" s="14" t="str">
        <x:v>VQODXNCHOGDXSX-YKSBVNFPSA-N</x:v>
      </x:c>
      <x:c r="B73" s="14" t="str">
        <x:v>CHEMBL3963243</x:v>
      </x:c>
      <x:c r="C73" s="14" t="str">
        <x:v>CHEMBL3963243</x:v>
      </x:c>
      <x:c r="D73" s="14" t="str">
        <x:v>16670460</x:v>
      </x:c>
      <x:c r="E73" s="14" t="str">
        <x:v>16670460</x:v>
      </x:c>
      <x:c r="F73" s="14" t="str">
        <x:v>CHEMBL3855278</x:v>
      </x:c>
      <x:c r="G73" s="14" t="str">
        <x:v>CHEMBL217</x:v>
      </x:c>
      <x:c r="H73" s="14" t="str">
        <x:v>CHEMBL3853329</x:v>
      </x:c>
      <x:c r="I73" s="14" t="str">
        <x:v>Cn1c(SCCCN2CC[C@]3(C[C@@H]3c3ccc(C(F)(F)F)cc3)C2)nnc1C1CCN(C(N)=O)CC1</x:v>
      </x:c>
      <x:c r="J73" s="14" t="str">
        <x:v>Cn1c(SCCCN2CC[C@]3(C[C@@H]3c3ccc(C(F)(F)F)cc3)C2)nnc1C1CCN(C(N)=O)CC1</x:v>
      </x:c>
      <x:c r="K73" s="14" t="str">
        <x:v>source_reported_pKi</x:v>
      </x:c>
      <x:c r="L73" s="15" t="n">
        <x:v>6</x:v>
      </x:c>
      <x:c r="M73" s="15" t="n">
        <x:v>1000</x:v>
      </x:c>
      <x:c r="N73" s="15" t="n">
        <x:v>1000</x:v>
      </x:c>
      <x:c r="O73" s="15" t="n">
        <x:v>6</x:v>
      </x:c>
      <x:c r="P73" s="16" t="n">
        <x:v>0</x:v>
      </x:c>
      <x:c r="Q73" s="16" t="n">
        <x:v>0</x:v>
      </x:c>
      <x:c r="R73" s="15" t="n">
        <x:v>0.00501</x:v>
      </x:c>
      <x:c r="S73" s="14" t="str">
        <x:v>Cn1c(SCCCN2CC[C@]3(C[C@@H]3c3ccc(C(F)(F)F)cc3)C2)nnc1C1CCN(C(N)=O)CC1</x:v>
      </x:c>
      <x:c r="T73" s="14" t="str">
        <x:v>Cn1c(SCCCN2CC[C@]3(C[C@@H]3c3ccc(C(F)(F)F)cc3)C2)nnc1C1CCN(C(N)=O)CC1</x:v>
      </x:c>
      <x:c r="U73" s="14" t="str">
        <x:v>VQODXNCHOGDXSX-YKSBVNFPSA-N</x:v>
      </x:c>
      <x:c r="V73" s="14" t="str">
        <x:v>Cn1c(SCCCN2CCC3(CC3c3ccc(C(F)(F)F)cc3)C2)nnc1C1CCN(C(N)=O)CC1</x:v>
      </x:c>
      <x:c r="W73" s="14" t="str">
        <x:v>6c7a54b6a68cee04940cff96462779f9cad11b0a699b84ba141de624145d0c8f</x:v>
      </x:c>
      <x:c r="X73" s="14" t="str">
        <x:v>c1ccc(C2CC23CCN(CCCSc2nnc(C4CCNCC4)[nH]2)C3)cc1</x:v>
      </x:c>
      <x:c r="Y73" s="14" t="str">
        <x:v>False</x:v>
      </x:c>
      <x:c r="Z73" s="17" t="n">
        <x:v>1</x:v>
      </x:c>
      <x:c r="AA73" s="14" t="str">
        <x:v>include</x:v>
      </x:c>
      <x:c r="AB73" s="14" t="str"/>
      <x:c r="AC73" s="14" t="str">
        <x:v>pKi</x:v>
      </x:c>
      <x:c r="AD73" s="14" t="str">
        <x:v>6.0</x:v>
      </x:c>
      <x:c r="AE73" s="14" t="str"/>
      <x:c r="AF73" s="14" t="str">
        <x:v>=</x:v>
      </x:c>
      <x:c r="AG73" s="14" t="str">
        <x:v>Ki</x:v>
      </x:c>
      <x:c r="AH73" s="15" t="n">
        <x:v>1000</x:v>
      </x:c>
      <x:c r="AI73" s="14" t="str">
        <x:v>nM</x:v>
      </x:c>
      <x:c r="AJ73" s="14" t="str">
        <x:v>=</x:v>
      </x:c>
      <x:c r="AK73" s="15" t="n">
        <x:v>6</x:v>
      </x:c>
      <x:c r="AL73" s="17" t="n">
        <x:v>0</x:v>
      </x:c>
      <x:c r="AM73" s="14" t="str"/>
      <x:c r="AN73" s="14" t="str"/>
      <x:c r="AO73" s="14" t="str">
        <x:v>https://www.ebi.ac.uk/chembl/api/data/activity/16670460.json</x:v>
      </x:c>
      <x:c r="AP73" s="14" t="str">
        <x:v>Cn1c(SCCCN2CCC3(CC3c3ccc(C(F)(F)F)cc3)C2)nnc1C1CCN(C(N)=O)CC1</x:v>
      </x:c>
      <x:c r="AQ73" s="14" t="str">
        <x:v>c1ccc(C2CC23CCN(CCCSc2nnc(C4CCNCC4)[nH]2)C3)cc1</x:v>
      </x:c>
      <x:c r="AR73" s="15" t="n">
        <x:v>522.6410000000002</x:v>
      </x:c>
      <x:c r="AS73" s="15" t="n">
        <x:v>4.453800000000003</x:v>
      </x:c>
      <x:c r="AT73" s="15" t="n">
        <x:v>80.28</x:v>
      </x:c>
      <x:c r="AU73" s="17" t="n">
        <x:v>1</x:v>
      </x:c>
      <x:c r="AV73" s="17" t="n">
        <x:v>5</x:v>
      </x:c>
      <x:c r="AW73" s="14" t="str">
        <x:v>test</x:v>
      </x:c>
      <x:c r="AX73" s="14" t="str">
        <x:v>source_reported_experimental_pKi</x:v>
      </x:c>
      <x:c r="AY73" s="15" t="n">
        <x:v>6.169273529250933</x:v>
      </x:c>
      <x:c r="AZ73" s="15" t="n">
        <x:v>6.149473684210526</x:v>
      </x:c>
      <x:c r="BA73" s="15" t="n">
        <x:v>-0.1692735292509333</x:v>
      </x:c>
      <x:c r="BB73" s="14" t="str">
        <x:v>False</x:v>
      </x:c>
      <x:c r="BC73" s="15" t="n">
        <x:v>0.7857142857142857</x:v>
      </x:c>
    </x:row>
    <x:row r="74" ht="36" customHeight="1">
      <x:c r="A74" s="9" t="str">
        <x:v>PPLSEYBUMZWQHS-OFNKIYASSA-N</x:v>
      </x:c>
      <x:c r="B74" s="9" t="str">
        <x:v>CHEMBL3948167</x:v>
      </x:c>
      <x:c r="C74" s="9" t="str">
        <x:v>CHEMBL3948167</x:v>
      </x:c>
      <x:c r="D74" s="9" t="str">
        <x:v>16670461</x:v>
      </x:c>
      <x:c r="E74" s="9" t="str">
        <x:v>16670461</x:v>
      </x:c>
      <x:c r="F74" s="9" t="str">
        <x:v>CHEMBL3855278</x:v>
      </x:c>
      <x:c r="G74" s="9" t="str">
        <x:v>CHEMBL217</x:v>
      </x:c>
      <x:c r="H74" s="9" t="str">
        <x:v>CHEMBL3853329</x:v>
      </x:c>
      <x:c r="I74" s="9" t="str">
        <x:v>Cn1c(SCCCN2CC[C@]3(C[C@@H]3c3ccc(C(F)(F)F)cc3)C2)nnc1C1CCOCC1</x:v>
      </x:c>
      <x:c r="J74" s="9" t="str">
        <x:v>Cn1c(SCCCN2CC[C@]3(C[C@@H]3c3ccc(C(F)(F)F)cc3)C2)nnc1C1CCOCC1</x:v>
      </x:c>
      <x:c r="K74" s="9" t="str">
        <x:v>source_reported_pKi</x:v>
      </x:c>
      <x:c r="L74" s="11" t="n">
        <x:v>6.09</x:v>
      </x:c>
      <x:c r="M74" s="11" t="n">
        <x:v>812.8305161640995</x:v>
      </x:c>
      <x:c r="N74" s="11" t="n">
        <x:v>812.83</x:v>
      </x:c>
      <x:c r="O74" s="11" t="n">
        <x:v>6.090000275786018</x:v>
      </x:c>
      <x:c r="P74" s="12" t="n">
        <x:v>2.757860180224725e-7</x:v>
      </x:c>
      <x:c r="Q74" s="12" t="n">
        <x:v>-0.0005161640995083872</x:v>
      </x:c>
      <x:c r="R74" s="11" t="n">
        <x:v>0.00501</x:v>
      </x:c>
      <x:c r="S74" s="9" t="str">
        <x:v>Cn1c(SCCCN2CC[C@]3(C[C@@H]3c3ccc(C(F)(F)F)cc3)C2)nnc1C1CCOCC1</x:v>
      </x:c>
      <x:c r="T74" s="9" t="str">
        <x:v>Cn1c(SCCCN2CC[C@]3(C[C@@H]3c3ccc(C(F)(F)F)cc3)C2)nnc1C1CCOCC1</x:v>
      </x:c>
      <x:c r="U74" s="9" t="str">
        <x:v>PPLSEYBUMZWQHS-OFNKIYASSA-N</x:v>
      </x:c>
      <x:c r="V74" s="9" t="str">
        <x:v>Cn1c(SCCCN2CCC3(CC3c3ccc(C(F)(F)F)cc3)C2)nnc1C1CCOCC1</x:v>
      </x:c>
      <x:c r="W74" s="9" t="str">
        <x:v>ef2b5648ef015e2fc73bbbe997731efe7ccd5141787e613b97931af8a4e90427</x:v>
      </x:c>
      <x:c r="X74" s="9" t="str">
        <x:v>c1ccc(C2CC23CCN(CCCSc2nnc(C4CCOCC4)[nH]2)C3)cc1</x:v>
      </x:c>
      <x:c r="Y74" s="9" t="str">
        <x:v>False</x:v>
      </x:c>
      <x:c r="Z74" s="13" t="n">
        <x:v>1</x:v>
      </x:c>
      <x:c r="AA74" s="9" t="str">
        <x:v>include</x:v>
      </x:c>
      <x:c r="AB74" s="9" t="str"/>
      <x:c r="AC74" s="9" t="str">
        <x:v>pKi</x:v>
      </x:c>
      <x:c r="AD74" s="9" t="str">
        <x:v>6.09</x:v>
      </x:c>
      <x:c r="AE74" s="9" t="str"/>
      <x:c r="AF74" s="9" t="str">
        <x:v>=</x:v>
      </x:c>
      <x:c r="AG74" s="9" t="str">
        <x:v>Ki</x:v>
      </x:c>
      <x:c r="AH74" s="11" t="n">
        <x:v>812.83</x:v>
      </x:c>
      <x:c r="AI74" s="9" t="str">
        <x:v>nM</x:v>
      </x:c>
      <x:c r="AJ74" s="9" t="str">
        <x:v>=</x:v>
      </x:c>
      <x:c r="AK74" s="11" t="n">
        <x:v>6.09</x:v>
      </x:c>
      <x:c r="AL74" s="13" t="n">
        <x:v>0</x:v>
      </x:c>
      <x:c r="AM74" s="9" t="str"/>
      <x:c r="AN74" s="9" t="str"/>
      <x:c r="AO74" s="9" t="str">
        <x:v>https://www.ebi.ac.uk/chembl/api/data/activity/16670461.json</x:v>
      </x:c>
      <x:c r="AP74" s="9" t="str">
        <x:v>Cn1c(SCCCN2CCC3(CC3c3ccc(C(F)(F)F)cc3)C2)nnc1C1CCOCC1</x:v>
      </x:c>
      <x:c r="AQ74" s="9" t="str">
        <x:v>c1ccc(C2CC23CCN(CCCSc2nnc(C4CCOCC4)[nH]2)C3)cc1</x:v>
      </x:c>
      <x:c r="AR74" s="11" t="n">
        <x:v>480.60000000000025</x:v>
      </x:c>
      <x:c r="AS74" s="11" t="n">
        <x:v>5.089700000000005</x:v>
      </x:c>
      <x:c r="AT74" s="11" t="n">
        <x:v>43.18000000000001</x:v>
      </x:c>
      <x:c r="AU74" s="13" t="n">
        <x:v>0</x:v>
      </x:c>
      <x:c r="AV74" s="13" t="n">
        <x:v>5</x:v>
      </x:c>
      <x:c r="AW74" s="9" t="str">
        <x:v>test</x:v>
      </x:c>
      <x:c r="AX74" s="9" t="str">
        <x:v>source_reported_experimental_pKi</x:v>
      </x:c>
      <x:c r="AY74" s="11" t="n">
        <x:v>6.073124582032206</x:v>
      </x:c>
      <x:c r="AZ74" s="11" t="n">
        <x:v>6.149473684210526</x:v>
      </x:c>
      <x:c r="BA74" s="11" t="n">
        <x:v>0.01687541796779346</x:v>
      </x:c>
      <x:c r="BB74" s="9" t="str">
        <x:v>False</x:v>
      </x:c>
      <x:c r="BC74" s="11" t="n">
        <x:v>0.8461538461538461</x:v>
      </x:c>
    </x:row>
    <x:row r="75" ht="36" customHeight="1">
      <x:c r="A75" s="14" t="str">
        <x:v>IQKUCRAAVAKXAF-CEJRHITASA-N</x:v>
      </x:c>
      <x:c r="B75" s="14" t="str">
        <x:v>CHEMBL3903779</x:v>
      </x:c>
      <x:c r="C75" s="14" t="str">
        <x:v>CHEMBL3903779</x:v>
      </x:c>
      <x:c r="D75" s="14" t="str">
        <x:v>16670462</x:v>
      </x:c>
      <x:c r="E75" s="14" t="str">
        <x:v>16670462</x:v>
      </x:c>
      <x:c r="F75" s="14" t="str">
        <x:v>CHEMBL3855278</x:v>
      </x:c>
      <x:c r="G75" s="14" t="str">
        <x:v>CHEMBL217</x:v>
      </x:c>
      <x:c r="H75" s="14" t="str">
        <x:v>CHEMBL3853329</x:v>
      </x:c>
      <x:c r="I75" s="14" t="str">
        <x:v>Cn1c(SCCCN2CC[C@]3(C[C@@H]3c3ccc(C(F)(F)F)cc3)C2)nnc1C1CC2CCC(C1)O2</x:v>
      </x:c>
      <x:c r="J75" s="14" t="str">
        <x:v>Cn1c(SCCCN2CC[C@]3(C[C@@H]3c3ccc(C(F)(F)F)cc3)C2)nnc1C1CC2CCC(C1)O2</x:v>
      </x:c>
      <x:c r="K75" s="14" t="str">
        <x:v>source_reported_pKi</x:v>
      </x:c>
      <x:c r="L75" s="15" t="n">
        <x:v>6.13</x:v>
      </x:c>
      <x:c r="M75" s="15" t="n">
        <x:v>741.3102413009177</x:v>
      </x:c>
      <x:c r="N75" s="15" t="n">
        <x:v>741.31</x:v>
      </x:c>
      <x:c r="O75" s="15" t="n">
        <x:v>6.130000141365475</x:v>
      </x:c>
      <x:c r="P75" s="16" t="n">
        <x:v>1.4136547488163842e-7</x:v>
      </x:c>
      <x:c r="Q75" s="16" t="n">
        <x:v>-0.00024130091776441986</x:v>
      </x:c>
      <x:c r="R75" s="15" t="n">
        <x:v>0.00501</x:v>
      </x:c>
      <x:c r="S75" s="14" t="str">
        <x:v>Cn1c(SCCCN2CC[C@]3(C[C@@H]3c3ccc(C(F)(F)F)cc3)C2)nnc1C1CC2CCC(C1)O2</x:v>
      </x:c>
      <x:c r="T75" s="14" t="str">
        <x:v>Cn1c(SCCCN2CC[C@]3(C[C@@H]3c3ccc(C(F)(F)F)cc3)C2)nnc1C1CC2CCC(C1)O2</x:v>
      </x:c>
      <x:c r="U75" s="14" t="str">
        <x:v>IQKUCRAAVAKXAF-CEJRHITASA-N</x:v>
      </x:c>
      <x:c r="V75" s="14" t="str">
        <x:v>Cn1c(SCCCN2CCC3(CC3c3ccc(C(F)(F)F)cc3)C2)nnc1C1CC2CCC(C1)O2</x:v>
      </x:c>
      <x:c r="W75" s="14" t="str">
        <x:v>bdd5fa7d3781d1987b3a2cb325de6a9253015e989bc479b3ac59f476f4898d09</x:v>
      </x:c>
      <x:c r="X75" s="14" t="str">
        <x:v>c1ccc(C2CC23CCN(CCCSc2nnc(C4CC5CCC(C4)O5)[nH]2)C3)cc1</x:v>
      </x:c>
      <x:c r="Y75" s="14" t="str">
        <x:v>False</x:v>
      </x:c>
      <x:c r="Z75" s="17" t="n">
        <x:v>1</x:v>
      </x:c>
      <x:c r="AA75" s="14" t="str">
        <x:v>include</x:v>
      </x:c>
      <x:c r="AB75" s="14" t="str"/>
      <x:c r="AC75" s="14" t="str">
        <x:v>pKi</x:v>
      </x:c>
      <x:c r="AD75" s="14" t="str">
        <x:v>6.13</x:v>
      </x:c>
      <x:c r="AE75" s="14" t="str"/>
      <x:c r="AF75" s="14" t="str">
        <x:v>=</x:v>
      </x:c>
      <x:c r="AG75" s="14" t="str">
        <x:v>Ki</x:v>
      </x:c>
      <x:c r="AH75" s="15" t="n">
        <x:v>741.31</x:v>
      </x:c>
      <x:c r="AI75" s="14" t="str">
        <x:v>nM</x:v>
      </x:c>
      <x:c r="AJ75" s="14" t="str">
        <x:v>=</x:v>
      </x:c>
      <x:c r="AK75" s="15" t="n">
        <x:v>6.13</x:v>
      </x:c>
      <x:c r="AL75" s="17" t="n">
        <x:v>0</x:v>
      </x:c>
      <x:c r="AM75" s="14" t="str"/>
      <x:c r="AN75" s="14" t="str"/>
      <x:c r="AO75" s="14" t="str">
        <x:v>https://www.ebi.ac.uk/chembl/api/data/activity/16670462.json</x:v>
      </x:c>
      <x:c r="AP75" s="14" t="str">
        <x:v>Cn1c(SCCCN2CCC3(CC3c3ccc(C(F)(F)F)cc3)C2)nnc1C1CC2CCC(C1)O2</x:v>
      </x:c>
      <x:c r="AQ75" s="14" t="str">
        <x:v>c1ccc(C2CC23CCN(CCCSc2nnc(C4CC5CCC(C4)O5)[nH]2)C3)cc1</x:v>
      </x:c>
      <x:c r="AR75" s="15" t="n">
        <x:v>506.63800000000026</x:v>
      </x:c>
      <x:c r="AS75" s="15" t="n">
        <x:v>5.620700000000006</x:v>
      </x:c>
      <x:c r="AT75" s="15" t="n">
        <x:v>43.18000000000001</x:v>
      </x:c>
      <x:c r="AU75" s="17" t="n">
        <x:v>0</x:v>
      </x:c>
      <x:c r="AV75" s="17" t="n">
        <x:v>5</x:v>
      </x:c>
      <x:c r="AW75" s="14" t="str">
        <x:v>train</x:v>
      </x:c>
      <x:c r="AX75" s="14" t="str">
        <x:v>source_reported_experimental_pKi</x:v>
      </x:c>
      <x:c r="AY75" s="15" t="n">
        <x:v>6.112106149792665</x:v>
      </x:c>
      <x:c r="AZ75" s="15" t="n">
        <x:v>6.149473684210526</x:v>
      </x:c>
      <x:c r="BA75" s="15" t="n">
        <x:v>0.017893850207334694</x:v>
      </x:c>
      <x:c r="BB75" s="14" t="str">
        <x:v>False</x:v>
      </x:c>
      <x:c r="BC75" s="15" t="n">
        <x:v>0.7941176470588235</x:v>
      </x:c>
    </x:row>
    <x:row r="76" ht="36" customHeight="1">
      <x:c r="A76" s="9" t="str">
        <x:v>CTRVTEOXKBMCKO-QPPBQGQZSA-N</x:v>
      </x:c>
      <x:c r="B76" s="9" t="str">
        <x:v>CHEMBL3958201</x:v>
      </x:c>
      <x:c r="C76" s="9" t="str">
        <x:v>CHEMBL3958201</x:v>
      </x:c>
      <x:c r="D76" s="9" t="str">
        <x:v>16670463</x:v>
      </x:c>
      <x:c r="E76" s="9" t="str">
        <x:v>16670463</x:v>
      </x:c>
      <x:c r="F76" s="9" t="str">
        <x:v>CHEMBL3855278</x:v>
      </x:c>
      <x:c r="G76" s="9" t="str">
        <x:v>CHEMBL217</x:v>
      </x:c>
      <x:c r="H76" s="9" t="str">
        <x:v>CHEMBL3853329</x:v>
      </x:c>
      <x:c r="I76" s="9" t="str">
        <x:v>Cn1c(SCCCN2CC[C@]3(C[C@@H]3c3ccc(C(F)(F)F)cc3)C2)nnc1C1CCCCC1</x:v>
      </x:c>
      <x:c r="J76" s="9" t="str">
        <x:v>Cn1c(SCCCN2CC[C@]3(C[C@@H]3c3ccc(C(F)(F)F)cc3)C2)nnc1C1CCCCC1</x:v>
      </x:c>
      <x:c r="K76" s="9" t="str">
        <x:v>source_reported_pKi</x:v>
      </x:c>
      <x:c r="L76" s="11" t="n">
        <x:v>6.23</x:v>
      </x:c>
      <x:c r="M76" s="11" t="n">
        <x:v>588.8436553555883</x:v>
      </x:c>
      <x:c r="N76" s="11" t="n">
        <x:v>588.84</x:v>
      </x:c>
      <x:c r="O76" s="11" t="n">
        <x:v>6.23000269597146</x:v>
      </x:c>
      <x:c r="P76" s="12" t="n">
        <x:v>0.0000026959714594099182</x:v>
      </x:c>
      <x:c r="Q76" s="12" t="n">
        <x:v>-0.0036553555883074296</x:v>
      </x:c>
      <x:c r="R76" s="11" t="n">
        <x:v>0.00501</x:v>
      </x:c>
      <x:c r="S76" s="9" t="str">
        <x:v>Cn1c(SCCCN2CC[C@]3(C[C@@H]3c3ccc(C(F)(F)F)cc3)C2)nnc1C1CCCCC1</x:v>
      </x:c>
      <x:c r="T76" s="9" t="str">
        <x:v>Cn1c(SCCCN2CC[C@]3(C[C@@H]3c3ccc(C(F)(F)F)cc3)C2)nnc1C1CCCCC1</x:v>
      </x:c>
      <x:c r="U76" s="9" t="str">
        <x:v>CTRVTEOXKBMCKO-QPPBQGQZSA-N</x:v>
      </x:c>
      <x:c r="V76" s="9" t="str">
        <x:v>Cn1c(SCCCN2CCC3(CC3c3ccc(C(F)(F)F)cc3)C2)nnc1C1CCCCC1</x:v>
      </x:c>
      <x:c r="W76" s="9" t="str">
        <x:v>cf2f0ebf1c808b5ef998e9f5738b6bf81257897524fbd6b02f5c5df935a83363</x:v>
      </x:c>
      <x:c r="X76" s="9" t="str">
        <x:v>c1ccc(C2CC23CCN(CCCSc2nnc(C4CCCCC4)[nH]2)C3)cc1</x:v>
      </x:c>
      <x:c r="Y76" s="9" t="str">
        <x:v>False</x:v>
      </x:c>
      <x:c r="Z76" s="13" t="n">
        <x:v>1</x:v>
      </x:c>
      <x:c r="AA76" s="9" t="str">
        <x:v>include</x:v>
      </x:c>
      <x:c r="AB76" s="9" t="str"/>
      <x:c r="AC76" s="9" t="str">
        <x:v>pKi</x:v>
      </x:c>
      <x:c r="AD76" s="9" t="str">
        <x:v>6.23</x:v>
      </x:c>
      <x:c r="AE76" s="9" t="str"/>
      <x:c r="AF76" s="9" t="str">
        <x:v>=</x:v>
      </x:c>
      <x:c r="AG76" s="9" t="str">
        <x:v>Ki</x:v>
      </x:c>
      <x:c r="AH76" s="11" t="n">
        <x:v>588.84</x:v>
      </x:c>
      <x:c r="AI76" s="9" t="str">
        <x:v>nM</x:v>
      </x:c>
      <x:c r="AJ76" s="9" t="str">
        <x:v>=</x:v>
      </x:c>
      <x:c r="AK76" s="11" t="n">
        <x:v>6.23</x:v>
      </x:c>
      <x:c r="AL76" s="13" t="n">
        <x:v>0</x:v>
      </x:c>
      <x:c r="AM76" s="9" t="str"/>
      <x:c r="AN76" s="9" t="str"/>
      <x:c r="AO76" s="9" t="str">
        <x:v>https://www.ebi.ac.uk/chembl/api/data/activity/16670463.json</x:v>
      </x:c>
      <x:c r="AP76" s="9" t="str">
        <x:v>Cn1c(SCCCN2CCC3(CC3c3ccc(C(F)(F)F)cc3)C2)nnc1C1CCCCC1</x:v>
      </x:c>
      <x:c r="AQ76" s="9" t="str">
        <x:v>c1ccc(C2CC23CCN(CCCSc2nnc(C4CCCCC4)[nH]2)C3)cc1</x:v>
      </x:c>
      <x:c r="AR76" s="11" t="n">
        <x:v>478.62800000000027</x:v>
      </x:c>
      <x:c r="AS76" s="11" t="n">
        <x:v>6.2434000000000065</x:v>
      </x:c>
      <x:c r="AT76" s="11" t="n">
        <x:v>33.95</x:v>
      </x:c>
      <x:c r="AU76" s="13" t="n">
        <x:v>0</x:v>
      </x:c>
      <x:c r="AV76" s="13" t="n">
        <x:v>4</x:v>
      </x:c>
      <x:c r="AW76" s="9" t="str">
        <x:v>train</x:v>
      </x:c>
      <x:c r="AX76" s="9" t="str">
        <x:v>source_reported_experimental_pKi</x:v>
      </x:c>
      <x:c r="AY76" s="11" t="n">
        <x:v>6.145514513936959</x:v>
      </x:c>
      <x:c r="AZ76" s="11" t="n">
        <x:v>6.149473684210526</x:v>
      </x:c>
      <x:c r="BA76" s="11" t="n">
        <x:v>0.08448548606304129</x:v>
      </x:c>
      <x:c r="BB76" s="9" t="str">
        <x:v>False</x:v>
      </x:c>
      <x:c r="BC76" s="11" t="n">
        <x:v>0.7941176470588235</x:v>
      </x:c>
    </x:row>
    <x:row r="77" ht="36" customHeight="1">
      <x:c r="A77" s="14" t="str">
        <x:v>OMUDHMBLKINCCX-XXBNENTESA-N</x:v>
      </x:c>
      <x:c r="B77" s="14" t="str">
        <x:v>CHEMBL3897772</x:v>
      </x:c>
      <x:c r="C77" s="14" t="str">
        <x:v>CHEMBL3897772</x:v>
      </x:c>
      <x:c r="D77" s="14" t="str">
        <x:v>16670719</x:v>
      </x:c>
      <x:c r="E77" s="14" t="str">
        <x:v>16670719</x:v>
      </x:c>
      <x:c r="F77" s="14" t="str">
        <x:v>CHEMBL3855278</x:v>
      </x:c>
      <x:c r="G77" s="14" t="str">
        <x:v>CHEMBL217</x:v>
      </x:c>
      <x:c r="H77" s="14" t="str">
        <x:v>CHEMBL3853329</x:v>
      </x:c>
      <x:c r="I77" s="14" t="str">
        <x:v>Cn1c(SCCCN2CC[C@]3(C[C@@H]3c3ccc(C(F)(F)F)cc3)C2)nnc1C1=CC=NC(=O)C1</x:v>
      </x:c>
      <x:c r="J77" s="14" t="str">
        <x:v>Cn1c(SCCCN2CC[C@]3(C[C@@H]3c3ccc(C(F)(F)F)cc3)C2)nnc1C1=CC=NC(=O)C1</x:v>
      </x:c>
      <x:c r="K77" s="14" t="str">
        <x:v>source_reported_pKi</x:v>
      </x:c>
      <x:c r="L77" s="15" t="n">
        <x:v>5.84</x:v>
      </x:c>
      <x:c r="M77" s="15" t="n">
        <x:v>1445.439770745928</x:v>
      </x:c>
      <x:c r="N77" s="15" t="n">
        <x:v>1445.44</x:v>
      </x:c>
      <x:c r="O77" s="15" t="n">
        <x:v>5.839999931118699</x:v>
      </x:c>
      <x:c r="P77" s="16" t="n">
        <x:v>-6.888130066329268e-8</x:v>
      </x:c>
      <x:c r="Q77" s="16" t="n">
        <x:v>0.00022925407211005222</x:v>
      </x:c>
      <x:c r="R77" s="15" t="n">
        <x:v>0.00501</x:v>
      </x:c>
      <x:c r="S77" s="14" t="str">
        <x:v>Cn1c(SCCCN2CC[C@]3(C[C@@H]3c3ccc(C(F)(F)F)cc3)C2)nnc1C1=CC=NC(=O)C1</x:v>
      </x:c>
      <x:c r="T77" s="14" t="str">
        <x:v>Cn1c(SCCCN2CC[C@]3(C[C@@H]3c3ccc(C(F)(F)F)cc3)C2)nnc1C1=CC=NC(=O)C1</x:v>
      </x:c>
      <x:c r="U77" s="14" t="str">
        <x:v>OMUDHMBLKINCCX-XXBNENTESA-N</x:v>
      </x:c>
      <x:c r="V77" s="14" t="str">
        <x:v>Cn1c(SCCCN2CCC3(CC3c3ccc(C(F)(F)F)cc3)C2)nnc1C1=CC=NC(=O)C1</x:v>
      </x:c>
      <x:c r="W77" s="14" t="str">
        <x:v>cccbbf0fae3970d9d17e8de18e7166b8b94d878b82a3c5ad227be7231fd166b3</x:v>
      </x:c>
      <x:c r="X77" s="14" t="str">
        <x:v>O=C1CC(c2nnc(SCCCN3CCC4(CC4c4ccccc4)C3)[nH]2)=CC=N1</x:v>
      </x:c>
      <x:c r="Y77" s="14" t="str">
        <x:v>False</x:v>
      </x:c>
      <x:c r="Z77" s="17" t="n">
        <x:v>1</x:v>
      </x:c>
      <x:c r="AA77" s="14" t="str">
        <x:v>include</x:v>
      </x:c>
      <x:c r="AB77" s="14" t="str"/>
      <x:c r="AC77" s="14" t="str">
        <x:v>pKi</x:v>
      </x:c>
      <x:c r="AD77" s="14" t="str">
        <x:v>5.84</x:v>
      </x:c>
      <x:c r="AE77" s="14" t="str"/>
      <x:c r="AF77" s="14" t="str">
        <x:v>=</x:v>
      </x:c>
      <x:c r="AG77" s="14" t="str">
        <x:v>Ki</x:v>
      </x:c>
      <x:c r="AH77" s="15" t="n">
        <x:v>1445.44</x:v>
      </x:c>
      <x:c r="AI77" s="14" t="str">
        <x:v>nM</x:v>
      </x:c>
      <x:c r="AJ77" s="14" t="str">
        <x:v>=</x:v>
      </x:c>
      <x:c r="AK77" s="15" t="n">
        <x:v>5.84</x:v>
      </x:c>
      <x:c r="AL77" s="17" t="n">
        <x:v>0</x:v>
      </x:c>
      <x:c r="AM77" s="14" t="str"/>
      <x:c r="AN77" s="14" t="str"/>
      <x:c r="AO77" s="14" t="str">
        <x:v>https://www.ebi.ac.uk/chembl/api/data/activity/16670719.json</x:v>
      </x:c>
      <x:c r="AP77" s="14" t="str">
        <x:v>Cn1c(SCCCN2CCC3(CC3c3ccc(C(F)(F)F)cc3)C2)nnc1C1=CC=NC(=O)C1</x:v>
      </x:c>
      <x:c r="AQ77" s="14" t="str">
        <x:v>O=C1CC(c2nnc(SCCCN3CCC4(CC4c4ccccc4)C3)[nH]2)=CC=N1</x:v>
      </x:c>
      <x:c r="AR77" s="15" t="n">
        <x:v>489.5670000000002</x:v>
      </x:c>
      <x:c r="AS77" s="15" t="n">
        <x:v>4.580200000000004</x:v>
      </x:c>
      <x:c r="AT77" s="15" t="n">
        <x:v>63.38</x:v>
      </x:c>
      <x:c r="AU77" s="17" t="n">
        <x:v>0</x:v>
      </x:c>
      <x:c r="AV77" s="17" t="n">
        <x:v>5</x:v>
      </x:c>
      <x:c r="AW77" s="14" t="str">
        <x:v>train</x:v>
      </x:c>
      <x:c r="AX77" s="14" t="str">
        <x:v>source_reported_experimental_pKi</x:v>
      </x:c>
      <x:c r="AY77" s="15" t="n">
        <x:v>5.985514133665545</x:v>
      </x:c>
      <x:c r="AZ77" s="15" t="n">
        <x:v>6.149473684210526</x:v>
      </x:c>
      <x:c r="BA77" s="15" t="n">
        <x:v>-0.14551413366554478</x:v>
      </x:c>
      <x:c r="BB77" s="14" t="str">
        <x:v>False</x:v>
      </x:c>
      <x:c r="BC77" s="15" t="n">
        <x:v>0.726027397260274</x:v>
      </x:c>
    </x:row>
    <x:row r="78" ht="36" customHeight="1">
      <x:c r="A78" s="9" t="str">
        <x:v>QDBPUGDJXGIOJW-HFYIJGDASA-N</x:v>
      </x:c>
      <x:c r="B78" s="9" t="str">
        <x:v>CHEMBL3912801</x:v>
      </x:c>
      <x:c r="C78" s="9" t="str">
        <x:v>CHEMBL3912801</x:v>
      </x:c>
      <x:c r="D78" s="9" t="str">
        <x:v>16670720</x:v>
      </x:c>
      <x:c r="E78" s="9" t="str">
        <x:v>16670720</x:v>
      </x:c>
      <x:c r="F78" s="9" t="str">
        <x:v>CHEMBL3855278</x:v>
      </x:c>
      <x:c r="G78" s="9" t="str">
        <x:v>CHEMBL217</x:v>
      </x:c>
      <x:c r="H78" s="9" t="str">
        <x:v>CHEMBL3853329</x:v>
      </x:c>
      <x:c r="I78" s="9" t="str">
        <x:v>CC(=O)NC1CCC(c2nnc(SCCCN3CC[C@]4(C[C@@H]4c4ccc(C(F)(F)F)cc4)C3)n2C)CC1</x:v>
      </x:c>
      <x:c r="J78" s="9" t="str">
        <x:v>CC(=O)NC1CCC(c2nnc(SCCCN3CC[C@]4(C[C@@H]4c4ccc(C(F)(F)F)cc4)C3)n2C)CC1</x:v>
      </x:c>
      <x:c r="K78" s="9" t="str">
        <x:v>source_reported_pKi</x:v>
      </x:c>
      <x:c r="L78" s="11" t="n">
        <x:v>6.34</x:v>
      </x:c>
      <x:c r="M78" s="11" t="n">
        <x:v>457.0881896148752</x:v>
      </x:c>
      <x:c r="N78" s="11" t="n">
        <x:v>457.09</x:v>
      </x:c>
      <x:c r="O78" s="11" t="n">
        <x:v>6.339998279897117</x:v>
      </x:c>
      <x:c r="P78" s="12" t="n">
        <x:v>-0.0000017201028832403154</x:v>
      </x:c>
      <x:c r="Q78" s="12" t="n">
        <x:v>0.0018103851247701641</x:v>
      </x:c>
      <x:c r="R78" s="11" t="n">
        <x:v>0.00501</x:v>
      </x:c>
      <x:c r="S78" s="9" t="str">
        <x:v>CC(=O)NC1CCC(c2nnc(SCCCN3CC[C@]4(C[C@@H]4c4ccc(C(F)(F)F)cc4)C3)n2C)CC1</x:v>
      </x:c>
      <x:c r="T78" s="9" t="str">
        <x:v>CC(=O)NC1CCC(c2nnc(SCCCN3CC[C@]4(C[C@@H]4c4ccc(C(F)(F)F)cc4)C3)n2C)CC1</x:v>
      </x:c>
      <x:c r="U78" s="9" t="str">
        <x:v>QDBPUGDJXGIOJW-HFYIJGDASA-N</x:v>
      </x:c>
      <x:c r="V78" s="9" t="str">
        <x:v>CC(=O)NC1CCC(c2nnc(SCCCN3CCC4(CC4c4ccc(C(F)(F)F)cc4)C3)n2C)CC1</x:v>
      </x:c>
      <x:c r="W78" s="9" t="str">
        <x:v>f8c1fa3b8e3e447250d3dcd79e0bd98e79a53dd53ebb646cc1103feba1c01c05</x:v>
      </x:c>
      <x:c r="X78" s="9" t="str">
        <x:v>c1ccc(C2CC23CCN(CCCSc2nnc(C4CCCCC4)[nH]2)C3)cc1</x:v>
      </x:c>
      <x:c r="Y78" s="9" t="str">
        <x:v>False</x:v>
      </x:c>
      <x:c r="Z78" s="13" t="n">
        <x:v>1</x:v>
      </x:c>
      <x:c r="AA78" s="9" t="str">
        <x:v>include</x:v>
      </x:c>
      <x:c r="AB78" s="9" t="str"/>
      <x:c r="AC78" s="9" t="str">
        <x:v>pKi</x:v>
      </x:c>
      <x:c r="AD78" s="9" t="str">
        <x:v>6.34</x:v>
      </x:c>
      <x:c r="AE78" s="9" t="str"/>
      <x:c r="AF78" s="9" t="str">
        <x:v>=</x:v>
      </x:c>
      <x:c r="AG78" s="9" t="str">
        <x:v>Ki</x:v>
      </x:c>
      <x:c r="AH78" s="11" t="n">
        <x:v>457.09</x:v>
      </x:c>
      <x:c r="AI78" s="9" t="str">
        <x:v>nM</x:v>
      </x:c>
      <x:c r="AJ78" s="9" t="str">
        <x:v>=</x:v>
      </x:c>
      <x:c r="AK78" s="11" t="n">
        <x:v>6.34</x:v>
      </x:c>
      <x:c r="AL78" s="13" t="n">
        <x:v>0</x:v>
      </x:c>
      <x:c r="AM78" s="9" t="str"/>
      <x:c r="AN78" s="9" t="str"/>
      <x:c r="AO78" s="9" t="str">
        <x:v>https://www.ebi.ac.uk/chembl/api/data/activity/16670720.json</x:v>
      </x:c>
      <x:c r="AP78" s="9" t="str">
        <x:v>CC(=O)NC1CCC(c2nnc(SCCCN3CCC4(CC4c4ccc(C(F)(F)F)cc4)C3)n2C)CC1</x:v>
      </x:c>
      <x:c r="AQ78" s="9" t="str">
        <x:v>c1ccc(C2CC23CCN(CCCSc2nnc(C4CCCCC4)[nH]2)C3)cc1</x:v>
      </x:c>
      <x:c r="AR78" s="11" t="n">
        <x:v>535.6800000000002</x:v>
      </x:c>
      <x:c r="AS78" s="11" t="n">
        <x:v>5.358000000000005</x:v>
      </x:c>
      <x:c r="AT78" s="11" t="n">
        <x:v>63.050000000000004</x:v>
      </x:c>
      <x:c r="AU78" s="13" t="n">
        <x:v>1</x:v>
      </x:c>
      <x:c r="AV78" s="13" t="n">
        <x:v>5</x:v>
      </x:c>
      <x:c r="AW78" s="9" t="str">
        <x:v>train</x:v>
      </x:c>
      <x:c r="AX78" s="9" t="str">
        <x:v>source_reported_experimental_pKi</x:v>
      </x:c>
      <x:c r="AY78" s="11" t="n">
        <x:v>6.281893369118094</x:v>
      </x:c>
      <x:c r="AZ78" s="11" t="n">
        <x:v>6.149473684210526</x:v>
      </x:c>
      <x:c r="BA78" s="11" t="n">
        <x:v>0.05810663088190626</x:v>
      </x:c>
      <x:c r="BB78" s="9" t="str">
        <x:v>False</x:v>
      </x:c>
      <x:c r="BC78" s="11" t="n">
        <x:v>0.7638888888888888</x:v>
      </x:c>
    </x:row>
    <x:row r="79" ht="36" customHeight="1">
      <x:c r="A79" s="14" t="str">
        <x:v>DRMNJQDZXRGJRN-YKSBVNFPSA-N</x:v>
      </x:c>
      <x:c r="B79" s="14" t="str">
        <x:v>CHEMBL3922838</x:v>
      </x:c>
      <x:c r="C79" s="14" t="str">
        <x:v>CHEMBL3922838</x:v>
      </x:c>
      <x:c r="D79" s="14" t="str">
        <x:v>16670825</x:v>
      </x:c>
      <x:c r="E79" s="14" t="str">
        <x:v>16670825</x:v>
      </x:c>
      <x:c r="F79" s="14" t="str">
        <x:v>CHEMBL3855278</x:v>
      </x:c>
      <x:c r="G79" s="14" t="str">
        <x:v>CHEMBL217</x:v>
      </x:c>
      <x:c r="H79" s="14" t="str">
        <x:v>CHEMBL3853329</x:v>
      </x:c>
      <x:c r="I79" s="14" t="str">
        <x:v>Cn1c(SCCCN2CC[C@]3(C[C@@H]3c3ccc(C(F)(F)F)cc3)C2)nnc1-c1ccc(=O)n(C)c1</x:v>
      </x:c>
      <x:c r="J79" s="14" t="str">
        <x:v>Cn1c(SCCCN2CC[C@]3(C[C@@H]3c3ccc(C(F)(F)F)cc3)C2)nnc1-c1ccc(=O)n(C)c1</x:v>
      </x:c>
      <x:c r="K79" s="14" t="str">
        <x:v>source_reported_pKi</x:v>
      </x:c>
      <x:c r="L79" s="15" t="n">
        <x:v>6.06</x:v>
      </x:c>
      <x:c r="M79" s="15" t="n">
        <x:v>870.9635899560815</x:v>
      </x:c>
      <x:c r="N79" s="15" t="n">
        <x:v>870.96</x:v>
      </x:c>
      <x:c r="O79" s="15" t="n">
        <x:v>6.060001790087838</x:v>
      </x:c>
      <x:c r="P79" s="16" t="n">
        <x:v>0.000001790087837960641</x:v>
      </x:c>
      <x:c r="Q79" s="16" t="n">
        <x:v>-0.0035899560814414144</x:v>
      </x:c>
      <x:c r="R79" s="15" t="n">
        <x:v>0.00501</x:v>
      </x:c>
      <x:c r="S79" s="14" t="str">
        <x:v>Cn1c(SCCCN2CC[C@]3(C[C@@H]3c3ccc(C(F)(F)F)cc3)C2)nnc1-c1ccc(=O)n(C)c1</x:v>
      </x:c>
      <x:c r="T79" s="14" t="str">
        <x:v>Cn1c(SCCCN2CC[C@]3(C[C@@H]3c3ccc(C(F)(F)F)cc3)C2)nnc1-c1ccc(=O)n(C)c1</x:v>
      </x:c>
      <x:c r="U79" s="14" t="str">
        <x:v>DRMNJQDZXRGJRN-YKSBVNFPSA-N</x:v>
      </x:c>
      <x:c r="V79" s="14" t="str">
        <x:v>Cn1c(SCCCN2CCC3(CC3c3ccc(C(F)(F)F)cc3)C2)nnc1-c1ccc(=O)n(C)c1</x:v>
      </x:c>
      <x:c r="W79" s="14" t="str">
        <x:v>40a3605ec6b3fe54f63d1c7837d2a407e24bf51f60e9de4ed7e8c205962b66ac</x:v>
      </x:c>
      <x:c r="X79" s="14" t="str">
        <x:v>O=c1ccc(-c2nnc(SCCCN3CCC4(CC4c4ccccc4)C3)[nH]2)c[nH]1</x:v>
      </x:c>
      <x:c r="Y79" s="14" t="str">
        <x:v>False</x:v>
      </x:c>
      <x:c r="Z79" s="17" t="n">
        <x:v>1</x:v>
      </x:c>
      <x:c r="AA79" s="14" t="str">
        <x:v>include</x:v>
      </x:c>
      <x:c r="AB79" s="14" t="str"/>
      <x:c r="AC79" s="14" t="str">
        <x:v>pKi</x:v>
      </x:c>
      <x:c r="AD79" s="14" t="str">
        <x:v>6.06</x:v>
      </x:c>
      <x:c r="AE79" s="14" t="str"/>
      <x:c r="AF79" s="14" t="str">
        <x:v>=</x:v>
      </x:c>
      <x:c r="AG79" s="14" t="str">
        <x:v>Ki</x:v>
      </x:c>
      <x:c r="AH79" s="15" t="n">
        <x:v>870.96</x:v>
      </x:c>
      <x:c r="AI79" s="14" t="str">
        <x:v>nM</x:v>
      </x:c>
      <x:c r="AJ79" s="14" t="str">
        <x:v>=</x:v>
      </x:c>
      <x:c r="AK79" s="15" t="n">
        <x:v>6.06</x:v>
      </x:c>
      <x:c r="AL79" s="17" t="n">
        <x:v>0</x:v>
      </x:c>
      <x:c r="AM79" s="14" t="str"/>
      <x:c r="AN79" s="14" t="str"/>
      <x:c r="AO79" s="14" t="str">
        <x:v>https://www.ebi.ac.uk/chembl/api/data/activity/16670825.json</x:v>
      </x:c>
      <x:c r="AP79" s="14" t="str">
        <x:v>Cn1c(SCCCN2CCC3(CC3c3ccc(C(F)(F)F)cc3)C2)nnc1-c1ccc(=O)n(C)c1</x:v>
      </x:c>
      <x:c r="AQ79" s="14" t="str">
        <x:v>O=c1ccc(-c2nnc(SCCCN3CCC4(CC4c4ccccc4)C3)[nH]2)c[nH]1</x:v>
      </x:c>
      <x:c r="AR79" s="15" t="n">
        <x:v>503.59400000000016</x:v>
      </x:c>
      <x:c r="AS79" s="15" t="n">
        <x:v>4.561400000000004</x:v>
      </x:c>
      <x:c r="AT79" s="15" t="n">
        <x:v>55.95</x:v>
      </x:c>
      <x:c r="AU79" s="17" t="n">
        <x:v>0</x:v>
      </x:c>
      <x:c r="AV79" s="17" t="n">
        <x:v>5</x:v>
      </x:c>
      <x:c r="AW79" s="14" t="str">
        <x:v>train</x:v>
      </x:c>
      <x:c r="AX79" s="14" t="str">
        <x:v>source_reported_experimental_pKi</x:v>
      </x:c>
      <x:c r="AY79" s="15" t="n">
        <x:v>5.962554227925102</x:v>
      </x:c>
      <x:c r="AZ79" s="15" t="n">
        <x:v>6.149473684210526</x:v>
      </x:c>
      <x:c r="BA79" s="15" t="n">
        <x:v>0.0974457720748978</x:v>
      </x:c>
      <x:c r="BB79" s="14" t="str">
        <x:v>False</x:v>
      </x:c>
      <x:c r="BC79" s="15" t="n">
        <x:v>0.7945205479452054</x:v>
      </x:c>
    </x:row>
    <x:row r="80" ht="36" customHeight="1">
      <x:c r="A80" s="9" t="str">
        <x:v>ARSLLTCMIOZESX-PNYWAOBFSA-N</x:v>
      </x:c>
      <x:c r="B80" s="9" t="str">
        <x:v>CHEMBL3913849</x:v>
      </x:c>
      <x:c r="C80" s="9" t="str">
        <x:v>CHEMBL3913849</x:v>
      </x:c>
      <x:c r="D80" s="9" t="str">
        <x:v>16670842</x:v>
      </x:c>
      <x:c r="E80" s="9" t="str">
        <x:v>16670842</x:v>
      </x:c>
      <x:c r="F80" s="9" t="str">
        <x:v>CHEMBL3855278</x:v>
      </x:c>
      <x:c r="G80" s="9" t="str">
        <x:v>CHEMBL217</x:v>
      </x:c>
      <x:c r="H80" s="9" t="str">
        <x:v>CHEMBL3853329</x:v>
      </x:c>
      <x:c r="I80" s="9" t="str">
        <x:v>Cn1c(SCCCN2CC[C@]3(C[C@@H]3c3ccc(C(F)(F)F)cc3)C2)nnc1C1CCNC(=O)C1</x:v>
      </x:c>
      <x:c r="J80" s="9" t="str">
        <x:v>Cn1c(SCCCN2CC[C@]3(C[C@@H]3c3ccc(C(F)(F)F)cc3)C2)nnc1C1CCNC(=O)C1</x:v>
      </x:c>
      <x:c r="K80" s="9" t="str">
        <x:v>source_reported_pKi</x:v>
      </x:c>
      <x:c r="L80" s="11" t="n">
        <x:v>5.87</x:v>
      </x:c>
      <x:c r="M80" s="11" t="n">
        <x:v>1348.9628825916532</x:v>
      </x:c>
      <x:c r="N80" s="11" t="n">
        <x:v>1348.96</x:v>
      </x:c>
      <x:c r="O80" s="11" t="n">
        <x:v>5.8700009280425745</x:v>
      </x:c>
      <x:c r="P80" s="12" t="n">
        <x:v>9.280425743440901e-7</x:v>
      </x:c>
      <x:c r="Q80" s="12" t="n">
        <x:v>-0.002882591653133204</x:v>
      </x:c>
      <x:c r="R80" s="11" t="n">
        <x:v>0.00501</x:v>
      </x:c>
      <x:c r="S80" s="9" t="str">
        <x:v>Cn1c(SCCCN2CC[C@]3(C[C@@H]3c3ccc(C(F)(F)F)cc3)C2)nnc1C1CCNC(=O)C1</x:v>
      </x:c>
      <x:c r="T80" s="9" t="str">
        <x:v>Cn1c(SCCCN2CC[C@]3(C[C@@H]3c3ccc(C(F)(F)F)cc3)C2)nnc1C1CCNC(=O)C1</x:v>
      </x:c>
      <x:c r="U80" s="9" t="str">
        <x:v>ARSLLTCMIOZESX-PNYWAOBFSA-N</x:v>
      </x:c>
      <x:c r="V80" s="9" t="str">
        <x:v>Cn1c(SCCCN2CCC3(CC3c3ccc(C(F)(F)F)cc3)C2)nnc1C1CCNC(=O)C1</x:v>
      </x:c>
      <x:c r="W80" s="9" t="str">
        <x:v>4e25398992b4a0f1cd2ffb850744ec425120da51f697ab458e4135f17c747d8e</x:v>
      </x:c>
      <x:c r="X80" s="9" t="str">
        <x:v>O=C1CC(c2nnc(SCCCN3CCC4(CC4c4ccccc4)C3)[nH]2)CCN1</x:v>
      </x:c>
      <x:c r="Y80" s="9" t="str">
        <x:v>False</x:v>
      </x:c>
      <x:c r="Z80" s="13" t="n">
        <x:v>1</x:v>
      </x:c>
      <x:c r="AA80" s="9" t="str">
        <x:v>include</x:v>
      </x:c>
      <x:c r="AB80" s="9" t="str"/>
      <x:c r="AC80" s="9" t="str">
        <x:v>pKi</x:v>
      </x:c>
      <x:c r="AD80" s="9" t="str">
        <x:v>5.87</x:v>
      </x:c>
      <x:c r="AE80" s="9" t="str"/>
      <x:c r="AF80" s="9" t="str">
        <x:v>=</x:v>
      </x:c>
      <x:c r="AG80" s="9" t="str">
        <x:v>Ki</x:v>
      </x:c>
      <x:c r="AH80" s="11" t="n">
        <x:v>1348.96</x:v>
      </x:c>
      <x:c r="AI80" s="9" t="str">
        <x:v>nM</x:v>
      </x:c>
      <x:c r="AJ80" s="9" t="str">
        <x:v>=</x:v>
      </x:c>
      <x:c r="AK80" s="11" t="n">
        <x:v>5.87</x:v>
      </x:c>
      <x:c r="AL80" s="13" t="n">
        <x:v>0</x:v>
      </x:c>
      <x:c r="AM80" s="9" t="str"/>
      <x:c r="AN80" s="9" t="str"/>
      <x:c r="AO80" s="9" t="str">
        <x:v>https://www.ebi.ac.uk/chembl/api/data/activity/16670842.json</x:v>
      </x:c>
      <x:c r="AP80" s="9" t="str">
        <x:v>Cn1c(SCCCN2CCC3(CC3c3ccc(C(F)(F)F)cc3)C2)nnc1C1CCNC(=O)C1</x:v>
      </x:c>
      <x:c r="AQ80" s="9" t="str">
        <x:v>O=C1CC(c2nnc(SCCCN3CCC4(CC4c4ccccc4)C3)[nH]2)CCN1</x:v>
      </x:c>
      <x:c r="AR80" s="11" t="n">
        <x:v>493.5990000000002</x:v>
      </x:c>
      <x:c r="AS80" s="11" t="n">
        <x:v>4.189300000000003</x:v>
      </x:c>
      <x:c r="AT80" s="11" t="n">
        <x:v>63.050000000000004</x:v>
      </x:c>
      <x:c r="AU80" s="13" t="n">
        <x:v>1</x:v>
      </x:c>
      <x:c r="AV80" s="13" t="n">
        <x:v>5</x:v>
      </x:c>
      <x:c r="AW80" s="9" t="str">
        <x:v>train</x:v>
      </x:c>
      <x:c r="AX80" s="9" t="str">
        <x:v>source_reported_experimental_pKi</x:v>
      </x:c>
      <x:c r="AY80" s="11" t="n">
        <x:v>6.173871443138009</x:v>
      </x:c>
      <x:c r="AZ80" s="11" t="n">
        <x:v>6.149473684210526</x:v>
      </x:c>
      <x:c r="BA80" s="11" t="n">
        <x:v>-0.30387144313800896</x:v>
      </x:c>
      <x:c r="BB80" s="9" t="str">
        <x:v>False</x:v>
      </x:c>
      <x:c r="BC80" s="11" t="n">
        <x:v>0.7945205479452054</x:v>
      </x:c>
    </x:row>
    <x:row r="81" ht="36" customHeight="1">
      <x:c r="A81" s="14" t="str">
        <x:v>AWSNADYOKQXJRZ-BTNBVRMJSA-N</x:v>
      </x:c>
      <x:c r="B81" s="14" t="str">
        <x:v>CHEMBL3983684</x:v>
      </x:c>
      <x:c r="C81" s="14" t="str">
        <x:v>CHEMBL3983684</x:v>
      </x:c>
      <x:c r="D81" s="14" t="str">
        <x:v>16670852</x:v>
      </x:c>
      <x:c r="E81" s="14" t="str">
        <x:v>16670852</x:v>
      </x:c>
      <x:c r="F81" s="14" t="str">
        <x:v>CHEMBL3855278</x:v>
      </x:c>
      <x:c r="G81" s="14" t="str">
        <x:v>CHEMBL217</x:v>
      </x:c>
      <x:c r="H81" s="14" t="str">
        <x:v>CHEMBL3853329</x:v>
      </x:c>
      <x:c r="I81" s="14" t="str">
        <x:v>CN1CCC(c2nnc(SCCCN3CC[C@]4(C[C@@H]4c4ccc(C(F)(F)F)cc4)C3)n2C)CC1=O</x:v>
      </x:c>
      <x:c r="J81" s="14" t="str">
        <x:v>CN1CCC(c2nnc(SCCCN3CC[C@]4(C[C@@H]4c4ccc(C(F)(F)F)cc4)C3)n2C)CC1=O</x:v>
      </x:c>
      <x:c r="K81" s="14" t="str">
        <x:v>source_reported_pKi</x:v>
      </x:c>
      <x:c r="L81" s="15" t="n">
        <x:v>5.77</x:v>
      </x:c>
      <x:c r="M81" s="15" t="n">
        <x:v>1698.243652461746</x:v>
      </x:c>
      <x:c r="N81" s="15" t="n">
        <x:v>1698.24</x:v>
      </x:c>
      <x:c r="O81" s="15" t="n">
        <x:v>5.770000934050708</x:v>
      </x:c>
      <x:c r="P81" s="16" t="n">
        <x:v>9.340507087784999e-7</x:v>
      </x:c>
      <x:c r="Q81" s="16" t="n">
        <x:v>-0.0036524617460145237</x:v>
      </x:c>
      <x:c r="R81" s="15" t="n">
        <x:v>0.00501</x:v>
      </x:c>
      <x:c r="S81" s="14" t="str">
        <x:v>CN1CCC(c2nnc(SCCCN3CC[C@]4(C[C@@H]4c4ccc(C(F)(F)F)cc4)C3)n2C)CC1=O</x:v>
      </x:c>
      <x:c r="T81" s="14" t="str">
        <x:v>CN1CCC(c2nnc(SCCCN3CC[C@]4(C[C@@H]4c4ccc(C(F)(F)F)cc4)C3)n2C)CC1=O</x:v>
      </x:c>
      <x:c r="U81" s="14" t="str">
        <x:v>AWSNADYOKQXJRZ-BTNBVRMJSA-N</x:v>
      </x:c>
      <x:c r="V81" s="14" t="str">
        <x:v>CN1CCC(c2nnc(SCCCN3CCC4(CC4c4ccc(C(F)(F)F)cc4)C3)n2C)CC1=O</x:v>
      </x:c>
      <x:c r="W81" s="14" t="str">
        <x:v>1900a1fc3b79024998748dfcf9a4741ef72c6ce432bf7fbfe99fc4707b28d889</x:v>
      </x:c>
      <x:c r="X81" s="14" t="str">
        <x:v>O=C1CC(c2nnc(SCCCN3CCC4(CC4c4ccccc4)C3)[nH]2)CCN1</x:v>
      </x:c>
      <x:c r="Y81" s="14" t="str">
        <x:v>False</x:v>
      </x:c>
      <x:c r="Z81" s="17" t="n">
        <x:v>1</x:v>
      </x:c>
      <x:c r="AA81" s="14" t="str">
        <x:v>include</x:v>
      </x:c>
      <x:c r="AB81" s="14" t="str"/>
      <x:c r="AC81" s="14" t="str">
        <x:v>pKi</x:v>
      </x:c>
      <x:c r="AD81" s="14" t="str">
        <x:v>5.77</x:v>
      </x:c>
      <x:c r="AE81" s="14" t="str"/>
      <x:c r="AF81" s="14" t="str">
        <x:v>=</x:v>
      </x:c>
      <x:c r="AG81" s="14" t="str">
        <x:v>Ki</x:v>
      </x:c>
      <x:c r="AH81" s="15" t="n">
        <x:v>1698.24</x:v>
      </x:c>
      <x:c r="AI81" s="14" t="str">
        <x:v>nM</x:v>
      </x:c>
      <x:c r="AJ81" s="14" t="str">
        <x:v>=</x:v>
      </x:c>
      <x:c r="AK81" s="15" t="n">
        <x:v>5.77</x:v>
      </x:c>
      <x:c r="AL81" s="17" t="n">
        <x:v>0</x:v>
      </x:c>
      <x:c r="AM81" s="14" t="str"/>
      <x:c r="AN81" s="14" t="str"/>
      <x:c r="AO81" s="14" t="str">
        <x:v>https://www.ebi.ac.uk/chembl/api/data/activity/16670852.json</x:v>
      </x:c>
      <x:c r="AP81" s="14" t="str">
        <x:v>CN1CCC(c2nnc(SCCCN3CCC4(CC4c4ccc(C(F)(F)F)cc4)C3)n2C)CC1=O</x:v>
      </x:c>
      <x:c r="AQ81" s="14" t="str">
        <x:v>O=C1CC(c2nnc(SCCCN3CCC4(CC4c4ccccc4)C3)[nH]2)CCN1</x:v>
      </x:c>
      <x:c r="AR81" s="15" t="n">
        <x:v>507.6260000000002</x:v>
      </x:c>
      <x:c r="AS81" s="15" t="n">
        <x:v>4.531500000000004</x:v>
      </x:c>
      <x:c r="AT81" s="15" t="n">
        <x:v>54.260000000000005</x:v>
      </x:c>
      <x:c r="AU81" s="17" t="n">
        <x:v>0</x:v>
      </x:c>
      <x:c r="AV81" s="17" t="n">
        <x:v>5</x:v>
      </x:c>
      <x:c r="AW81" s="14" t="str">
        <x:v>train</x:v>
      </x:c>
      <x:c r="AX81" s="14" t="str">
        <x:v>source_reported_experimental_pKi</x:v>
      </x:c>
      <x:c r="AY81" s="15" t="n">
        <x:v>5.952388554869792</x:v>
      </x:c>
      <x:c r="AZ81" s="15" t="n">
        <x:v>6.149473684210526</x:v>
      </x:c>
      <x:c r="BA81" s="15" t="n">
        <x:v>-0.18238855486979233</x:v>
      </x:c>
      <x:c r="BB81" s="14" t="str">
        <x:v>False</x:v>
      </x:c>
      <x:c r="BC81" s="15" t="n">
        <x:v>0.7945205479452054</x:v>
      </x:c>
    </x:row>
  </x:sheetData>
  <x:pageMargins left="0.7" right="0.7" top="0.75" bottom="0.75" header="0.3" footer="0.3"/>
  <x:tableParts count="1">
    <x:tablePart xmlns:r="http://schemas.openxmlformats.org/officeDocument/2006/relationships" r:id="R4e384ded869d478a"/>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9" hidden="0" customWidth="1"/>
    <x:col min="2" max="2" width="20" hidden="0" customWidth="1"/>
    <x:col min="3" max="3" width="27" hidden="0" customWidth="1"/>
    <x:col min="4" max="4" width="17" hidden="0" customWidth="1"/>
    <x:col min="5" max="5" width="21" hidden="0" customWidth="1"/>
    <x:col min="6" max="6" width="17" hidden="0" customWidth="1"/>
    <x:col min="7" max="7" width="18" hidden="0" customWidth="1"/>
    <x:col min="8" max="8" width="20" hidden="0" customWidth="1"/>
    <x:col min="9" max="9" width="66" hidden="0" customWidth="1"/>
    <x:col min="10" max="10" width="66" hidden="0" customWidth="1"/>
    <x:col min="11" max="11" width="21" hidden="0" customWidth="1"/>
    <x:col min="12" max="12" width="20" hidden="0" customWidth="1"/>
    <x:col min="13" max="13" width="30" hidden="0" customWidth="1"/>
    <x:col min="14" max="14" width="20" hidden="0" customWidth="1"/>
    <x:col min="15" max="15" width="20" hidden="0" customWidth="1"/>
    <x:col min="16" max="16" width="28" hidden="0" customWidth="1"/>
    <x:col min="17" max="17" width="36" hidden="0" customWidth="1"/>
    <x:col min="18" max="18" width="25" hidden="0" customWidth="1"/>
    <x:col min="19" max="19" width="66" hidden="0" customWidth="1"/>
    <x:col min="20" max="20" width="66" hidden="0" customWidth="1"/>
    <x:col min="21" max="21" width="29" hidden="0" customWidth="1"/>
    <x:col min="22" max="22" width="66" hidden="0" customWidth="1"/>
    <x:col min="23" max="23" width="66" hidden="0" customWidth="1"/>
    <x:col min="24" max="24" width="60" hidden="0" customWidth="1"/>
    <x:col min="25" max="25" width="31" hidden="0" customWidth="1"/>
    <x:col min="26" max="26" width="34" hidden="0" customWidth="1"/>
    <x:col min="27" max="27" width="17" hidden="0" customWidth="1"/>
    <x:col min="28" max="28" width="19" hidden="0" customWidth="1"/>
    <x:col min="29" max="29" width="17" hidden="0" customWidth="1"/>
    <x:col min="30" max="30" width="17" hidden="0" customWidth="1"/>
    <x:col min="31" max="31" width="17" hidden="0" customWidth="1"/>
    <x:col min="32" max="32" width="19" hidden="0" customWidth="1"/>
    <x:col min="33" max="33" width="17" hidden="0" customWidth="1"/>
    <x:col min="34" max="34" width="20" hidden="0" customWidth="1"/>
    <x:col min="35" max="35" width="17" hidden="0" customWidth="1"/>
    <x:col min="36" max="36" width="19" hidden="0" customWidth="1"/>
    <x:col min="37" max="37" width="20" hidden="0" customWidth="1"/>
    <x:col min="38" max="38" width="21" hidden="0" customWidth="1"/>
    <x:col min="39" max="39" width="23" hidden="0" customWidth="1"/>
    <x:col min="40" max="40" width="18" hidden="0" customWidth="1"/>
    <x:col min="41" max="41" width="62" hidden="0" customWidth="1"/>
    <x:col min="42" max="42" width="66" hidden="0" customWidth="1"/>
    <x:col min="43" max="43" width="60" hidden="0" customWidth="1"/>
    <x:col min="44" max="44" width="20" hidden="0" customWidth="1"/>
    <x:col min="45" max="45" width="20" hidden="0" customWidth="1"/>
    <x:col min="46" max="46" width="20" hidden="0" customWidth="1"/>
    <x:col min="47" max="47" width="20" hidden="0" customWidth="1"/>
    <x:col min="48" max="48" width="20" hidden="0" customWidth="1"/>
    <x:col min="49" max="49" width="17" hidden="0" customWidth="1"/>
  </x:cols>
  <x:sheetData>
    <x:row r="1" ht="48" customHeight="1">
      <x:c r="A1" s="6" t="str">
        <x:v>compound_id</x:v>
      </x:c>
      <x:c r="B1" s="6" t="str">
        <x:v>molecule_chembl_id</x:v>
      </x:c>
      <x:c r="C1" s="6" t="str">
        <x:v>parent_molecule_chembl_id</x:v>
      </x:c>
      <x:c r="D1" s="6" t="str">
        <x:v>activity_id</x:v>
      </x:c>
      <x:c r="E1" s="6" t="str">
        <x:v>source_activity_ids</x:v>
      </x:c>
      <x:c r="F1" s="6" t="str">
        <x:v>assay_chembl_id</x:v>
      </x:c>
      <x:c r="G1" s="6" t="str">
        <x:v>target_chembl_id</x:v>
      </x:c>
      <x:c r="H1" s="6" t="str">
        <x:v>document_chembl_id</x:v>
      </x:c>
      <x:c r="I1" s="6" t="str">
        <x:v>canonical_smiles</x:v>
      </x:c>
      <x:c r="J1" s="6" t="str">
        <x:v>source_canonical_smiles</x:v>
      </x:c>
      <x:c r="K1" s="6" t="str">
        <x:v>label_origin</x:v>
      </x:c>
      <x:c r="L1" s="6" t="str">
        <x:v>pKi</x:v>
      </x:c>
      <x:c r="M1" s="6" t="str">
        <x:v>expected_Ki_nM_from_original</x:v>
      </x:c>
      <x:c r="N1" s="6" t="str">
        <x:v>standard_Ki_nM</x:v>
      </x:c>
      <x:c r="O1" s="6" t="str">
        <x:v>roundtrip_pKi</x:v>
      </x:c>
      <x:c r="P1" s="6" t="str">
        <x:v>roundtrip_minus_source_pKi</x:v>
      </x:c>
      <x:c r="Q1" s="6" t="str">
        <x:v>standard_Ki_nM_minus_original_conversion</x:v>
      </x:c>
      <x:c r="R1" s="6" t="str">
        <x:v>conversion_tolerance_nM</x:v>
      </x:c>
      <x:c r="S1" s="6" t="str">
        <x:v>parent_smiles</x:v>
      </x:c>
      <x:c r="T1" s="6" t="str">
        <x:v>parent_isomeric_smiles</x:v>
      </x:c>
      <x:c r="U1" s="6" t="str">
        <x:v>parent_inchikey</x:v>
      </x:c>
      <x:c r="V1" s="6" t="str">
        <x:v>parent_nonisomeric_smiles</x:v>
      </x:c>
      <x:c r="W1" s="6" t="str">
        <x:v>parent_connectivity_key</x:v>
      </x:c>
      <x:c r="X1" s="6" t="str">
        <x:v>scaffold_smiles</x:v>
      </x:c>
      <x:c r="Y1" s="6" t="str">
        <x:v>structure_changed_from_source</x:v>
      </x:c>
      <x:c r="Z1" s="6" t="str">
        <x:v>source_records_for_full_identity</x:v>
      </x:c>
      <x:c r="AA1" s="6" t="str">
        <x:v>decision</x:v>
      </x:c>
      <x:c r="AB1" s="6" t="str">
        <x:v>exclusion_reasons</x:v>
      </x:c>
      <x:c r="AC1" s="6" t="str">
        <x:v>original_type</x:v>
      </x:c>
      <x:c r="AD1" s="6" t="str">
        <x:v>original_value</x:v>
      </x:c>
      <x:c r="AE1" s="6" t="str">
        <x:v>original_units</x:v>
      </x:c>
      <x:c r="AF1" s="6" t="str">
        <x:v>original_relation</x:v>
      </x:c>
      <x:c r="AG1" s="6" t="str">
        <x:v>standard_type</x:v>
      </x:c>
      <x:c r="AH1" s="6" t="str">
        <x:v>standard_value</x:v>
      </x:c>
      <x:c r="AI1" s="6" t="str">
        <x:v>standard_units</x:v>
      </x:c>
      <x:c r="AJ1" s="6" t="str">
        <x:v>standard_relation</x:v>
      </x:c>
      <x:c r="AK1" s="6" t="str">
        <x:v>pchembl_value</x:v>
      </x:c>
      <x:c r="AL1" s="6" t="str">
        <x:v>potential_duplicate</x:v>
      </x:c>
      <x:c r="AM1" s="6" t="str">
        <x:v>data_validity_comment</x:v>
      </x:c>
      <x:c r="AN1" s="6" t="str">
        <x:v>activity_comment</x:v>
      </x:c>
      <x:c r="AO1" s="6" t="str">
        <x:v>source_activity_url</x:v>
      </x:c>
      <x:c r="AP1" s="6" t="str">
        <x:v>connectivity_key</x:v>
      </x:c>
      <x:c r="AQ1" s="6" t="str">
        <x:v>scaffold</x:v>
      </x:c>
      <x:c r="AR1" s="6" t="str">
        <x:v>MolWt</x:v>
      </x:c>
      <x:c r="AS1" s="6" t="str">
        <x:v>MolLogP</x:v>
      </x:c>
      <x:c r="AT1" s="6" t="str">
        <x:v>TPSA</x:v>
      </x:c>
      <x:c r="AU1" s="6" t="str">
        <x:v>NumHDonors</x:v>
      </x:c>
      <x:c r="AV1" s="6" t="str">
        <x:v>NumHAcceptors</x:v>
      </x:c>
      <x:c r="AW1" s="6" t="str">
        <x:v>split</x:v>
      </x:c>
    </x:row>
    <x:row r="2" ht="36" customHeight="1">
      <x:c r="A2" s="9" t="str">
        <x:v>OLWRVVHPJFLNPW-LSNLESRRSA-N</x:v>
      </x:c>
      <x:c r="B2" s="9" t="str">
        <x:v>CHEMBL85606</x:v>
      </x:c>
      <x:c r="C2" s="9" t="str">
        <x:v>CHEMBL85606</x:v>
      </x:c>
      <x:c r="D2" s="9" t="str">
        <x:v>16670133</x:v>
      </x:c>
      <x:c r="E2" s="9" t="str">
        <x:v>16670133</x:v>
      </x:c>
      <x:c r="F2" s="9" t="str">
        <x:v>CHEMBL3855278</x:v>
      </x:c>
      <x:c r="G2" s="9" t="str">
        <x:v>CHEMBL217</x:v>
      </x:c>
      <x:c r="H2" s="9" t="str">
        <x:v>CHEMBL3853329</x:v>
      </x:c>
      <x:c r="I2" s="9" t="str">
        <x:v>N#Cc1ccc2c(c1)CCN(CC[C@H]1CC[C@H](NC(=O)c3ccnc4ccccc34)CC1)C2</x:v>
      </x:c>
      <x:c r="J2" s="9" t="str">
        <x:v>N#Cc1ccc2c(c1)CCN(CC[C@H]1CC[C@H](NC(=O)c3ccnc4ccccc34)CC1)C2</x:v>
      </x:c>
      <x:c r="K2" s="9" t="str">
        <x:v>source_reported_pKi</x:v>
      </x:c>
      <x:c r="L2" s="11" t="n">
        <x:v>6.31</x:v>
      </x:c>
      <x:c r="M2" s="11" t="n">
        <x:v>489.77881936844665</x:v>
      </x:c>
      <x:c r="N2" s="11" t="n">
        <x:v>489.78</x:v>
      </x:c>
      <x:c r="O2" s="11" t="n">
        <x:v>6.309998953116937</x:v>
      </x:c>
      <x:c r="P2" s="12" t="n">
        <x:v>-0.000001046883062905124</x:v>
      </x:c>
      <x:c r="Q2" s="12" t="n">
        <x:v>0.001180631553324929</x:v>
      </x:c>
      <x:c r="R2" s="11" t="n">
        <x:v>0.00501</x:v>
      </x:c>
      <x:c r="S2" s="9" t="str">
        <x:v>N#Cc1ccc2c(c1)CCN(CC[C@H]1CC[C@H](NC(=O)c3ccnc4ccccc34)CC1)C2</x:v>
      </x:c>
      <x:c r="T2" s="9" t="str">
        <x:v>N#Cc1ccc2c(c1)CCN(CC[C@H]1CC[C@H](NC(=O)c3ccnc4ccccc34)CC1)C2</x:v>
      </x:c>
      <x:c r="U2" s="9" t="str">
        <x:v>OLWRVVHPJFLNPW-LSNLESRRSA-N</x:v>
      </x:c>
      <x:c r="V2" s="9" t="str">
        <x:v>N#Cc1ccc2c(c1)CCN(CCC1CCC(NC(=O)c3ccnc4ccccc34)CC1)C2</x:v>
      </x:c>
      <x:c r="W2" s="9" t="str">
        <x:v>12fb7de3da853f4c88ed5c3b3893f79b17e17e82d3ac4d87c1d80ae838dbb1b2</x:v>
      </x:c>
      <x:c r="X2" s="9" t="str">
        <x:v>O=C(NC1CCC(CCN2CCc3ccccc3C2)CC1)c1ccnc2ccccc12</x:v>
      </x:c>
      <x:c r="Y2" s="9" t="str">
        <x:v>False</x:v>
      </x:c>
      <x:c r="Z2" s="13" t="n">
        <x:v>1</x:v>
      </x:c>
      <x:c r="AA2" s="9" t="str">
        <x:v>include</x:v>
      </x:c>
      <x:c r="AB2" s="9" t="str"/>
      <x:c r="AC2" s="9" t="str">
        <x:v>pKi</x:v>
      </x:c>
      <x:c r="AD2" s="9" t="str">
        <x:v>6.31</x:v>
      </x:c>
      <x:c r="AE2" s="9" t="str"/>
      <x:c r="AF2" s="9" t="str">
        <x:v>=</x:v>
      </x:c>
      <x:c r="AG2" s="9" t="str">
        <x:v>Ki</x:v>
      </x:c>
      <x:c r="AH2" s="11" t="n">
        <x:v>489.78</x:v>
      </x:c>
      <x:c r="AI2" s="9" t="str">
        <x:v>nM</x:v>
      </x:c>
      <x:c r="AJ2" s="9" t="str">
        <x:v>=</x:v>
      </x:c>
      <x:c r="AK2" s="11" t="n">
        <x:v>6.31</x:v>
      </x:c>
      <x:c r="AL2" s="13" t="n">
        <x:v>0</x:v>
      </x:c>
      <x:c r="AM2" s="9" t="str"/>
      <x:c r="AN2" s="9" t="str"/>
      <x:c r="AO2" s="9" t="str">
        <x:v>https://www.ebi.ac.uk/chembl/api/data/activity/16670133.json</x:v>
      </x:c>
      <x:c r="AP2" s="9" t="str">
        <x:v>N#Cc1ccc2c(c1)CCN(CCC1CCC(NC(=O)c3ccnc4ccccc34)CC1)C2</x:v>
      </x:c>
      <x:c r="AQ2" s="9" t="str">
        <x:v>O=C(NC1CCC(CCN2CCc3ccccc3C2)CC1)c1ccnc2ccccc12</x:v>
      </x:c>
      <x:c r="AR2" s="11" t="n">
        <x:v>438.5750000000002</x:v>
      </x:c>
      <x:c r="AS2" s="11" t="n">
        <x:v>4.843480000000004</x:v>
      </x:c>
      <x:c r="AT2" s="11" t="n">
        <x:v>69.02000000000001</x:v>
      </x:c>
      <x:c r="AU2" s="13" t="n">
        <x:v>1</x:v>
      </x:c>
      <x:c r="AV2" s="13" t="n">
        <x:v>4</x:v>
      </x:c>
      <x:c r="AW2" s="9" t="str">
        <x:v>train</x:v>
      </x:c>
    </x:row>
    <x:row r="3" ht="36" customHeight="1">
      <x:c r="A3" s="14" t="str">
        <x:v>AAPXNHMQKBDDJN-XMSQKQJNSA-N</x:v>
      </x:c>
      <x:c r="B3" s="14" t="str">
        <x:v>CHEMBL3901211</x:v>
      </x:c>
      <x:c r="C3" s="14" t="str">
        <x:v>CHEMBL3901211</x:v>
      </x:c>
      <x:c r="D3" s="14" t="str">
        <x:v>16670136</x:v>
      </x:c>
      <x:c r="E3" s="14" t="str">
        <x:v>16670136</x:v>
      </x:c>
      <x:c r="F3" s="14" t="str">
        <x:v>CHEMBL3855278</x:v>
      </x:c>
      <x:c r="G3" s="14" t="str">
        <x:v>CHEMBL217</x:v>
      </x:c>
      <x:c r="H3" s="14" t="str">
        <x:v>CHEMBL3853329</x:v>
      </x:c>
      <x:c r="I3" s="14" t="str">
        <x:v>Cc1ncoc1-c1nnc(SCCCN2CC[C@@]3(C[C@@H]3c3ccccc3)C2)n1C</x:v>
      </x:c>
      <x:c r="J3" s="14" t="str">
        <x:v>Cc1ncoc1-c1nnc(SCCCN2CC[C@@]3(C[C@@H]3c3ccccc3)C2)n1C</x:v>
      </x:c>
      <x:c r="K3" s="14" t="str">
        <x:v>source_reported_pKi</x:v>
      </x:c>
      <x:c r="L3" s="15" t="n">
        <x:v>6.15</x:v>
      </x:c>
      <x:c r="M3" s="15" t="n">
        <x:v>707.9457843841374</x:v>
      </x:c>
      <x:c r="N3" s="15" t="n">
        <x:v>707.95</x:v>
      </x:c>
      <x:c r="O3" s="15" t="n">
        <x:v>6.149997413907538</x:v>
      </x:c>
      <x:c r="P3" s="16" t="n">
        <x:v>-0.0000025860924619536263</x:v>
      </x:c>
      <x:c r="Q3" s="16" t="n">
        <x:v>0.004215615862676714</x:v>
      </x:c>
      <x:c r="R3" s="15" t="n">
        <x:v>0.00501</x:v>
      </x:c>
      <x:c r="S3" s="14" t="str">
        <x:v>Cc1ncoc1-c1nnc(SCCCN2CC[C@@]3(C[C@@H]3c3ccccc3)C2)n1C</x:v>
      </x:c>
      <x:c r="T3" s="14" t="str">
        <x:v>Cc1ncoc1-c1nnc(SCCCN2CC[C@@]3(C[C@@H]3c3ccccc3)C2)n1C</x:v>
      </x:c>
      <x:c r="U3" s="14" t="str">
        <x:v>AAPXNHMQKBDDJN-XMSQKQJNSA-N</x:v>
      </x:c>
      <x:c r="V3" s="14" t="str">
        <x:v>Cc1ncoc1-c1nnc(SCCCN2CCC3(CC3c3ccccc3)C2)n1C</x:v>
      </x:c>
      <x:c r="W3" s="14" t="str">
        <x:v>5f5097a99ca905252039130a837b04ee6e5d355221accf984a4fc65edd2b7538</x:v>
      </x:c>
      <x:c r="X3" s="14" t="str">
        <x:v>c1ccc(C2CC23CCN(CCCSc2nnc(-c4cnco4)[nH]2)C3)cc1</x:v>
      </x:c>
      <x:c r="Y3" s="14" t="str">
        <x:v>False</x:v>
      </x:c>
      <x:c r="Z3" s="17" t="n">
        <x:v>1</x:v>
      </x:c>
      <x:c r="AA3" s="14" t="str">
        <x:v>include</x:v>
      </x:c>
      <x:c r="AB3" s="14" t="str"/>
      <x:c r="AC3" s="14" t="str">
        <x:v>pKi</x:v>
      </x:c>
      <x:c r="AD3" s="14" t="str">
        <x:v>6.15</x:v>
      </x:c>
      <x:c r="AE3" s="14" t="str"/>
      <x:c r="AF3" s="14" t="str">
        <x:v>=</x:v>
      </x:c>
      <x:c r="AG3" s="14" t="str">
        <x:v>Ki</x:v>
      </x:c>
      <x:c r="AH3" s="15" t="n">
        <x:v>707.95</x:v>
      </x:c>
      <x:c r="AI3" s="14" t="str">
        <x:v>nM</x:v>
      </x:c>
      <x:c r="AJ3" s="14" t="str">
        <x:v>=</x:v>
      </x:c>
      <x:c r="AK3" s="15" t="n">
        <x:v>6.15</x:v>
      </x:c>
      <x:c r="AL3" s="17" t="n">
        <x:v>0</x:v>
      </x:c>
      <x:c r="AM3" s="14" t="str"/>
      <x:c r="AN3" s="14" t="str"/>
      <x:c r="AO3" s="14" t="str">
        <x:v>https://www.ebi.ac.uk/chembl/api/data/activity/16670136.json</x:v>
      </x:c>
      <x:c r="AP3" s="14" t="str">
        <x:v>Cc1ncoc1-c1nnc(SCCCN2CCC3(CC3c3ccccc3)C2)n1C</x:v>
      </x:c>
      <x:c r="AQ3" s="14" t="str">
        <x:v>c1ccc(C2CC23CCN(CCCSc2nnc(-c4cnco4)[nH]2)C3)cc1</x:v>
      </x:c>
      <x:c r="AR3" s="15" t="n">
        <x:v>409.55900000000014</x:v>
      </x:c>
      <x:c r="AS3" s="15" t="n">
        <x:v>4.140320000000003</x:v>
      </x:c>
      <x:c r="AT3" s="15" t="n">
        <x:v>59.980000000000004</x:v>
      </x:c>
      <x:c r="AU3" s="17" t="n">
        <x:v>0</x:v>
      </x:c>
      <x:c r="AV3" s="17" t="n">
        <x:v>6</x:v>
      </x:c>
      <x:c r="AW3" s="14" t="str">
        <x:v>test</x:v>
      </x:c>
    </x:row>
    <x:row r="4" ht="36" customHeight="1">
      <x:c r="A4" s="9" t="str">
        <x:v>AAPXNHMQKBDDJN-PGRDOPGGSA-N</x:v>
      </x:c>
      <x:c r="B4" s="9" t="str">
        <x:v>CHEMBL3983937</x:v>
      </x:c>
      <x:c r="C4" s="9" t="str">
        <x:v>CHEMBL3983937</x:v>
      </x:c>
      <x:c r="D4" s="9" t="str">
        <x:v>16670139</x:v>
      </x:c>
      <x:c r="E4" s="9" t="str">
        <x:v>16670139</x:v>
      </x:c>
      <x:c r="F4" s="9" t="str">
        <x:v>CHEMBL3855278</x:v>
      </x:c>
      <x:c r="G4" s="9" t="str">
        <x:v>CHEMBL217</x:v>
      </x:c>
      <x:c r="H4" s="9" t="str">
        <x:v>CHEMBL3853329</x:v>
      </x:c>
      <x:c r="I4" s="9" t="str">
        <x:v>Cc1ncoc1-c1nnc(SCCCN2CC[C@@]3(C[C@H]3c3ccccc3)C2)n1C</x:v>
      </x:c>
      <x:c r="J4" s="9" t="str">
        <x:v>Cc1ncoc1-c1nnc(SCCCN2CC[C@@]3(C[C@H]3c3ccccc3)C2)n1C</x:v>
      </x:c>
      <x:c r="K4" s="9" t="str">
        <x:v>source_reported_pKi</x:v>
      </x:c>
      <x:c r="L4" s="11" t="n">
        <x:v>6.1</x:v>
      </x:c>
      <x:c r="M4" s="11" t="n">
        <x:v>794.3282347242822</x:v>
      </x:c>
      <x:c r="N4" s="11" t="n">
        <x:v>794.33</x:v>
      </x:c>
      <x:c r="O4" s="11" t="n">
        <x:v>6.0999990348465305</x:v>
      </x:c>
      <x:c r="P4" s="12" t="n">
        <x:v>-9.651534691457186e-7</x:v>
      </x:c>
      <x:c r="Q4" s="12" t="n">
        <x:v>0.001765275717843906</x:v>
      </x:c>
      <x:c r="R4" s="11" t="n">
        <x:v>0.00501</x:v>
      </x:c>
      <x:c r="S4" s="9" t="str">
        <x:v>Cc1ncoc1-c1nnc(SCCCN2CC[C@@]3(C[C@H]3c3ccccc3)C2)n1C</x:v>
      </x:c>
      <x:c r="T4" s="9" t="str">
        <x:v>Cc1ncoc1-c1nnc(SCCCN2CC[C@@]3(C[C@H]3c3ccccc3)C2)n1C</x:v>
      </x:c>
      <x:c r="U4" s="9" t="str">
        <x:v>AAPXNHMQKBDDJN-PGRDOPGGSA-N</x:v>
      </x:c>
      <x:c r="V4" s="9" t="str">
        <x:v>Cc1ncoc1-c1nnc(SCCCN2CCC3(CC3c3ccccc3)C2)n1C</x:v>
      </x:c>
      <x:c r="W4" s="9" t="str">
        <x:v>5f5097a99ca905252039130a837b04ee6e5d355221accf984a4fc65edd2b7538</x:v>
      </x:c>
      <x:c r="X4" s="9" t="str">
        <x:v>c1ccc(C2CC23CCN(CCCSc2nnc(-c4cnco4)[nH]2)C3)cc1</x:v>
      </x:c>
      <x:c r="Y4" s="9" t="str">
        <x:v>False</x:v>
      </x:c>
      <x:c r="Z4" s="13" t="n">
        <x:v>1</x:v>
      </x:c>
      <x:c r="AA4" s="9" t="str">
        <x:v>include</x:v>
      </x:c>
      <x:c r="AB4" s="9" t="str"/>
      <x:c r="AC4" s="9" t="str">
        <x:v>pKi</x:v>
      </x:c>
      <x:c r="AD4" s="9" t="str">
        <x:v>6.1</x:v>
      </x:c>
      <x:c r="AE4" s="9" t="str"/>
      <x:c r="AF4" s="9" t="str">
        <x:v>=</x:v>
      </x:c>
      <x:c r="AG4" s="9" t="str">
        <x:v>Ki</x:v>
      </x:c>
      <x:c r="AH4" s="11" t="n">
        <x:v>794.33</x:v>
      </x:c>
      <x:c r="AI4" s="9" t="str">
        <x:v>nM</x:v>
      </x:c>
      <x:c r="AJ4" s="9" t="str">
        <x:v>=</x:v>
      </x:c>
      <x:c r="AK4" s="11" t="n">
        <x:v>6.1</x:v>
      </x:c>
      <x:c r="AL4" s="13" t="n">
        <x:v>0</x:v>
      </x:c>
      <x:c r="AM4" s="9" t="str"/>
      <x:c r="AN4" s="9" t="str"/>
      <x:c r="AO4" s="9" t="str">
        <x:v>https://www.ebi.ac.uk/chembl/api/data/activity/16670139.json</x:v>
      </x:c>
      <x:c r="AP4" s="9" t="str">
        <x:v>Cc1ncoc1-c1nnc(SCCCN2CCC3(CC3c3ccccc3)C2)n1C</x:v>
      </x:c>
      <x:c r="AQ4" s="9" t="str">
        <x:v>c1ccc(C2CC23CCN(CCCSc2nnc(-c4cnco4)[nH]2)C3)cc1</x:v>
      </x:c>
      <x:c r="AR4" s="11" t="n">
        <x:v>409.55900000000014</x:v>
      </x:c>
      <x:c r="AS4" s="11" t="n">
        <x:v>4.140320000000003</x:v>
      </x:c>
      <x:c r="AT4" s="11" t="n">
        <x:v>59.980000000000004</x:v>
      </x:c>
      <x:c r="AU4" s="13" t="n">
        <x:v>0</x:v>
      </x:c>
      <x:c r="AV4" s="13" t="n">
        <x:v>6</x:v>
      </x:c>
      <x:c r="AW4" s="9" t="str">
        <x:v>test</x:v>
      </x:c>
    </x:row>
    <x:row r="5" ht="36" customHeight="1">
      <x:c r="A5" s="14" t="str">
        <x:v>MNAFRWGRFIBAQX-XMSQKQJNSA-N</x:v>
      </x:c>
      <x:c r="B5" s="14" t="str">
        <x:v>CHEMBL3944642</x:v>
      </x:c>
      <x:c r="C5" s="14" t="str">
        <x:v>CHEMBL3944642</x:v>
      </x:c>
      <x:c r="D5" s="14" t="str">
        <x:v>16670142</x:v>
      </x:c>
      <x:c r="E5" s="14" t="str">
        <x:v>16670142</x:v>
      </x:c>
      <x:c r="F5" s="14" t="str">
        <x:v>CHEMBL3855278</x:v>
      </x:c>
      <x:c r="G5" s="14" t="str">
        <x:v>CHEMBL217</x:v>
      </x:c>
      <x:c r="H5" s="14" t="str">
        <x:v>CHEMBL3853329</x:v>
      </x:c>
      <x:c r="I5" s="14" t="str">
        <x:v>Cc1ncoc1-c1nnc(SCCCN2CC[C@@]3(C[C@@H]3c3ccc(C(F)(F)F)cc3)C2)n1C</x:v>
      </x:c>
      <x:c r="J5" s="14" t="str">
        <x:v>Cc1ncoc1-c1nnc(SCCCN2CC[C@@]3(C[C@@H]3c3ccc(C(F)(F)F)cc3)C2)n1C</x:v>
      </x:c>
      <x:c r="K5" s="14" t="str">
        <x:v>source_reported_pKi</x:v>
      </x:c>
      <x:c r="L5" s="15" t="n">
        <x:v>6.2</x:v>
      </x:c>
      <x:c r="M5" s="15" t="n">
        <x:v>630.957344480193</x:v>
      </x:c>
      <x:c r="N5" s="15" t="n">
        <x:v>630.96</x:v>
      </x:c>
      <x:c r="O5" s="15" t="n">
        <x:v>6.199998172182031</x:v>
      </x:c>
      <x:c r="P5" s="16" t="n">
        <x:v>-0.0000018278179689801277</x:v>
      </x:c>
      <x:c r="Q5" s="16" t="n">
        <x:v>0.002655519807035489</x:v>
      </x:c>
      <x:c r="R5" s="15" t="n">
        <x:v>0.00501</x:v>
      </x:c>
      <x:c r="S5" s="14" t="str">
        <x:v>Cc1ncoc1-c1nnc(SCCCN2CC[C@@]3(C[C@@H]3c3ccc(C(F)(F)F)cc3)C2)n1C</x:v>
      </x:c>
      <x:c r="T5" s="14" t="str">
        <x:v>Cc1ncoc1-c1nnc(SCCCN2CC[C@@]3(C[C@@H]3c3ccc(C(F)(F)F)cc3)C2)n1C</x:v>
      </x:c>
      <x:c r="U5" s="14" t="str">
        <x:v>MNAFRWGRFIBAQX-XMSQKQJNSA-N</x:v>
      </x:c>
      <x:c r="V5" s="14" t="str">
        <x:v>Cc1ncoc1-c1nnc(SCCCN2CCC3(CC3c3ccc(C(F)(F)F)cc3)C2)n1C</x:v>
      </x:c>
      <x:c r="W5" s="14" t="str">
        <x:v>e3a2c9462c470a8faba1f80f0df7030c9cff4d7388916c3868b2ea7a12536c64</x:v>
      </x:c>
      <x:c r="X5" s="14" t="str">
        <x:v>c1ccc(C2CC23CCN(CCCSc2nnc(-c4cnco4)[nH]2)C3)cc1</x:v>
      </x:c>
      <x:c r="Y5" s="14" t="str">
        <x:v>False</x:v>
      </x:c>
      <x:c r="Z5" s="17" t="n">
        <x:v>1</x:v>
      </x:c>
      <x:c r="AA5" s="14" t="str">
        <x:v>include</x:v>
      </x:c>
      <x:c r="AB5" s="14" t="str"/>
      <x:c r="AC5" s="14" t="str">
        <x:v>pKi</x:v>
      </x:c>
      <x:c r="AD5" s="14" t="str">
        <x:v>6.2</x:v>
      </x:c>
      <x:c r="AE5" s="14" t="str"/>
      <x:c r="AF5" s="14" t="str">
        <x:v>=</x:v>
      </x:c>
      <x:c r="AG5" s="14" t="str">
        <x:v>Ki</x:v>
      </x:c>
      <x:c r="AH5" s="15" t="n">
        <x:v>630.96</x:v>
      </x:c>
      <x:c r="AI5" s="14" t="str">
        <x:v>nM</x:v>
      </x:c>
      <x:c r="AJ5" s="14" t="str">
        <x:v>=</x:v>
      </x:c>
      <x:c r="AK5" s="15" t="n">
        <x:v>6.2</x:v>
      </x:c>
      <x:c r="AL5" s="17" t="n">
        <x:v>0</x:v>
      </x:c>
      <x:c r="AM5" s="14" t="str"/>
      <x:c r="AN5" s="14" t="str"/>
      <x:c r="AO5" s="14" t="str">
        <x:v>https://www.ebi.ac.uk/chembl/api/data/activity/16670142.json</x:v>
      </x:c>
      <x:c r="AP5" s="14" t="str">
        <x:v>Cc1ncoc1-c1nnc(SCCCN2CCC3(CC3c3ccc(C(F)(F)F)cc3)C2)n1C</x:v>
      </x:c>
      <x:c r="AQ5" s="14" t="str">
        <x:v>c1ccc(C2CC23CCN(CCCSc2nnc(-c4cnco4)[nH]2)C3)cc1</x:v>
      </x:c>
      <x:c r="AR5" s="15" t="n">
        <x:v>477.55600000000015</x:v>
      </x:c>
      <x:c r="AS5" s="15" t="n">
        <x:v>5.159120000000005</x:v>
      </x:c>
      <x:c r="AT5" s="15" t="n">
        <x:v>59.980000000000004</x:v>
      </x:c>
      <x:c r="AU5" s="17" t="n">
        <x:v>0</x:v>
      </x:c>
      <x:c r="AV5" s="17" t="n">
        <x:v>6</x:v>
      </x:c>
      <x:c r="AW5" s="14" t="str">
        <x:v>test</x:v>
      </x:c>
    </x:row>
    <x:row r="6" ht="36" customHeight="1">
      <x:c r="A6" s="9" t="str">
        <x:v>KLQDZSYTMPJBBU-DYESRHJHSA-N</x:v>
      </x:c>
      <x:c r="B6" s="9" t="str">
        <x:v>CHEMBL3953365</x:v>
      </x:c>
      <x:c r="C6" s="9" t="str">
        <x:v>CHEMBL3953365</x:v>
      </x:c>
      <x:c r="D6" s="9" t="str">
        <x:v>16670148</x:v>
      </x:c>
      <x:c r="E6" s="9" t="str">
        <x:v>16670148</x:v>
      </x:c>
      <x:c r="F6" s="9" t="str">
        <x:v>CHEMBL3855278</x:v>
      </x:c>
      <x:c r="G6" s="9" t="str">
        <x:v>CHEMBL217</x:v>
      </x:c>
      <x:c r="H6" s="9" t="str">
        <x:v>CHEMBL3853329</x:v>
      </x:c>
      <x:c r="I6" s="9" t="str">
        <x:v>Cc1ncoc1-c1nnc(SCCN2CC[C@@]3(C[C@@H]3c3ccc(C(F)(F)F)cc3)C2)n1C</x:v>
      </x:c>
      <x:c r="J6" s="9" t="str">
        <x:v>Cc1ncoc1-c1nnc(SCCN2CC[C@@]3(C[C@@H]3c3ccc(C(F)(F)F)cc3)C2)n1C</x:v>
      </x:c>
      <x:c r="K6" s="9" t="str">
        <x:v>source_reported_pKi</x:v>
      </x:c>
      <x:c r="L6" s="11" t="n">
        <x:v>6.1</x:v>
      </x:c>
      <x:c r="M6" s="11" t="n">
        <x:v>794.3282347242822</x:v>
      </x:c>
      <x:c r="N6" s="11" t="n">
        <x:v>794.33</x:v>
      </x:c>
      <x:c r="O6" s="11" t="n">
        <x:v>6.0999990348465305</x:v>
      </x:c>
      <x:c r="P6" s="12" t="n">
        <x:v>-9.651534691457186e-7</x:v>
      </x:c>
      <x:c r="Q6" s="12" t="n">
        <x:v>0.001765275717843906</x:v>
      </x:c>
      <x:c r="R6" s="11" t="n">
        <x:v>0.00501</x:v>
      </x:c>
      <x:c r="S6" s="9" t="str">
        <x:v>Cc1ncoc1-c1nnc(SCCN2CC[C@@]3(C[C@@H]3c3ccc(C(F)(F)F)cc3)C2)n1C</x:v>
      </x:c>
      <x:c r="T6" s="9" t="str">
        <x:v>Cc1ncoc1-c1nnc(SCCN2CC[C@@]3(C[C@@H]3c3ccc(C(F)(F)F)cc3)C2)n1C</x:v>
      </x:c>
      <x:c r="U6" s="9" t="str">
        <x:v>KLQDZSYTMPJBBU-DYESRHJHSA-N</x:v>
      </x:c>
      <x:c r="V6" s="9" t="str">
        <x:v>Cc1ncoc1-c1nnc(SCCN2CCC3(CC3c3ccc(C(F)(F)F)cc3)C2)n1C</x:v>
      </x:c>
      <x:c r="W6" s="9" t="str">
        <x:v>bbd50de4d018dd84edd1132e29be4a6288b1afe6b09fdc0525ff1bd782c8c725</x:v>
      </x:c>
      <x:c r="X6" s="9" t="str">
        <x:v>c1ccc(C2CC23CCN(CCSc2nnc(-c4cnco4)[nH]2)C3)cc1</x:v>
      </x:c>
      <x:c r="Y6" s="9" t="str">
        <x:v>False</x:v>
      </x:c>
      <x:c r="Z6" s="13" t="n">
        <x:v>1</x:v>
      </x:c>
      <x:c r="AA6" s="9" t="str">
        <x:v>include</x:v>
      </x:c>
      <x:c r="AB6" s="9" t="str"/>
      <x:c r="AC6" s="9" t="str">
        <x:v>pKi</x:v>
      </x:c>
      <x:c r="AD6" s="9" t="str">
        <x:v>6.1</x:v>
      </x:c>
      <x:c r="AE6" s="9" t="str"/>
      <x:c r="AF6" s="9" t="str">
        <x:v>=</x:v>
      </x:c>
      <x:c r="AG6" s="9" t="str">
        <x:v>Ki</x:v>
      </x:c>
      <x:c r="AH6" s="11" t="n">
        <x:v>794.33</x:v>
      </x:c>
      <x:c r="AI6" s="9" t="str">
        <x:v>nM</x:v>
      </x:c>
      <x:c r="AJ6" s="9" t="str">
        <x:v>=</x:v>
      </x:c>
      <x:c r="AK6" s="11" t="n">
        <x:v>6.1</x:v>
      </x:c>
      <x:c r="AL6" s="13" t="n">
        <x:v>0</x:v>
      </x:c>
      <x:c r="AM6" s="9" t="str"/>
      <x:c r="AN6" s="9" t="str"/>
      <x:c r="AO6" s="9" t="str">
        <x:v>https://www.ebi.ac.uk/chembl/api/data/activity/16670148.json</x:v>
      </x:c>
      <x:c r="AP6" s="9" t="str">
        <x:v>Cc1ncoc1-c1nnc(SCCN2CCC3(CC3c3ccc(C(F)(F)F)cc3)C2)n1C</x:v>
      </x:c>
      <x:c r="AQ6" s="9" t="str">
        <x:v>c1ccc(C2CC23CCN(CCSc2nnc(-c4cnco4)[nH]2)C3)cc1</x:v>
      </x:c>
      <x:c r="AR6" s="11" t="n">
        <x:v>463.5290000000001</x:v>
      </x:c>
      <x:c r="AS6" s="11" t="n">
        <x:v>4.769020000000005</x:v>
      </x:c>
      <x:c r="AT6" s="11" t="n">
        <x:v>59.980000000000004</x:v>
      </x:c>
      <x:c r="AU6" s="13" t="n">
        <x:v>0</x:v>
      </x:c>
      <x:c r="AV6" s="13" t="n">
        <x:v>6</x:v>
      </x:c>
      <x:c r="AW6" s="9" t="str">
        <x:v>train</x:v>
      </x:c>
    </x:row>
    <x:row r="7" ht="36" customHeight="1">
      <x:c r="A7" s="14" t="str">
        <x:v>KLQDZSYTMPJBBU-UTKZUKDTSA-N</x:v>
      </x:c>
      <x:c r="B7" s="14" t="str">
        <x:v>CHEMBL3936812</x:v>
      </x:c>
      <x:c r="C7" s="14" t="str">
        <x:v>CHEMBL3936812</x:v>
      </x:c>
      <x:c r="D7" s="14" t="str">
        <x:v>16670149</x:v>
      </x:c>
      <x:c r="E7" s="14" t="str">
        <x:v>16670149</x:v>
      </x:c>
      <x:c r="F7" s="14" t="str">
        <x:v>CHEMBL3855278</x:v>
      </x:c>
      <x:c r="G7" s="14" t="str">
        <x:v>CHEMBL217</x:v>
      </x:c>
      <x:c r="H7" s="14" t="str">
        <x:v>CHEMBL3853329</x:v>
      </x:c>
      <x:c r="I7" s="14" t="str">
        <x:v>Cc1ncoc1-c1nnc(SCCN2CC[C@]3(C[C@@H]3c3ccc(C(F)(F)F)cc3)C2)n1C</x:v>
      </x:c>
      <x:c r="J7" s="14" t="str">
        <x:v>Cc1ncoc1-c1nnc(SCCN2CC[C@]3(C[C@@H]3c3ccc(C(F)(F)F)cc3)C2)n1C</x:v>
      </x:c>
      <x:c r="K7" s="14" t="str">
        <x:v>source_reported_pKi</x:v>
      </x:c>
      <x:c r="L7" s="15" t="n">
        <x:v>6.28</x:v>
      </x:c>
      <x:c r="M7" s="15" t="n">
        <x:v>524.8074602497722</x:v>
      </x:c>
      <x:c r="N7" s="15" t="n">
        <x:v>524.81</x:v>
      </x:c>
      <x:c r="O7" s="15" t="n">
        <x:v>6.279997898282849</x:v>
      </x:c>
      <x:c r="P7" s="16" t="n">
        <x:v>-0.0000021017171514259303</x:v>
      </x:c>
      <x:c r="Q7" s="16" t="n">
        <x:v>0.0025397502276973682</x:v>
      </x:c>
      <x:c r="R7" s="15" t="n">
        <x:v>0.00501</x:v>
      </x:c>
      <x:c r="S7" s="14" t="str">
        <x:v>Cc1ncoc1-c1nnc(SCCN2CC[C@]3(C[C@@H]3c3ccc(C(F)(F)F)cc3)C2)n1C</x:v>
      </x:c>
      <x:c r="T7" s="14" t="str">
        <x:v>Cc1ncoc1-c1nnc(SCCN2CC[C@]3(C[C@@H]3c3ccc(C(F)(F)F)cc3)C2)n1C</x:v>
      </x:c>
      <x:c r="U7" s="14" t="str">
        <x:v>KLQDZSYTMPJBBU-UTKZUKDTSA-N</x:v>
      </x:c>
      <x:c r="V7" s="14" t="str">
        <x:v>Cc1ncoc1-c1nnc(SCCN2CCC3(CC3c3ccc(C(F)(F)F)cc3)C2)n1C</x:v>
      </x:c>
      <x:c r="W7" s="14" t="str">
        <x:v>bbd50de4d018dd84edd1132e29be4a6288b1afe6b09fdc0525ff1bd782c8c725</x:v>
      </x:c>
      <x:c r="X7" s="14" t="str">
        <x:v>c1ccc(C2CC23CCN(CCSc2nnc(-c4cnco4)[nH]2)C3)cc1</x:v>
      </x:c>
      <x:c r="Y7" s="14" t="str">
        <x:v>False</x:v>
      </x:c>
      <x:c r="Z7" s="17" t="n">
        <x:v>1</x:v>
      </x:c>
      <x:c r="AA7" s="14" t="str">
        <x:v>include</x:v>
      </x:c>
      <x:c r="AB7" s="14" t="str"/>
      <x:c r="AC7" s="14" t="str">
        <x:v>pKi</x:v>
      </x:c>
      <x:c r="AD7" s="14" t="str">
        <x:v>6.28</x:v>
      </x:c>
      <x:c r="AE7" s="14" t="str"/>
      <x:c r="AF7" s="14" t="str">
        <x:v>=</x:v>
      </x:c>
      <x:c r="AG7" s="14" t="str">
        <x:v>Ki</x:v>
      </x:c>
      <x:c r="AH7" s="15" t="n">
        <x:v>524.81</x:v>
      </x:c>
      <x:c r="AI7" s="14" t="str">
        <x:v>nM</x:v>
      </x:c>
      <x:c r="AJ7" s="14" t="str">
        <x:v>=</x:v>
      </x:c>
      <x:c r="AK7" s="15" t="n">
        <x:v>6.28</x:v>
      </x:c>
      <x:c r="AL7" s="17" t="n">
        <x:v>0</x:v>
      </x:c>
      <x:c r="AM7" s="14" t="str"/>
      <x:c r="AN7" s="14" t="str"/>
      <x:c r="AO7" s="14" t="str">
        <x:v>https://www.ebi.ac.uk/chembl/api/data/activity/16670149.json</x:v>
      </x:c>
      <x:c r="AP7" s="14" t="str">
        <x:v>Cc1ncoc1-c1nnc(SCCN2CCC3(CC3c3ccc(C(F)(F)F)cc3)C2)n1C</x:v>
      </x:c>
      <x:c r="AQ7" s="14" t="str">
        <x:v>c1ccc(C2CC23CCN(CCSc2nnc(-c4cnco4)[nH]2)C3)cc1</x:v>
      </x:c>
      <x:c r="AR7" s="15" t="n">
        <x:v>463.5290000000001</x:v>
      </x:c>
      <x:c r="AS7" s="15" t="n">
        <x:v>4.769020000000005</x:v>
      </x:c>
      <x:c r="AT7" s="15" t="n">
        <x:v>59.980000000000004</x:v>
      </x:c>
      <x:c r="AU7" s="17" t="n">
        <x:v>0</x:v>
      </x:c>
      <x:c r="AV7" s="17" t="n">
        <x:v>6</x:v>
      </x:c>
      <x:c r="AW7" s="14" t="str">
        <x:v>train</x:v>
      </x:c>
    </x:row>
    <x:row r="8" ht="36" customHeight="1">
      <x:c r="A8" s="9" t="str">
        <x:v>NLRLHXJCWYCRGC-XXBNENTESA-N</x:v>
      </x:c>
      <x:c r="B8" s="9" t="str">
        <x:v>CHEMBL3908862</x:v>
      </x:c>
      <x:c r="C8" s="9" t="str">
        <x:v>CHEMBL3908862</x:v>
      </x:c>
      <x:c r="D8" s="9" t="str">
        <x:v>16670150</x:v>
      </x:c>
      <x:c r="E8" s="9" t="str">
        <x:v>16670150</x:v>
      </x:c>
      <x:c r="F8" s="9" t="str">
        <x:v>CHEMBL3855278</x:v>
      </x:c>
      <x:c r="G8" s="9" t="str">
        <x:v>CHEMBL217</x:v>
      </x:c>
      <x:c r="H8" s="9" t="str">
        <x:v>CHEMBL3853329</x:v>
      </x:c>
      <x:c r="I8" s="9" t="str">
        <x:v>Cc1ncoc1-c1nnc(SCCCCN2CC[C@]3(C[C@@H]3c3ccc(C(F)(F)F)cc3)C2)n1C</x:v>
      </x:c>
      <x:c r="J8" s="9" t="str">
        <x:v>Cc1ncoc1-c1nnc(SCCCCN2CC[C@]3(C[C@@H]3c3ccc(C(F)(F)F)cc3)C2)n1C</x:v>
      </x:c>
      <x:c r="K8" s="9" t="str">
        <x:v>source_reported_pKi</x:v>
      </x:c>
      <x:c r="L8" s="11" t="n">
        <x:v>6.01</x:v>
      </x:c>
      <x:c r="M8" s="11" t="n">
        <x:v>977.2372209558112</x:v>
      </x:c>
      <x:c r="N8" s="11" t="n">
        <x:v>977.24</x:v>
      </x:c>
      <x:c r="O8" s="11" t="n">
        <x:v>6.009998764965339</x:v>
      </x:c>
      <x:c r="P8" s="12" t="n">
        <x:v>-0.0000012350346612066687</x:v>
      </x:c>
      <x:c r="Q8" s="12" t="n">
        <x:v>0.0027790441888555506</x:v>
      </x:c>
      <x:c r="R8" s="11" t="n">
        <x:v>0.00501</x:v>
      </x:c>
      <x:c r="S8" s="9" t="str">
        <x:v>Cc1ncoc1-c1nnc(SCCCCN2CC[C@]3(C[C@@H]3c3ccc(C(F)(F)F)cc3)C2)n1C</x:v>
      </x:c>
      <x:c r="T8" s="9" t="str">
        <x:v>Cc1ncoc1-c1nnc(SCCCCN2CC[C@]3(C[C@@H]3c3ccc(C(F)(F)F)cc3)C2)n1C</x:v>
      </x:c>
      <x:c r="U8" s="9" t="str">
        <x:v>NLRLHXJCWYCRGC-XXBNENTESA-N</x:v>
      </x:c>
      <x:c r="V8" s="9" t="str">
        <x:v>Cc1ncoc1-c1nnc(SCCCCN2CCC3(CC3c3ccc(C(F)(F)F)cc3)C2)n1C</x:v>
      </x:c>
      <x:c r="W8" s="9" t="str">
        <x:v>cf55bd8242637111ac1412246135c5587ce155437f47e4f4b244ada77f1a0056</x:v>
      </x:c>
      <x:c r="X8" s="9" t="str">
        <x:v>c1ccc(C2CC23CCN(CCCCSc2nnc(-c4cnco4)[nH]2)C3)cc1</x:v>
      </x:c>
      <x:c r="Y8" s="9" t="str">
        <x:v>False</x:v>
      </x:c>
      <x:c r="Z8" s="13" t="n">
        <x:v>1</x:v>
      </x:c>
      <x:c r="AA8" s="9" t="str">
        <x:v>include</x:v>
      </x:c>
      <x:c r="AB8" s="9" t="str"/>
      <x:c r="AC8" s="9" t="str">
        <x:v>pKi</x:v>
      </x:c>
      <x:c r="AD8" s="9" t="str">
        <x:v>6.01</x:v>
      </x:c>
      <x:c r="AE8" s="9" t="str"/>
      <x:c r="AF8" s="9" t="str">
        <x:v>=</x:v>
      </x:c>
      <x:c r="AG8" s="9" t="str">
        <x:v>Ki</x:v>
      </x:c>
      <x:c r="AH8" s="11" t="n">
        <x:v>977.24</x:v>
      </x:c>
      <x:c r="AI8" s="9" t="str">
        <x:v>nM</x:v>
      </x:c>
      <x:c r="AJ8" s="9" t="str">
        <x:v>=</x:v>
      </x:c>
      <x:c r="AK8" s="11" t="n">
        <x:v>6.01</x:v>
      </x:c>
      <x:c r="AL8" s="13" t="n">
        <x:v>0</x:v>
      </x:c>
      <x:c r="AM8" s="9" t="str"/>
      <x:c r="AN8" s="9" t="str"/>
      <x:c r="AO8" s="9" t="str">
        <x:v>https://www.ebi.ac.uk/chembl/api/data/activity/16670150.json</x:v>
      </x:c>
      <x:c r="AP8" s="9" t="str">
        <x:v>Cc1ncoc1-c1nnc(SCCCCN2CCC3(CC3c3ccc(C(F)(F)F)cc3)C2)n1C</x:v>
      </x:c>
      <x:c r="AQ8" s="9" t="str">
        <x:v>c1ccc(C2CC23CCN(CCCCSc2nnc(-c4cnco4)[nH]2)C3)cc1</x:v>
      </x:c>
      <x:c r="AR8" s="11" t="n">
        <x:v>491.5830000000002</x:v>
      </x:c>
      <x:c r="AS8" s="11" t="n">
        <x:v>5.549220000000006</x:v>
      </x:c>
      <x:c r="AT8" s="11" t="n">
        <x:v>59.980000000000004</x:v>
      </x:c>
      <x:c r="AU8" s="13" t="n">
        <x:v>0</x:v>
      </x:c>
      <x:c r="AV8" s="13" t="n">
        <x:v>6</x:v>
      </x:c>
      <x:c r="AW8" s="9" t="str">
        <x:v>train</x:v>
      </x:c>
    </x:row>
    <x:row r="9" ht="36" customHeight="1">
      <x:c r="A9" s="14" t="str">
        <x:v>RRSUWPYFZSEELD-XMSQKQJNSA-N</x:v>
      </x:c>
      <x:c r="B9" s="14" t="str">
        <x:v>CHEMBL3975989</x:v>
      </x:c>
      <x:c r="C9" s="14" t="str">
        <x:v>CHEMBL3975989</x:v>
      </x:c>
      <x:c r="D9" s="14" t="str">
        <x:v>16670153</x:v>
      </x:c>
      <x:c r="E9" s="14" t="str">
        <x:v>16670153</x:v>
      </x:c>
      <x:c r="F9" s="14" t="str">
        <x:v>CHEMBL3855278</x:v>
      </x:c>
      <x:c r="G9" s="14" t="str">
        <x:v>CHEMBL217</x:v>
      </x:c>
      <x:c r="H9" s="14" t="str">
        <x:v>CHEMBL3853329</x:v>
      </x:c>
      <x:c r="I9" s="14" t="str">
        <x:v>Cc1ncoc1-c1nnc(SCCCN2CC[C@@]3(C[C@@H]3c3ccccc3C(F)(F)F)C2)n1C</x:v>
      </x:c>
      <x:c r="J9" s="14" t="str">
        <x:v>Cc1ncoc1-c1nnc(SCCCN2CC[C@@]3(C[C@@H]3c3ccccc3C(F)(F)F)C2)n1C</x:v>
      </x:c>
      <x:c r="K9" s="14" t="str">
        <x:v>source_reported_pKi</x:v>
      </x:c>
      <x:c r="L9" s="15" t="n">
        <x:v>7.2</x:v>
      </x:c>
      <x:c r="M9" s="15" t="n">
        <x:v>63.0957344480193</x:v>
      </x:c>
      <x:c r="N9" s="15" t="n">
        <x:v>63.1</x:v>
      </x:c>
      <x:c r="O9" s="15" t="n">
        <x:v>7.199970640755866</x:v>
      </x:c>
      <x:c r="P9" s="16" t="n">
        <x:v>-0.000029359244134496976</x:v>
      </x:c>
      <x:c r="Q9" s="16" t="n">
        <x:v>0.004265551980701332</x:v>
      </x:c>
      <x:c r="R9" s="15" t="n">
        <x:v>0.00501</x:v>
      </x:c>
      <x:c r="S9" s="14" t="str">
        <x:v>Cc1ncoc1-c1nnc(SCCCN2CC[C@@]3(C[C@@H]3c3ccccc3C(F)(F)F)C2)n1C</x:v>
      </x:c>
      <x:c r="T9" s="14" t="str">
        <x:v>Cc1ncoc1-c1nnc(SCCCN2CC[C@@]3(C[C@@H]3c3ccccc3C(F)(F)F)C2)n1C</x:v>
      </x:c>
      <x:c r="U9" s="14" t="str">
        <x:v>RRSUWPYFZSEELD-XMSQKQJNSA-N</x:v>
      </x:c>
      <x:c r="V9" s="14" t="str">
        <x:v>Cc1ncoc1-c1nnc(SCCCN2CCC3(CC3c3ccccc3C(F)(F)F)C2)n1C</x:v>
      </x:c>
      <x:c r="W9" s="14" t="str">
        <x:v>6cc8558ed72c30e952e25a4d6337f3a3a0e3af95f919871ea82f7497a0516262</x:v>
      </x:c>
      <x:c r="X9" s="14" t="str">
        <x:v>c1ccc(C2CC23CCN(CCCSc2nnc(-c4cnco4)[nH]2)C3)cc1</x:v>
      </x:c>
      <x:c r="Y9" s="14" t="str">
        <x:v>False</x:v>
      </x:c>
      <x:c r="Z9" s="17" t="n">
        <x:v>1</x:v>
      </x:c>
      <x:c r="AA9" s="14" t="str">
        <x:v>include</x:v>
      </x:c>
      <x:c r="AB9" s="14" t="str"/>
      <x:c r="AC9" s="14" t="str">
        <x:v>pKi</x:v>
      </x:c>
      <x:c r="AD9" s="14" t="str">
        <x:v>7.2</x:v>
      </x:c>
      <x:c r="AE9" s="14" t="str"/>
      <x:c r="AF9" s="14" t="str">
        <x:v>=</x:v>
      </x:c>
      <x:c r="AG9" s="14" t="str">
        <x:v>Ki</x:v>
      </x:c>
      <x:c r="AH9" s="15" t="n">
        <x:v>63.1</x:v>
      </x:c>
      <x:c r="AI9" s="14" t="str">
        <x:v>nM</x:v>
      </x:c>
      <x:c r="AJ9" s="14" t="str">
        <x:v>=</x:v>
      </x:c>
      <x:c r="AK9" s="15" t="n">
        <x:v>7.2</x:v>
      </x:c>
      <x:c r="AL9" s="17" t="n">
        <x:v>0</x:v>
      </x:c>
      <x:c r="AM9" s="14" t="str"/>
      <x:c r="AN9" s="14" t="str"/>
      <x:c r="AO9" s="14" t="str">
        <x:v>https://www.ebi.ac.uk/chembl/api/data/activity/16670153.json</x:v>
      </x:c>
      <x:c r="AP9" s="14" t="str">
        <x:v>Cc1ncoc1-c1nnc(SCCCN2CCC3(CC3c3ccccc3C(F)(F)F)C2)n1C</x:v>
      </x:c>
      <x:c r="AQ9" s="14" t="str">
        <x:v>c1ccc(C2CC23CCN(CCCSc2nnc(-c4cnco4)[nH]2)C3)cc1</x:v>
      </x:c>
      <x:c r="AR9" s="15" t="n">
        <x:v>477.55600000000015</x:v>
      </x:c>
      <x:c r="AS9" s="15" t="n">
        <x:v>5.159120000000005</x:v>
      </x:c>
      <x:c r="AT9" s="15" t="n">
        <x:v>59.980000000000004</x:v>
      </x:c>
      <x:c r="AU9" s="17" t="n">
        <x:v>0</x:v>
      </x:c>
      <x:c r="AV9" s="17" t="n">
        <x:v>6</x:v>
      </x:c>
      <x:c r="AW9" s="14" t="str">
        <x:v>test</x:v>
      </x:c>
    </x:row>
    <x:row r="10" ht="36" customHeight="1">
      <x:c r="A10" s="9" t="str">
        <x:v>RRSUWPYFZSEELD-GCJKJVERSA-N</x:v>
      </x:c>
      <x:c r="B10" s="9" t="str">
        <x:v>CHEMBL3905196</x:v>
      </x:c>
      <x:c r="C10" s="9" t="str">
        <x:v>CHEMBL3905196</x:v>
      </x:c>
      <x:c r="D10" s="9" t="str">
        <x:v>16670154</x:v>
      </x:c>
      <x:c r="E10" s="9" t="str">
        <x:v>16670154</x:v>
      </x:c>
      <x:c r="F10" s="9" t="str">
        <x:v>CHEMBL3855278</x:v>
      </x:c>
      <x:c r="G10" s="9" t="str">
        <x:v>CHEMBL217</x:v>
      </x:c>
      <x:c r="H10" s="9" t="str">
        <x:v>CHEMBL3853329</x:v>
      </x:c>
      <x:c r="I10" s="9" t="str">
        <x:v>Cc1ncoc1-c1nnc(SCCCN2CC[C@]3(C[C@@H]3c3ccccc3C(F)(F)F)C2)n1C</x:v>
      </x:c>
      <x:c r="J10" s="9" t="str">
        <x:v>Cc1ncoc1-c1nnc(SCCCN2CC[C@]3(C[C@@H]3c3ccccc3C(F)(F)F)C2)n1C</x:v>
      </x:c>
      <x:c r="K10" s="9" t="str">
        <x:v>source_reported_pKi</x:v>
      </x:c>
      <x:c r="L10" s="11" t="n">
        <x:v>5.8</x:v>
      </x:c>
      <x:c r="M10" s="11" t="n">
        <x:v>1584.893192461114</x:v>
      </x:c>
      <x:c r="N10" s="11" t="n">
        <x:v>1584.89</x:v>
      </x:c>
      <x:c r="O10" s="11" t="n">
        <x:v>5.800000874803203</x:v>
      </x:c>
      <x:c r="P10" s="12" t="n">
        <x:v>8.74803203210206e-7</x:v>
      </x:c>
      <x:c r="Q10" s="12" t="n">
        <x:v>-0.003192461113940226</x:v>
      </x:c>
      <x:c r="R10" s="11" t="n">
        <x:v>0.00501</x:v>
      </x:c>
      <x:c r="S10" s="9" t="str">
        <x:v>Cc1ncoc1-c1nnc(SCCCN2CC[C@]3(C[C@@H]3c3ccccc3C(F)(F)F)C2)n1C</x:v>
      </x:c>
      <x:c r="T10" s="9" t="str">
        <x:v>Cc1ncoc1-c1nnc(SCCCN2CC[C@]3(C[C@@H]3c3ccccc3C(F)(F)F)C2)n1C</x:v>
      </x:c>
      <x:c r="U10" s="9" t="str">
        <x:v>RRSUWPYFZSEELD-GCJKJVERSA-N</x:v>
      </x:c>
      <x:c r="V10" s="9" t="str">
        <x:v>Cc1ncoc1-c1nnc(SCCCN2CCC3(CC3c3ccccc3C(F)(F)F)C2)n1C</x:v>
      </x:c>
      <x:c r="W10" s="9" t="str">
        <x:v>6cc8558ed72c30e952e25a4d6337f3a3a0e3af95f919871ea82f7497a0516262</x:v>
      </x:c>
      <x:c r="X10" s="9" t="str">
        <x:v>c1ccc(C2CC23CCN(CCCSc2nnc(-c4cnco4)[nH]2)C3)cc1</x:v>
      </x:c>
      <x:c r="Y10" s="9" t="str">
        <x:v>False</x:v>
      </x:c>
      <x:c r="Z10" s="13" t="n">
        <x:v>1</x:v>
      </x:c>
      <x:c r="AA10" s="9" t="str">
        <x:v>include</x:v>
      </x:c>
      <x:c r="AB10" s="9" t="str"/>
      <x:c r="AC10" s="9" t="str">
        <x:v>pKi</x:v>
      </x:c>
      <x:c r="AD10" s="9" t="str">
        <x:v>5.8</x:v>
      </x:c>
      <x:c r="AE10" s="9" t="str"/>
      <x:c r="AF10" s="9" t="str">
        <x:v>=</x:v>
      </x:c>
      <x:c r="AG10" s="9" t="str">
        <x:v>Ki</x:v>
      </x:c>
      <x:c r="AH10" s="11" t="n">
        <x:v>1584.89</x:v>
      </x:c>
      <x:c r="AI10" s="9" t="str">
        <x:v>nM</x:v>
      </x:c>
      <x:c r="AJ10" s="9" t="str">
        <x:v>=</x:v>
      </x:c>
      <x:c r="AK10" s="11" t="n">
        <x:v>5.8</x:v>
      </x:c>
      <x:c r="AL10" s="13" t="n">
        <x:v>0</x:v>
      </x:c>
      <x:c r="AM10" s="9" t="str"/>
      <x:c r="AN10" s="9" t="str"/>
      <x:c r="AO10" s="9" t="str">
        <x:v>https://www.ebi.ac.uk/chembl/api/data/activity/16670154.json</x:v>
      </x:c>
      <x:c r="AP10" s="9" t="str">
        <x:v>Cc1ncoc1-c1nnc(SCCCN2CCC3(CC3c3ccccc3C(F)(F)F)C2)n1C</x:v>
      </x:c>
      <x:c r="AQ10" s="9" t="str">
        <x:v>c1ccc(C2CC23CCN(CCCSc2nnc(-c4cnco4)[nH]2)C3)cc1</x:v>
      </x:c>
      <x:c r="AR10" s="11" t="n">
        <x:v>477.55600000000015</x:v>
      </x:c>
      <x:c r="AS10" s="11" t="n">
        <x:v>5.159120000000005</x:v>
      </x:c>
      <x:c r="AT10" s="11" t="n">
        <x:v>59.980000000000004</x:v>
      </x:c>
      <x:c r="AU10" s="13" t="n">
        <x:v>0</x:v>
      </x:c>
      <x:c r="AV10" s="13" t="n">
        <x:v>6</x:v>
      </x:c>
      <x:c r="AW10" s="9" t="str">
        <x:v>test</x:v>
      </x:c>
    </x:row>
    <x:row r="11" ht="36" customHeight="1">
      <x:c r="A11" s="14" t="str">
        <x:v>XRDPJIJIWYVCKW-XMSQKQJNSA-N</x:v>
      </x:c>
      <x:c r="B11" s="14" t="str">
        <x:v>CHEMBL3912029</x:v>
      </x:c>
      <x:c r="C11" s="14" t="str">
        <x:v>CHEMBL3912029</x:v>
      </x:c>
      <x:c r="D11" s="14" t="str">
        <x:v>16670157</x:v>
      </x:c>
      <x:c r="E11" s="14" t="str">
        <x:v>16670157</x:v>
      </x:c>
      <x:c r="F11" s="14" t="str">
        <x:v>CHEMBL3855278</x:v>
      </x:c>
      <x:c r="G11" s="14" t="str">
        <x:v>CHEMBL217</x:v>
      </x:c>
      <x:c r="H11" s="14" t="str">
        <x:v>CHEMBL3853329</x:v>
      </x:c>
      <x:c r="I11" s="14" t="str">
        <x:v>Cc1ncoc1-c1nnc(SCCCN2CC[C@@]3(C[C@@H]3c3ccc(F)cc3)C2)n1C</x:v>
      </x:c>
      <x:c r="J11" s="14" t="str">
        <x:v>Cc1ncoc1-c1nnc(SCCCN2CC[C@@]3(C[C@@H]3c3ccc(F)cc3)C2)n1C</x:v>
      </x:c>
      <x:c r="K11" s="14" t="str">
        <x:v>source_reported_pKi</x:v>
      </x:c>
      <x:c r="L11" s="15" t="n">
        <x:v>6.1</x:v>
      </x:c>
      <x:c r="M11" s="15" t="n">
        <x:v>794.3282347242822</x:v>
      </x:c>
      <x:c r="N11" s="15" t="n">
        <x:v>794.33</x:v>
      </x:c>
      <x:c r="O11" s="15" t="n">
        <x:v>6.0999990348465305</x:v>
      </x:c>
      <x:c r="P11" s="16" t="n">
        <x:v>-9.651534691457186e-7</x:v>
      </x:c>
      <x:c r="Q11" s="16" t="n">
        <x:v>0.001765275717843906</x:v>
      </x:c>
      <x:c r="R11" s="15" t="n">
        <x:v>0.00501</x:v>
      </x:c>
      <x:c r="S11" s="14" t="str">
        <x:v>Cc1ncoc1-c1nnc(SCCCN2CC[C@@]3(C[C@@H]3c3ccc(F)cc3)C2)n1C</x:v>
      </x:c>
      <x:c r="T11" s="14" t="str">
        <x:v>Cc1ncoc1-c1nnc(SCCCN2CC[C@@]3(C[C@@H]3c3ccc(F)cc3)C2)n1C</x:v>
      </x:c>
      <x:c r="U11" s="14" t="str">
        <x:v>XRDPJIJIWYVCKW-XMSQKQJNSA-N</x:v>
      </x:c>
      <x:c r="V11" s="14" t="str">
        <x:v>Cc1ncoc1-c1nnc(SCCCN2CCC3(CC3c3ccc(F)cc3)C2)n1C</x:v>
      </x:c>
      <x:c r="W11" s="14" t="str">
        <x:v>11dae94f2537e3de53d4676993b2e8692184d1b1025b7614e70e1fcad4b3efb8</x:v>
      </x:c>
      <x:c r="X11" s="14" t="str">
        <x:v>c1ccc(C2CC23CCN(CCCSc2nnc(-c4cnco4)[nH]2)C3)cc1</x:v>
      </x:c>
      <x:c r="Y11" s="14" t="str">
        <x:v>False</x:v>
      </x:c>
      <x:c r="Z11" s="17" t="n">
        <x:v>1</x:v>
      </x:c>
      <x:c r="AA11" s="14" t="str">
        <x:v>include</x:v>
      </x:c>
      <x:c r="AB11" s="14" t="str"/>
      <x:c r="AC11" s="14" t="str">
        <x:v>pKi</x:v>
      </x:c>
      <x:c r="AD11" s="14" t="str">
        <x:v>6.1</x:v>
      </x:c>
      <x:c r="AE11" s="14" t="str"/>
      <x:c r="AF11" s="14" t="str">
        <x:v>=</x:v>
      </x:c>
      <x:c r="AG11" s="14" t="str">
        <x:v>Ki</x:v>
      </x:c>
      <x:c r="AH11" s="15" t="n">
        <x:v>794.33</x:v>
      </x:c>
      <x:c r="AI11" s="14" t="str">
        <x:v>nM</x:v>
      </x:c>
      <x:c r="AJ11" s="14" t="str">
        <x:v>=</x:v>
      </x:c>
      <x:c r="AK11" s="15" t="n">
        <x:v>6.1</x:v>
      </x:c>
      <x:c r="AL11" s="17" t="n">
        <x:v>0</x:v>
      </x:c>
      <x:c r="AM11" s="14" t="str"/>
      <x:c r="AN11" s="14" t="str"/>
      <x:c r="AO11" s="14" t="str">
        <x:v>https://www.ebi.ac.uk/chembl/api/data/activity/16670157.json</x:v>
      </x:c>
      <x:c r="AP11" s="14" t="str">
        <x:v>Cc1ncoc1-c1nnc(SCCCN2CCC3(CC3c3ccc(F)cc3)C2)n1C</x:v>
      </x:c>
      <x:c r="AQ11" s="14" t="str">
        <x:v>c1ccc(C2CC23CCN(CCCSc2nnc(-c4cnco4)[nH]2)C3)cc1</x:v>
      </x:c>
      <x:c r="AR11" s="15" t="n">
        <x:v>427.54900000000015</x:v>
      </x:c>
      <x:c r="AS11" s="15" t="n">
        <x:v>4.2794200000000036</x:v>
      </x:c>
      <x:c r="AT11" s="15" t="n">
        <x:v>59.980000000000004</x:v>
      </x:c>
      <x:c r="AU11" s="17" t="n">
        <x:v>0</x:v>
      </x:c>
      <x:c r="AV11" s="17" t="n">
        <x:v>6</x:v>
      </x:c>
      <x:c r="AW11" s="14" t="str">
        <x:v>test</x:v>
      </x:c>
    </x:row>
    <x:row r="12" ht="36" customHeight="1">
      <x:c r="A12" s="9" t="str">
        <x:v>XRDPJIJIWYVCKW-PGRDOPGGSA-N</x:v>
      </x:c>
      <x:c r="B12" s="9" t="str">
        <x:v>CHEMBL3963783</x:v>
      </x:c>
      <x:c r="C12" s="9" t="str">
        <x:v>CHEMBL3963783</x:v>
      </x:c>
      <x:c r="D12" s="9" t="str">
        <x:v>16670160</x:v>
      </x:c>
      <x:c r="E12" s="9" t="str">
        <x:v>16670160</x:v>
      </x:c>
      <x:c r="F12" s="9" t="str">
        <x:v>CHEMBL3855278</x:v>
      </x:c>
      <x:c r="G12" s="9" t="str">
        <x:v>CHEMBL217</x:v>
      </x:c>
      <x:c r="H12" s="9" t="str">
        <x:v>CHEMBL3853329</x:v>
      </x:c>
      <x:c r="I12" s="9" t="str">
        <x:v>Cc1ncoc1-c1nnc(SCCCN2CC[C@@]3(C[C@H]3c3ccc(F)cc3)C2)n1C</x:v>
      </x:c>
      <x:c r="J12" s="9" t="str">
        <x:v>Cc1ncoc1-c1nnc(SCCCN2CC[C@@]3(C[C@H]3c3ccc(F)cc3)C2)n1C</x:v>
      </x:c>
      <x:c r="K12" s="9" t="str">
        <x:v>source_reported_pKi</x:v>
      </x:c>
      <x:c r="L12" s="11" t="n">
        <x:v>6.62</x:v>
      </x:c>
      <x:c r="M12" s="11" t="n">
        <x:v>239.88329190194898</x:v>
      </x:c>
      <x:c r="N12" s="11" t="n">
        <x:v>239.88</x:v>
      </x:c>
      <x:c r="O12" s="11" t="n">
        <x:v>6.620005959834258</x:v>
      </x:c>
      <x:c r="P12" s="12" t="n">
        <x:v>0.000005959834258106866</x:v>
      </x:c>
      <x:c r="Q12" s="12" t="n">
        <x:v>-0.0032919019489838774</x:v>
      </x:c>
      <x:c r="R12" s="11" t="n">
        <x:v>0.00501</x:v>
      </x:c>
      <x:c r="S12" s="9" t="str">
        <x:v>Cc1ncoc1-c1nnc(SCCCN2CC[C@@]3(C[C@H]3c3ccc(F)cc3)C2)n1C</x:v>
      </x:c>
      <x:c r="T12" s="9" t="str">
        <x:v>Cc1ncoc1-c1nnc(SCCCN2CC[C@@]3(C[C@H]3c3ccc(F)cc3)C2)n1C</x:v>
      </x:c>
      <x:c r="U12" s="9" t="str">
        <x:v>XRDPJIJIWYVCKW-PGRDOPGGSA-N</x:v>
      </x:c>
      <x:c r="V12" s="9" t="str">
        <x:v>Cc1ncoc1-c1nnc(SCCCN2CCC3(CC3c3ccc(F)cc3)C2)n1C</x:v>
      </x:c>
      <x:c r="W12" s="9" t="str">
        <x:v>11dae94f2537e3de53d4676993b2e8692184d1b1025b7614e70e1fcad4b3efb8</x:v>
      </x:c>
      <x:c r="X12" s="9" t="str">
        <x:v>c1ccc(C2CC23CCN(CCCSc2nnc(-c4cnco4)[nH]2)C3)cc1</x:v>
      </x:c>
      <x:c r="Y12" s="9" t="str">
        <x:v>False</x:v>
      </x:c>
      <x:c r="Z12" s="13" t="n">
        <x:v>1</x:v>
      </x:c>
      <x:c r="AA12" s="9" t="str">
        <x:v>include</x:v>
      </x:c>
      <x:c r="AB12" s="9" t="str"/>
      <x:c r="AC12" s="9" t="str">
        <x:v>pKi</x:v>
      </x:c>
      <x:c r="AD12" s="9" t="str">
        <x:v>6.62</x:v>
      </x:c>
      <x:c r="AE12" s="9" t="str"/>
      <x:c r="AF12" s="9" t="str">
        <x:v>=</x:v>
      </x:c>
      <x:c r="AG12" s="9" t="str">
        <x:v>Ki</x:v>
      </x:c>
      <x:c r="AH12" s="11" t="n">
        <x:v>239.88</x:v>
      </x:c>
      <x:c r="AI12" s="9" t="str">
        <x:v>nM</x:v>
      </x:c>
      <x:c r="AJ12" s="9" t="str">
        <x:v>=</x:v>
      </x:c>
      <x:c r="AK12" s="11" t="n">
        <x:v>6.62</x:v>
      </x:c>
      <x:c r="AL12" s="13" t="n">
        <x:v>0</x:v>
      </x:c>
      <x:c r="AM12" s="9" t="str"/>
      <x:c r="AN12" s="9" t="str"/>
      <x:c r="AO12" s="9" t="str">
        <x:v>https://www.ebi.ac.uk/chembl/api/data/activity/16670160.json</x:v>
      </x:c>
      <x:c r="AP12" s="9" t="str">
        <x:v>Cc1ncoc1-c1nnc(SCCCN2CCC3(CC3c3ccc(F)cc3)C2)n1C</x:v>
      </x:c>
      <x:c r="AQ12" s="9" t="str">
        <x:v>c1ccc(C2CC23CCN(CCCSc2nnc(-c4cnco4)[nH]2)C3)cc1</x:v>
      </x:c>
      <x:c r="AR12" s="11" t="n">
        <x:v>427.54900000000015</x:v>
      </x:c>
      <x:c r="AS12" s="11" t="n">
        <x:v>4.2794200000000036</x:v>
      </x:c>
      <x:c r="AT12" s="11" t="n">
        <x:v>59.980000000000004</x:v>
      </x:c>
      <x:c r="AU12" s="13" t="n">
        <x:v>0</x:v>
      </x:c>
      <x:c r="AV12" s="13" t="n">
        <x:v>6</x:v>
      </x:c>
      <x:c r="AW12" s="9" t="str">
        <x:v>test</x:v>
      </x:c>
    </x:row>
    <x:row r="13" ht="36" customHeight="1">
      <x:c r="A13" s="14" t="str">
        <x:v>XIHOJUYAGODVFH-VGOFRKELSA-N</x:v>
      </x:c>
      <x:c r="B13" s="14" t="str">
        <x:v>CHEMBL3945775</x:v>
      </x:c>
      <x:c r="C13" s="14" t="str">
        <x:v>CHEMBL3945775</x:v>
      </x:c>
      <x:c r="D13" s="14" t="str">
        <x:v>16670163</x:v>
      </x:c>
      <x:c r="E13" s="14" t="str">
        <x:v>16670163</x:v>
      </x:c>
      <x:c r="F13" s="14" t="str">
        <x:v>CHEMBL3855278</x:v>
      </x:c>
      <x:c r="G13" s="14" t="str">
        <x:v>CHEMBL217</x:v>
      </x:c>
      <x:c r="H13" s="14" t="str">
        <x:v>CHEMBL3853329</x:v>
      </x:c>
      <x:c r="I13" s="14" t="str">
        <x:v>Cc1ncoc1-c1nnc(SCCCN2CC[C@@]3(C[C@@H]3c3ccc(F)cc3F)C2)n1C</x:v>
      </x:c>
      <x:c r="J13" s="14" t="str">
        <x:v>Cc1ncoc1-c1nnc(SCCCN2CC[C@@]3(C[C@@H]3c3ccc(F)cc3F)C2)n1C</x:v>
      </x:c>
      <x:c r="K13" s="14" t="str">
        <x:v>source_reported_pKi</x:v>
      </x:c>
      <x:c r="L13" s="15" t="n">
        <x:v>6.02</x:v>
      </x:c>
      <x:c r="M13" s="15" t="n">
        <x:v>954.9925860214369</x:v>
      </x:c>
      <x:c r="N13" s="15" t="n">
        <x:v>954.99</x:v>
      </x:c>
      <x:c r="O13" s="15" t="n">
        <x:v>6.020001176026261</x:v>
      </x:c>
      <x:c r="P13" s="16" t="n">
        <x:v>0.0000011760262612625638</x:v>
      </x:c>
      <x:c r="Q13" s="16" t="n">
        <x:v>-0.002586021436854935</x:v>
      </x:c>
      <x:c r="R13" s="15" t="n">
        <x:v>0.00501</x:v>
      </x:c>
      <x:c r="S13" s="14" t="str">
        <x:v>Cc1ncoc1-c1nnc(SCCCN2CC[C@@]3(C[C@@H]3c3ccc(F)cc3F)C2)n1C</x:v>
      </x:c>
      <x:c r="T13" s="14" t="str">
        <x:v>Cc1ncoc1-c1nnc(SCCCN2CC[C@@]3(C[C@@H]3c3ccc(F)cc3F)C2)n1C</x:v>
      </x:c>
      <x:c r="U13" s="14" t="str">
        <x:v>XIHOJUYAGODVFH-VGOFRKELSA-N</x:v>
      </x:c>
      <x:c r="V13" s="14" t="str">
        <x:v>Cc1ncoc1-c1nnc(SCCCN2CCC3(CC3c3ccc(F)cc3F)C2)n1C</x:v>
      </x:c>
      <x:c r="W13" s="14" t="str">
        <x:v>c9bb72c84834730b0cbc7844a15d094f61b850161fa051c0501826f0896ec0e8</x:v>
      </x:c>
      <x:c r="X13" s="14" t="str">
        <x:v>c1ccc(C2CC23CCN(CCCSc2nnc(-c4cnco4)[nH]2)C3)cc1</x:v>
      </x:c>
      <x:c r="Y13" s="14" t="str">
        <x:v>False</x:v>
      </x:c>
      <x:c r="Z13" s="17" t="n">
        <x:v>1</x:v>
      </x:c>
      <x:c r="AA13" s="14" t="str">
        <x:v>include</x:v>
      </x:c>
      <x:c r="AB13" s="14" t="str"/>
      <x:c r="AC13" s="14" t="str">
        <x:v>pKi</x:v>
      </x:c>
      <x:c r="AD13" s="14" t="str">
        <x:v>6.02</x:v>
      </x:c>
      <x:c r="AE13" s="14" t="str"/>
      <x:c r="AF13" s="14" t="str">
        <x:v>=</x:v>
      </x:c>
      <x:c r="AG13" s="14" t="str">
        <x:v>Ki</x:v>
      </x:c>
      <x:c r="AH13" s="15" t="n">
        <x:v>954.99</x:v>
      </x:c>
      <x:c r="AI13" s="14" t="str">
        <x:v>nM</x:v>
      </x:c>
      <x:c r="AJ13" s="14" t="str">
        <x:v>=</x:v>
      </x:c>
      <x:c r="AK13" s="15" t="n">
        <x:v>6.02</x:v>
      </x:c>
      <x:c r="AL13" s="17" t="n">
        <x:v>0</x:v>
      </x:c>
      <x:c r="AM13" s="14" t="str"/>
      <x:c r="AN13" s="14" t="str"/>
      <x:c r="AO13" s="14" t="str">
        <x:v>https://www.ebi.ac.uk/chembl/api/data/activity/16670163.json</x:v>
      </x:c>
      <x:c r="AP13" s="14" t="str">
        <x:v>Cc1ncoc1-c1nnc(SCCCN2CCC3(CC3c3ccc(F)cc3F)C2)n1C</x:v>
      </x:c>
      <x:c r="AQ13" s="14" t="str">
        <x:v>c1ccc(C2CC23CCN(CCCSc2nnc(-c4cnco4)[nH]2)C3)cc1</x:v>
      </x:c>
      <x:c r="AR13" s="15" t="n">
        <x:v>445.53900000000016</x:v>
      </x:c>
      <x:c r="AS13" s="15" t="n">
        <x:v>4.4185200000000036</x:v>
      </x:c>
      <x:c r="AT13" s="15" t="n">
        <x:v>59.980000000000004</x:v>
      </x:c>
      <x:c r="AU13" s="17" t="n">
        <x:v>0</x:v>
      </x:c>
      <x:c r="AV13" s="17" t="n">
        <x:v>6</x:v>
      </x:c>
      <x:c r="AW13" s="14" t="str">
        <x:v>test</x:v>
      </x:c>
    </x:row>
    <x:row r="14" ht="36" customHeight="1">
      <x:c r="A14" s="9" t="str">
        <x:v>XIHOJUYAGODVFH-HTAPYJJXSA-N</x:v>
      </x:c>
      <x:c r="B14" s="9" t="str">
        <x:v>CHEMBL3926847</x:v>
      </x:c>
      <x:c r="C14" s="9" t="str">
        <x:v>CHEMBL3926847</x:v>
      </x:c>
      <x:c r="D14" s="9" t="str">
        <x:v>16670166</x:v>
      </x:c>
      <x:c r="E14" s="9" t="str">
        <x:v>16670166</x:v>
      </x:c>
      <x:c r="F14" s="9" t="str">
        <x:v>CHEMBL3855278</x:v>
      </x:c>
      <x:c r="G14" s="9" t="str">
        <x:v>CHEMBL217</x:v>
      </x:c>
      <x:c r="H14" s="9" t="str">
        <x:v>CHEMBL3853329</x:v>
      </x:c>
      <x:c r="I14" s="9" t="str">
        <x:v>Cc1ncoc1-c1nnc(SCCCN2CC[C@@]3(C[C@H]3c3ccc(F)cc3F)C2)n1C</x:v>
      </x:c>
      <x:c r="J14" s="9" t="str">
        <x:v>Cc1ncoc1-c1nnc(SCCCN2CC[C@@]3(C[C@H]3c3ccc(F)cc3F)C2)n1C</x:v>
      </x:c>
      <x:c r="K14" s="9" t="str">
        <x:v>source_reported_pKi</x:v>
      </x:c>
      <x:c r="L14" s="11" t="n">
        <x:v>6.59</x:v>
      </x:c>
      <x:c r="M14" s="11" t="n">
        <x:v>257.03957827688646</x:v>
      </x:c>
      <x:c r="N14" s="11" t="n">
        <x:v>257.04</x:v>
      </x:c>
      <x:c r="O14" s="11" t="n">
        <x:v>6.589999287456538</x:v>
      </x:c>
      <x:c r="P14" s="12" t="n">
        <x:v>-7.125434615673498e-7</x:v>
      </x:c>
      <x:c r="Q14" s="12" t="n">
        <x:v>0.00042172311356125647</x:v>
      </x:c>
      <x:c r="R14" s="11" t="n">
        <x:v>0.00501</x:v>
      </x:c>
      <x:c r="S14" s="9" t="str">
        <x:v>Cc1ncoc1-c1nnc(SCCCN2CC[C@@]3(C[C@H]3c3ccc(F)cc3F)C2)n1C</x:v>
      </x:c>
      <x:c r="T14" s="9" t="str">
        <x:v>Cc1ncoc1-c1nnc(SCCCN2CC[C@@]3(C[C@H]3c3ccc(F)cc3F)C2)n1C</x:v>
      </x:c>
      <x:c r="U14" s="9" t="str">
        <x:v>XIHOJUYAGODVFH-HTAPYJJXSA-N</x:v>
      </x:c>
      <x:c r="V14" s="9" t="str">
        <x:v>Cc1ncoc1-c1nnc(SCCCN2CCC3(CC3c3ccc(F)cc3F)C2)n1C</x:v>
      </x:c>
      <x:c r="W14" s="9" t="str">
        <x:v>c9bb72c84834730b0cbc7844a15d094f61b850161fa051c0501826f0896ec0e8</x:v>
      </x:c>
      <x:c r="X14" s="9" t="str">
        <x:v>c1ccc(C2CC23CCN(CCCSc2nnc(-c4cnco4)[nH]2)C3)cc1</x:v>
      </x:c>
      <x:c r="Y14" s="9" t="str">
        <x:v>False</x:v>
      </x:c>
      <x:c r="Z14" s="13" t="n">
        <x:v>1</x:v>
      </x:c>
      <x:c r="AA14" s="9" t="str">
        <x:v>include</x:v>
      </x:c>
      <x:c r="AB14" s="9" t="str"/>
      <x:c r="AC14" s="9" t="str">
        <x:v>pKi</x:v>
      </x:c>
      <x:c r="AD14" s="9" t="str">
        <x:v>6.59</x:v>
      </x:c>
      <x:c r="AE14" s="9" t="str"/>
      <x:c r="AF14" s="9" t="str">
        <x:v>=</x:v>
      </x:c>
      <x:c r="AG14" s="9" t="str">
        <x:v>Ki</x:v>
      </x:c>
      <x:c r="AH14" s="11" t="n">
        <x:v>257.04</x:v>
      </x:c>
      <x:c r="AI14" s="9" t="str">
        <x:v>nM</x:v>
      </x:c>
      <x:c r="AJ14" s="9" t="str">
        <x:v>=</x:v>
      </x:c>
      <x:c r="AK14" s="11" t="n">
        <x:v>6.59</x:v>
      </x:c>
      <x:c r="AL14" s="13" t="n">
        <x:v>0</x:v>
      </x:c>
      <x:c r="AM14" s="9" t="str"/>
      <x:c r="AN14" s="9" t="str"/>
      <x:c r="AO14" s="9" t="str">
        <x:v>https://www.ebi.ac.uk/chembl/api/data/activity/16670166.json</x:v>
      </x:c>
      <x:c r="AP14" s="9" t="str">
        <x:v>Cc1ncoc1-c1nnc(SCCCN2CCC3(CC3c3ccc(F)cc3F)C2)n1C</x:v>
      </x:c>
      <x:c r="AQ14" s="9" t="str">
        <x:v>c1ccc(C2CC23CCN(CCCSc2nnc(-c4cnco4)[nH]2)C3)cc1</x:v>
      </x:c>
      <x:c r="AR14" s="11" t="n">
        <x:v>445.53900000000016</x:v>
      </x:c>
      <x:c r="AS14" s="11" t="n">
        <x:v>4.4185200000000036</x:v>
      </x:c>
      <x:c r="AT14" s="11" t="n">
        <x:v>59.980000000000004</x:v>
      </x:c>
      <x:c r="AU14" s="13" t="n">
        <x:v>0</x:v>
      </x:c>
      <x:c r="AV14" s="13" t="n">
        <x:v>6</x:v>
      </x:c>
      <x:c r="AW14" s="9" t="str">
        <x:v>test</x:v>
      </x:c>
    </x:row>
    <x:row r="15" ht="36" customHeight="1">
      <x:c r="A15" s="14" t="str">
        <x:v>ZIQDGXNDXRMRPM-VGOFRKELSA-N</x:v>
      </x:c>
      <x:c r="B15" s="14" t="str">
        <x:v>CHEMBL3901587</x:v>
      </x:c>
      <x:c r="C15" s="14" t="str">
        <x:v>CHEMBL3901587</x:v>
      </x:c>
      <x:c r="D15" s="14" t="str">
        <x:v>16670169</x:v>
      </x:c>
      <x:c r="E15" s="14" t="str">
        <x:v>16670169</x:v>
      </x:c>
      <x:c r="F15" s="14" t="str">
        <x:v>CHEMBL3855278</x:v>
      </x:c>
      <x:c r="G15" s="14" t="str">
        <x:v>CHEMBL217</x:v>
      </x:c>
      <x:c r="H15" s="14" t="str">
        <x:v>CHEMBL3853329</x:v>
      </x:c>
      <x:c r="I15" s="14" t="str">
        <x:v>Cc1ncoc1-c1nnc(SCCCN2CC[C@@]3(C[C@@H]3c3ccc(C(F)(F)F)cc3F)C2)n1C</x:v>
      </x:c>
      <x:c r="J15" s="14" t="str">
        <x:v>Cc1ncoc1-c1nnc(SCCCN2CC[C@@]3(C[C@@H]3c3ccc(C(F)(F)F)cc3F)C2)n1C</x:v>
      </x:c>
      <x:c r="K15" s="14" t="str">
        <x:v>source_reported_pKi</x:v>
      </x:c>
      <x:c r="L15" s="15" t="n">
        <x:v>6.01</x:v>
      </x:c>
      <x:c r="M15" s="15" t="n">
        <x:v>977.2372209558112</x:v>
      </x:c>
      <x:c r="N15" s="15" t="n">
        <x:v>977.24</x:v>
      </x:c>
      <x:c r="O15" s="15" t="n">
        <x:v>6.009998764965339</x:v>
      </x:c>
      <x:c r="P15" s="16" t="n">
        <x:v>-0.0000012350346612066687</x:v>
      </x:c>
      <x:c r="Q15" s="16" t="n">
        <x:v>0.0027790441888555506</x:v>
      </x:c>
      <x:c r="R15" s="15" t="n">
        <x:v>0.00501</x:v>
      </x:c>
      <x:c r="S15" s="14" t="str">
        <x:v>Cc1ncoc1-c1nnc(SCCCN2CC[C@@]3(C[C@@H]3c3ccc(C(F)(F)F)cc3F)C2)n1C</x:v>
      </x:c>
      <x:c r="T15" s="14" t="str">
        <x:v>Cc1ncoc1-c1nnc(SCCCN2CC[C@@]3(C[C@@H]3c3ccc(C(F)(F)F)cc3F)C2)n1C</x:v>
      </x:c>
      <x:c r="U15" s="14" t="str">
        <x:v>ZIQDGXNDXRMRPM-VGOFRKELSA-N</x:v>
      </x:c>
      <x:c r="V15" s="14" t="str">
        <x:v>Cc1ncoc1-c1nnc(SCCCN2CCC3(CC3c3ccc(C(F)(F)F)cc3F)C2)n1C</x:v>
      </x:c>
      <x:c r="W15" s="14" t="str">
        <x:v>3a87350678a10d266285c519cd6d008e1adf4761974c26280d14b6f7333b44bd</x:v>
      </x:c>
      <x:c r="X15" s="14" t="str">
        <x:v>c1ccc(C2CC23CCN(CCCSc2nnc(-c4cnco4)[nH]2)C3)cc1</x:v>
      </x:c>
      <x:c r="Y15" s="14" t="str">
        <x:v>False</x:v>
      </x:c>
      <x:c r="Z15" s="17" t="n">
        <x:v>1</x:v>
      </x:c>
      <x:c r="AA15" s="14" t="str">
        <x:v>include</x:v>
      </x:c>
      <x:c r="AB15" s="14" t="str"/>
      <x:c r="AC15" s="14" t="str">
        <x:v>pKi</x:v>
      </x:c>
      <x:c r="AD15" s="14" t="str">
        <x:v>6.01</x:v>
      </x:c>
      <x:c r="AE15" s="14" t="str"/>
      <x:c r="AF15" s="14" t="str">
        <x:v>=</x:v>
      </x:c>
      <x:c r="AG15" s="14" t="str">
        <x:v>Ki</x:v>
      </x:c>
      <x:c r="AH15" s="15" t="n">
        <x:v>977.24</x:v>
      </x:c>
      <x:c r="AI15" s="14" t="str">
        <x:v>nM</x:v>
      </x:c>
      <x:c r="AJ15" s="14" t="str">
        <x:v>=</x:v>
      </x:c>
      <x:c r="AK15" s="15" t="n">
        <x:v>6.01</x:v>
      </x:c>
      <x:c r="AL15" s="17" t="n">
        <x:v>0</x:v>
      </x:c>
      <x:c r="AM15" s="14" t="str"/>
      <x:c r="AN15" s="14" t="str"/>
      <x:c r="AO15" s="14" t="str">
        <x:v>https://www.ebi.ac.uk/chembl/api/data/activity/16670169.json</x:v>
      </x:c>
      <x:c r="AP15" s="14" t="str">
        <x:v>Cc1ncoc1-c1nnc(SCCCN2CCC3(CC3c3ccc(C(F)(F)F)cc3F)C2)n1C</x:v>
      </x:c>
      <x:c r="AQ15" s="14" t="str">
        <x:v>c1ccc(C2CC23CCN(CCCSc2nnc(-c4cnco4)[nH]2)C3)cc1</x:v>
      </x:c>
      <x:c r="AR15" s="15" t="n">
        <x:v>495.54600000000016</x:v>
      </x:c>
      <x:c r="AS15" s="15" t="n">
        <x:v>5.298220000000005</x:v>
      </x:c>
      <x:c r="AT15" s="15" t="n">
        <x:v>59.980000000000004</x:v>
      </x:c>
      <x:c r="AU15" s="17" t="n">
        <x:v>0</x:v>
      </x:c>
      <x:c r="AV15" s="17" t="n">
        <x:v>6</x:v>
      </x:c>
      <x:c r="AW15" s="14" t="str">
        <x:v>test</x:v>
      </x:c>
    </x:row>
    <x:row r="16" ht="36" customHeight="1">
      <x:c r="A16" s="9" t="str">
        <x:v>ZIQDGXNDXRMRPM-HTAPYJJXSA-N</x:v>
      </x:c>
      <x:c r="B16" s="9" t="str">
        <x:v>CHEMBL3955505</x:v>
      </x:c>
      <x:c r="C16" s="9" t="str">
        <x:v>CHEMBL3955505</x:v>
      </x:c>
      <x:c r="D16" s="9" t="str">
        <x:v>16670172</x:v>
      </x:c>
      <x:c r="E16" s="9" t="str">
        <x:v>16670172</x:v>
      </x:c>
      <x:c r="F16" s="9" t="str">
        <x:v>CHEMBL3855278</x:v>
      </x:c>
      <x:c r="G16" s="9" t="str">
        <x:v>CHEMBL217</x:v>
      </x:c>
      <x:c r="H16" s="9" t="str">
        <x:v>CHEMBL3853329</x:v>
      </x:c>
      <x:c r="I16" s="9" t="str">
        <x:v>Cc1ncoc1-c1nnc(SCCCN2CC[C@@]3(C[C@H]3c3ccc(C(F)(F)F)cc3F)C2)n1C</x:v>
      </x:c>
      <x:c r="J16" s="9" t="str">
        <x:v>Cc1ncoc1-c1nnc(SCCCN2CC[C@@]3(C[C@H]3c3ccc(C(F)(F)F)cc3F)C2)n1C</x:v>
      </x:c>
      <x:c r="K16" s="9" t="str">
        <x:v>source_reported_pKi</x:v>
      </x:c>
      <x:c r="L16" s="11" t="n">
        <x:v>6.65</x:v>
      </x:c>
      <x:c r="M16" s="11" t="n">
        <x:v>223.87211385683378</x:v>
      </x:c>
      <x:c r="N16" s="11" t="n">
        <x:v>223.87</x:v>
      </x:c>
      <x:c r="O16" s="11" t="n">
        <x:v>6.650004100737144</x:v>
      </x:c>
      <x:c r="P16" s="12" t="n">
        <x:v>0.000004100737143630795</x:v>
      </x:c>
      <x:c r="Q16" s="12" t="n">
        <x:v>-0.0021138568337732977</x:v>
      </x:c>
      <x:c r="R16" s="11" t="n">
        <x:v>0.00501</x:v>
      </x:c>
      <x:c r="S16" s="9" t="str">
        <x:v>Cc1ncoc1-c1nnc(SCCCN2CC[C@@]3(C[C@H]3c3ccc(C(F)(F)F)cc3F)C2)n1C</x:v>
      </x:c>
      <x:c r="T16" s="9" t="str">
        <x:v>Cc1ncoc1-c1nnc(SCCCN2CC[C@@]3(C[C@H]3c3ccc(C(F)(F)F)cc3F)C2)n1C</x:v>
      </x:c>
      <x:c r="U16" s="9" t="str">
        <x:v>ZIQDGXNDXRMRPM-HTAPYJJXSA-N</x:v>
      </x:c>
      <x:c r="V16" s="9" t="str">
        <x:v>Cc1ncoc1-c1nnc(SCCCN2CCC3(CC3c3ccc(C(F)(F)F)cc3F)C2)n1C</x:v>
      </x:c>
      <x:c r="W16" s="9" t="str">
        <x:v>3a87350678a10d266285c519cd6d008e1adf4761974c26280d14b6f7333b44bd</x:v>
      </x:c>
      <x:c r="X16" s="9" t="str">
        <x:v>c1ccc(C2CC23CCN(CCCSc2nnc(-c4cnco4)[nH]2)C3)cc1</x:v>
      </x:c>
      <x:c r="Y16" s="9" t="str">
        <x:v>False</x:v>
      </x:c>
      <x:c r="Z16" s="13" t="n">
        <x:v>1</x:v>
      </x:c>
      <x:c r="AA16" s="9" t="str">
        <x:v>include</x:v>
      </x:c>
      <x:c r="AB16" s="9" t="str"/>
      <x:c r="AC16" s="9" t="str">
        <x:v>pKi</x:v>
      </x:c>
      <x:c r="AD16" s="9" t="str">
        <x:v>6.65</x:v>
      </x:c>
      <x:c r="AE16" s="9" t="str"/>
      <x:c r="AF16" s="9" t="str">
        <x:v>=</x:v>
      </x:c>
      <x:c r="AG16" s="9" t="str">
        <x:v>Ki</x:v>
      </x:c>
      <x:c r="AH16" s="11" t="n">
        <x:v>223.87</x:v>
      </x:c>
      <x:c r="AI16" s="9" t="str">
        <x:v>nM</x:v>
      </x:c>
      <x:c r="AJ16" s="9" t="str">
        <x:v>=</x:v>
      </x:c>
      <x:c r="AK16" s="11" t="n">
        <x:v>6.65</x:v>
      </x:c>
      <x:c r="AL16" s="13" t="n">
        <x:v>0</x:v>
      </x:c>
      <x:c r="AM16" s="9" t="str"/>
      <x:c r="AN16" s="9" t="str"/>
      <x:c r="AO16" s="9" t="str">
        <x:v>https://www.ebi.ac.uk/chembl/api/data/activity/16670172.json</x:v>
      </x:c>
      <x:c r="AP16" s="9" t="str">
        <x:v>Cc1ncoc1-c1nnc(SCCCN2CCC3(CC3c3ccc(C(F)(F)F)cc3F)C2)n1C</x:v>
      </x:c>
      <x:c r="AQ16" s="9" t="str">
        <x:v>c1ccc(C2CC23CCN(CCCSc2nnc(-c4cnco4)[nH]2)C3)cc1</x:v>
      </x:c>
      <x:c r="AR16" s="11" t="n">
        <x:v>495.54600000000016</x:v>
      </x:c>
      <x:c r="AS16" s="11" t="n">
        <x:v>5.298220000000005</x:v>
      </x:c>
      <x:c r="AT16" s="11" t="n">
        <x:v>59.980000000000004</x:v>
      </x:c>
      <x:c r="AU16" s="13" t="n">
        <x:v>0</x:v>
      </x:c>
      <x:c r="AV16" s="13" t="n">
        <x:v>6</x:v>
      </x:c>
      <x:c r="AW16" s="9" t="str">
        <x:v>test</x:v>
      </x:c>
    </x:row>
    <x:row r="17" ht="36" customHeight="1">
      <x:c r="A17" s="14" t="str">
        <x:v>LRMWMKQIJLOEPF-AVRDEDQJSA-N</x:v>
      </x:c>
      <x:c r="B17" s="14" t="str">
        <x:v>CHEMBL3985877</x:v>
      </x:c>
      <x:c r="C17" s="14" t="str">
        <x:v>CHEMBL3985877</x:v>
      </x:c>
      <x:c r="D17" s="14" t="str">
        <x:v>16670173</x:v>
      </x:c>
      <x:c r="E17" s="14" t="str">
        <x:v>16670173</x:v>
      </x:c>
      <x:c r="F17" s="14" t="str">
        <x:v>CHEMBL3855278</x:v>
      </x:c>
      <x:c r="G17" s="14" t="str">
        <x:v>CHEMBL217</x:v>
      </x:c>
      <x:c r="H17" s="14" t="str">
        <x:v>CHEMBL3853329</x:v>
      </x:c>
      <x:c r="I17" s="14" t="str">
        <x:v>Cc1ncoc1-c1nnc(SCCCN2CC[C@]3(C[C@H]3c3ccc(F)cc3C(F)(F)F)C2)n1C</x:v>
      </x:c>
      <x:c r="J17" s="14" t="str">
        <x:v>Cc1ncoc1-c1nnc(SCCCN2CC[C@]3(C[C@H]3c3ccc(F)cc3C(F)(F)F)C2)n1C</x:v>
      </x:c>
      <x:c r="K17" s="14" t="str">
        <x:v>source_reported_pKi</x:v>
      </x:c>
      <x:c r="L17" s="15" t="n">
        <x:v>6.78</x:v>
      </x:c>
      <x:c r="M17" s="15" t="n">
        <x:v>165.95869074375597</x:v>
      </x:c>
      <x:c r="N17" s="15" t="n">
        <x:v>165.96</x:v>
      </x:c>
      <x:c r="O17" s="15" t="n">
        <x:v>6.779996573843064</x:v>
      </x:c>
      <x:c r="P17" s="16" t="n">
        <x:v>-0.0000034261569359372857</x:v>
      </x:c>
      <x:c r="Q17" s="16" t="n">
        <x:v>0.0013092562440419897</x:v>
      </x:c>
      <x:c r="R17" s="15" t="n">
        <x:v>0.00501</x:v>
      </x:c>
      <x:c r="S17" s="14" t="str">
        <x:v>Cc1ncoc1-c1nnc(SCCCN2CC[C@]3(C[C@H]3c3ccc(F)cc3C(F)(F)F)C2)n1C</x:v>
      </x:c>
      <x:c r="T17" s="14" t="str">
        <x:v>Cc1ncoc1-c1nnc(SCCCN2CC[C@]3(C[C@H]3c3ccc(F)cc3C(F)(F)F)C2)n1C</x:v>
      </x:c>
      <x:c r="U17" s="14" t="str">
        <x:v>LRMWMKQIJLOEPF-AVRDEDQJSA-N</x:v>
      </x:c>
      <x:c r="V17" s="14" t="str">
        <x:v>Cc1ncoc1-c1nnc(SCCCN2CCC3(CC3c3ccc(F)cc3C(F)(F)F)C2)n1C</x:v>
      </x:c>
      <x:c r="W17" s="14" t="str">
        <x:v>ecd0a33a54e86ee86092bde14ba6502a5f45358129e40fb8939f2550280752bb</x:v>
      </x:c>
      <x:c r="X17" s="14" t="str">
        <x:v>c1ccc(C2CC23CCN(CCCSc2nnc(-c4cnco4)[nH]2)C3)cc1</x:v>
      </x:c>
      <x:c r="Y17" s="14" t="str">
        <x:v>False</x:v>
      </x:c>
      <x:c r="Z17" s="17" t="n">
        <x:v>1</x:v>
      </x:c>
      <x:c r="AA17" s="14" t="str">
        <x:v>include</x:v>
      </x:c>
      <x:c r="AB17" s="14" t="str"/>
      <x:c r="AC17" s="14" t="str">
        <x:v>pKi</x:v>
      </x:c>
      <x:c r="AD17" s="14" t="str">
        <x:v>6.78</x:v>
      </x:c>
      <x:c r="AE17" s="14" t="str"/>
      <x:c r="AF17" s="14" t="str">
        <x:v>=</x:v>
      </x:c>
      <x:c r="AG17" s="14" t="str">
        <x:v>Ki</x:v>
      </x:c>
      <x:c r="AH17" s="15" t="n">
        <x:v>165.96</x:v>
      </x:c>
      <x:c r="AI17" s="14" t="str">
        <x:v>nM</x:v>
      </x:c>
      <x:c r="AJ17" s="14" t="str">
        <x:v>=</x:v>
      </x:c>
      <x:c r="AK17" s="15" t="n">
        <x:v>6.78</x:v>
      </x:c>
      <x:c r="AL17" s="17" t="n">
        <x:v>0</x:v>
      </x:c>
      <x:c r="AM17" s="14" t="str"/>
      <x:c r="AN17" s="14" t="str"/>
      <x:c r="AO17" s="14" t="str">
        <x:v>https://www.ebi.ac.uk/chembl/api/data/activity/16670173.json</x:v>
      </x:c>
      <x:c r="AP17" s="14" t="str">
        <x:v>Cc1ncoc1-c1nnc(SCCCN2CCC3(CC3c3ccc(F)cc3C(F)(F)F)C2)n1C</x:v>
      </x:c>
      <x:c r="AQ17" s="14" t="str">
        <x:v>c1ccc(C2CC23CCN(CCCSc2nnc(-c4cnco4)[nH]2)C3)cc1</x:v>
      </x:c>
      <x:c r="AR17" s="15" t="n">
        <x:v>495.54600000000016</x:v>
      </x:c>
      <x:c r="AS17" s="15" t="n">
        <x:v>5.298220000000005</x:v>
      </x:c>
      <x:c r="AT17" s="15" t="n">
        <x:v>59.980000000000004</x:v>
      </x:c>
      <x:c r="AU17" s="17" t="n">
        <x:v>0</x:v>
      </x:c>
      <x:c r="AV17" s="17" t="n">
        <x:v>6</x:v>
      </x:c>
      <x:c r="AW17" s="14" t="str">
        <x:v>test</x:v>
      </x:c>
    </x:row>
    <x:row r="18" ht="36" customHeight="1">
      <x:c r="A18" s="9" t="str">
        <x:v>LRMWMKQIJLOEPF-XMSQKQJNSA-N</x:v>
      </x:c>
      <x:c r="B18" s="9" t="str">
        <x:v>CHEMBL3966647</x:v>
      </x:c>
      <x:c r="C18" s="9" t="str">
        <x:v>CHEMBL3966647</x:v>
      </x:c>
      <x:c r="D18" s="9" t="str">
        <x:v>16670174</x:v>
      </x:c>
      <x:c r="E18" s="9" t="str">
        <x:v>16670174</x:v>
      </x:c>
      <x:c r="F18" s="9" t="str">
        <x:v>CHEMBL3855278</x:v>
      </x:c>
      <x:c r="G18" s="9" t="str">
        <x:v>CHEMBL217</x:v>
      </x:c>
      <x:c r="H18" s="9" t="str">
        <x:v>CHEMBL3853329</x:v>
      </x:c>
      <x:c r="I18" s="9" t="str">
        <x:v>Cc1ncoc1-c1nnc(SCCCN2CC[C@@]3(C[C@@H]3c3ccc(F)cc3C(F)(F)F)C2)n1C</x:v>
      </x:c>
      <x:c r="J18" s="9" t="str">
        <x:v>Cc1ncoc1-c1nnc(SCCCN2CC[C@@]3(C[C@@H]3c3ccc(F)cc3C(F)(F)F)C2)n1C</x:v>
      </x:c>
      <x:c r="K18" s="9" t="str">
        <x:v>source_reported_pKi</x:v>
      </x:c>
      <x:c r="L18" s="11" t="n">
        <x:v>5.66</x:v>
      </x:c>
      <x:c r="M18" s="11" t="n">
        <x:v>2187.761623949552</x:v>
      </x:c>
      <x:c r="N18" s="11" t="n">
        <x:v>2187.76</x:v>
      </x:c>
      <x:c r="O18" s="11" t="n">
        <x:v>5.660000322371772</x:v>
      </x:c>
      <x:c r="P18" s="12" t="n">
        <x:v>3.223717719436081e-7</x:v>
      </x:c>
      <x:c r="Q18" s="12" t="n">
        <x:v>-0.001623949551685655</x:v>
      </x:c>
      <x:c r="R18" s="11" t="n">
        <x:v>0.00501</x:v>
      </x:c>
      <x:c r="S18" s="9" t="str">
        <x:v>Cc1ncoc1-c1nnc(SCCCN2CC[C@@]3(C[C@@H]3c3ccc(F)cc3C(F)(F)F)C2)n1C</x:v>
      </x:c>
      <x:c r="T18" s="9" t="str">
        <x:v>Cc1ncoc1-c1nnc(SCCCN2CC[C@@]3(C[C@@H]3c3ccc(F)cc3C(F)(F)F)C2)n1C</x:v>
      </x:c>
      <x:c r="U18" s="9" t="str">
        <x:v>LRMWMKQIJLOEPF-XMSQKQJNSA-N</x:v>
      </x:c>
      <x:c r="V18" s="9" t="str">
        <x:v>Cc1ncoc1-c1nnc(SCCCN2CCC3(CC3c3ccc(F)cc3C(F)(F)F)C2)n1C</x:v>
      </x:c>
      <x:c r="W18" s="9" t="str">
        <x:v>ecd0a33a54e86ee86092bde14ba6502a5f45358129e40fb8939f2550280752bb</x:v>
      </x:c>
      <x:c r="X18" s="9" t="str">
        <x:v>c1ccc(C2CC23CCN(CCCSc2nnc(-c4cnco4)[nH]2)C3)cc1</x:v>
      </x:c>
      <x:c r="Y18" s="9" t="str">
        <x:v>False</x:v>
      </x:c>
      <x:c r="Z18" s="13" t="n">
        <x:v>1</x:v>
      </x:c>
      <x:c r="AA18" s="9" t="str">
        <x:v>include</x:v>
      </x:c>
      <x:c r="AB18" s="9" t="str"/>
      <x:c r="AC18" s="9" t="str">
        <x:v>pKi</x:v>
      </x:c>
      <x:c r="AD18" s="9" t="str">
        <x:v>5.66</x:v>
      </x:c>
      <x:c r="AE18" s="9" t="str"/>
      <x:c r="AF18" s="9" t="str">
        <x:v>=</x:v>
      </x:c>
      <x:c r="AG18" s="9" t="str">
        <x:v>Ki</x:v>
      </x:c>
      <x:c r="AH18" s="11" t="n">
        <x:v>2187.76</x:v>
      </x:c>
      <x:c r="AI18" s="9" t="str">
        <x:v>nM</x:v>
      </x:c>
      <x:c r="AJ18" s="9" t="str">
        <x:v>=</x:v>
      </x:c>
      <x:c r="AK18" s="11" t="n">
        <x:v>5.66</x:v>
      </x:c>
      <x:c r="AL18" s="13" t="n">
        <x:v>0</x:v>
      </x:c>
      <x:c r="AM18" s="9" t="str"/>
      <x:c r="AN18" s="9" t="str"/>
      <x:c r="AO18" s="9" t="str">
        <x:v>https://www.ebi.ac.uk/chembl/api/data/activity/16670174.json</x:v>
      </x:c>
      <x:c r="AP18" s="9" t="str">
        <x:v>Cc1ncoc1-c1nnc(SCCCN2CCC3(CC3c3ccc(F)cc3C(F)(F)F)C2)n1C</x:v>
      </x:c>
      <x:c r="AQ18" s="9" t="str">
        <x:v>c1ccc(C2CC23CCN(CCCSc2nnc(-c4cnco4)[nH]2)C3)cc1</x:v>
      </x:c>
      <x:c r="AR18" s="11" t="n">
        <x:v>495.54600000000016</x:v>
      </x:c>
      <x:c r="AS18" s="11" t="n">
        <x:v>5.298220000000005</x:v>
      </x:c>
      <x:c r="AT18" s="11" t="n">
        <x:v>59.980000000000004</x:v>
      </x:c>
      <x:c r="AU18" s="13" t="n">
        <x:v>0</x:v>
      </x:c>
      <x:c r="AV18" s="13" t="n">
        <x:v>6</x:v>
      </x:c>
      <x:c r="AW18" s="9" t="str">
        <x:v>test</x:v>
      </x:c>
    </x:row>
    <x:row r="19" ht="36" customHeight="1">
      <x:c r="A19" s="14" t="str">
        <x:v>LRMWMKQIJLOEPF-GCJKJVERSA-N</x:v>
      </x:c>
      <x:c r="B19" s="14" t="str">
        <x:v>CHEMBL3945776</x:v>
      </x:c>
      <x:c r="C19" s="14" t="str">
        <x:v>CHEMBL3945776</x:v>
      </x:c>
      <x:c r="D19" s="14" t="str">
        <x:v>16670175</x:v>
      </x:c>
      <x:c r="E19" s="14" t="str">
        <x:v>16670175</x:v>
      </x:c>
      <x:c r="F19" s="14" t="str">
        <x:v>CHEMBL3855278</x:v>
      </x:c>
      <x:c r="G19" s="14" t="str">
        <x:v>CHEMBL217</x:v>
      </x:c>
      <x:c r="H19" s="14" t="str">
        <x:v>CHEMBL3853329</x:v>
      </x:c>
      <x:c r="I19" s="14" t="str">
        <x:v>Cc1ncoc1-c1nnc(SCCCN2CC[C@]3(C[C@@H]3c3ccc(F)cc3C(F)(F)F)C2)n1C</x:v>
      </x:c>
      <x:c r="J19" s="14" t="str">
        <x:v>Cc1ncoc1-c1nnc(SCCCN2CC[C@]3(C[C@@H]3c3ccc(F)cc3C(F)(F)F)C2)n1C</x:v>
      </x:c>
      <x:c r="K19" s="14" t="str">
        <x:v>source_reported_pKi</x:v>
      </x:c>
      <x:c r="L19" s="15" t="n">
        <x:v>5.42</x:v>
      </x:c>
      <x:c r="M19" s="15" t="n">
        <x:v>3801.8939632056126</x:v>
      </x:c>
      <x:c r="N19" s="15" t="n">
        <x:v>3801.89</x:v>
      </x:c>
      <x:c r="O19" s="15" t="n">
        <x:v>5.420000452721522</x:v>
      </x:c>
      <x:c r="P19" s="16" t="n">
        <x:v>4.527215224925385e-7</x:v>
      </x:c>
      <x:c r="Q19" s="16" t="n">
        <x:v>-0.003963205612762977</x:v>
      </x:c>
      <x:c r="R19" s="15" t="n">
        <x:v>0.00501</x:v>
      </x:c>
      <x:c r="S19" s="14" t="str">
        <x:v>Cc1ncoc1-c1nnc(SCCCN2CC[C@]3(C[C@@H]3c3ccc(F)cc3C(F)(F)F)C2)n1C</x:v>
      </x:c>
      <x:c r="T19" s="14" t="str">
        <x:v>Cc1ncoc1-c1nnc(SCCCN2CC[C@]3(C[C@@H]3c3ccc(F)cc3C(F)(F)F)C2)n1C</x:v>
      </x:c>
      <x:c r="U19" s="14" t="str">
        <x:v>LRMWMKQIJLOEPF-GCJKJVERSA-N</x:v>
      </x:c>
      <x:c r="V19" s="14" t="str">
        <x:v>Cc1ncoc1-c1nnc(SCCCN2CCC3(CC3c3ccc(F)cc3C(F)(F)F)C2)n1C</x:v>
      </x:c>
      <x:c r="W19" s="14" t="str">
        <x:v>ecd0a33a54e86ee86092bde14ba6502a5f45358129e40fb8939f2550280752bb</x:v>
      </x:c>
      <x:c r="X19" s="14" t="str">
        <x:v>c1ccc(C2CC23CCN(CCCSc2nnc(-c4cnco4)[nH]2)C3)cc1</x:v>
      </x:c>
      <x:c r="Y19" s="14" t="str">
        <x:v>False</x:v>
      </x:c>
      <x:c r="Z19" s="17" t="n">
        <x:v>1</x:v>
      </x:c>
      <x:c r="AA19" s="14" t="str">
        <x:v>include</x:v>
      </x:c>
      <x:c r="AB19" s="14" t="str"/>
      <x:c r="AC19" s="14" t="str">
        <x:v>pKi</x:v>
      </x:c>
      <x:c r="AD19" s="14" t="str">
        <x:v>5.42</x:v>
      </x:c>
      <x:c r="AE19" s="14" t="str"/>
      <x:c r="AF19" s="14" t="str">
        <x:v>=</x:v>
      </x:c>
      <x:c r="AG19" s="14" t="str">
        <x:v>Ki</x:v>
      </x:c>
      <x:c r="AH19" s="15" t="n">
        <x:v>3801.89</x:v>
      </x:c>
      <x:c r="AI19" s="14" t="str">
        <x:v>nM</x:v>
      </x:c>
      <x:c r="AJ19" s="14" t="str">
        <x:v>=</x:v>
      </x:c>
      <x:c r="AK19" s="15" t="n">
        <x:v>5.42</x:v>
      </x:c>
      <x:c r="AL19" s="17" t="n">
        <x:v>0</x:v>
      </x:c>
      <x:c r="AM19" s="14" t="str"/>
      <x:c r="AN19" s="14" t="str"/>
      <x:c r="AO19" s="14" t="str">
        <x:v>https://www.ebi.ac.uk/chembl/api/data/activity/16670175.json</x:v>
      </x:c>
      <x:c r="AP19" s="14" t="str">
        <x:v>Cc1ncoc1-c1nnc(SCCCN2CCC3(CC3c3ccc(F)cc3C(F)(F)F)C2)n1C</x:v>
      </x:c>
      <x:c r="AQ19" s="14" t="str">
        <x:v>c1ccc(C2CC23CCN(CCCSc2nnc(-c4cnco4)[nH]2)C3)cc1</x:v>
      </x:c>
      <x:c r="AR19" s="15" t="n">
        <x:v>495.54600000000016</x:v>
      </x:c>
      <x:c r="AS19" s="15" t="n">
        <x:v>5.298220000000005</x:v>
      </x:c>
      <x:c r="AT19" s="15" t="n">
        <x:v>59.980000000000004</x:v>
      </x:c>
      <x:c r="AU19" s="17" t="n">
        <x:v>0</x:v>
      </x:c>
      <x:c r="AV19" s="17" t="n">
        <x:v>6</x:v>
      </x:c>
      <x:c r="AW19" s="14" t="str">
        <x:v>test</x:v>
      </x:c>
    </x:row>
    <x:row r="20" ht="36" customHeight="1">
      <x:c r="A20" s="9" t="str">
        <x:v>LRMWMKQIJLOEPF-PGRDOPGGSA-N</x:v>
      </x:c>
      <x:c r="B20" s="9" t="str">
        <x:v>CHEMBL3975147</x:v>
      </x:c>
      <x:c r="C20" s="9" t="str">
        <x:v>CHEMBL3975147</x:v>
      </x:c>
      <x:c r="D20" s="9" t="str">
        <x:v>16670176</x:v>
      </x:c>
      <x:c r="E20" s="9" t="str">
        <x:v>16670176</x:v>
      </x:c>
      <x:c r="F20" s="9" t="str">
        <x:v>CHEMBL3855278</x:v>
      </x:c>
      <x:c r="G20" s="9" t="str">
        <x:v>CHEMBL217</x:v>
      </x:c>
      <x:c r="H20" s="9" t="str">
        <x:v>CHEMBL3853329</x:v>
      </x:c>
      <x:c r="I20" s="9" t="str">
        <x:v>Cc1ncoc1-c1nnc(SCCCN2CC[C@@]3(C[C@H]3c3ccc(F)cc3C(F)(F)F)C2)n1C</x:v>
      </x:c>
      <x:c r="J20" s="9" t="str">
        <x:v>Cc1ncoc1-c1nnc(SCCCN2CC[C@@]3(C[C@H]3c3ccc(F)cc3C(F)(F)F)C2)n1C</x:v>
      </x:c>
      <x:c r="K20" s="9" t="str">
        <x:v>source_reported_pKi</x:v>
      </x:c>
      <x:c r="L20" s="11" t="n">
        <x:v>5.89</x:v>
      </x:c>
      <x:c r="M20" s="11" t="n">
        <x:v>1288.249551693135</x:v>
      </x:c>
      <x:c r="N20" s="11" t="n">
        <x:v>1288.25</x:v>
      </x:c>
      <x:c r="O20" s="11" t="n">
        <x:v>5.889999848866887</x:v>
      </x:c>
      <x:c r="P20" s="12" t="n">
        <x:v>-1.5113311224723702e-7</x:v>
      </x:c>
      <x:c r="Q20" s="12" t="n">
        <x:v>0.000448306865109771</x:v>
      </x:c>
      <x:c r="R20" s="11" t="n">
        <x:v>0.00501</x:v>
      </x:c>
      <x:c r="S20" s="9" t="str">
        <x:v>Cc1ncoc1-c1nnc(SCCCN2CC[C@@]3(C[C@H]3c3ccc(F)cc3C(F)(F)F)C2)n1C</x:v>
      </x:c>
      <x:c r="T20" s="9" t="str">
        <x:v>Cc1ncoc1-c1nnc(SCCCN2CC[C@@]3(C[C@H]3c3ccc(F)cc3C(F)(F)F)C2)n1C</x:v>
      </x:c>
      <x:c r="U20" s="9" t="str">
        <x:v>LRMWMKQIJLOEPF-PGRDOPGGSA-N</x:v>
      </x:c>
      <x:c r="V20" s="9" t="str">
        <x:v>Cc1ncoc1-c1nnc(SCCCN2CCC3(CC3c3ccc(F)cc3C(F)(F)F)C2)n1C</x:v>
      </x:c>
      <x:c r="W20" s="9" t="str">
        <x:v>ecd0a33a54e86ee86092bde14ba6502a5f45358129e40fb8939f2550280752bb</x:v>
      </x:c>
      <x:c r="X20" s="9" t="str">
        <x:v>c1ccc(C2CC23CCN(CCCSc2nnc(-c4cnco4)[nH]2)C3)cc1</x:v>
      </x:c>
      <x:c r="Y20" s="9" t="str">
        <x:v>False</x:v>
      </x:c>
      <x:c r="Z20" s="13" t="n">
        <x:v>1</x:v>
      </x:c>
      <x:c r="AA20" s="9" t="str">
        <x:v>include</x:v>
      </x:c>
      <x:c r="AB20" s="9" t="str"/>
      <x:c r="AC20" s="9" t="str">
        <x:v>pKi</x:v>
      </x:c>
      <x:c r="AD20" s="9" t="str">
        <x:v>5.89</x:v>
      </x:c>
      <x:c r="AE20" s="9" t="str"/>
      <x:c r="AF20" s="9" t="str">
        <x:v>=</x:v>
      </x:c>
      <x:c r="AG20" s="9" t="str">
        <x:v>Ki</x:v>
      </x:c>
      <x:c r="AH20" s="11" t="n">
        <x:v>1288.25</x:v>
      </x:c>
      <x:c r="AI20" s="9" t="str">
        <x:v>nM</x:v>
      </x:c>
      <x:c r="AJ20" s="9" t="str">
        <x:v>=</x:v>
      </x:c>
      <x:c r="AK20" s="11" t="n">
        <x:v>5.89</x:v>
      </x:c>
      <x:c r="AL20" s="13" t="n">
        <x:v>0</x:v>
      </x:c>
      <x:c r="AM20" s="9" t="str"/>
      <x:c r="AN20" s="9" t="str"/>
      <x:c r="AO20" s="9" t="str">
        <x:v>https://www.ebi.ac.uk/chembl/api/data/activity/16670176.json</x:v>
      </x:c>
      <x:c r="AP20" s="9" t="str">
        <x:v>Cc1ncoc1-c1nnc(SCCCN2CCC3(CC3c3ccc(F)cc3C(F)(F)F)C2)n1C</x:v>
      </x:c>
      <x:c r="AQ20" s="9" t="str">
        <x:v>c1ccc(C2CC23CCN(CCCSc2nnc(-c4cnco4)[nH]2)C3)cc1</x:v>
      </x:c>
      <x:c r="AR20" s="11" t="n">
        <x:v>495.54600000000016</x:v>
      </x:c>
      <x:c r="AS20" s="11" t="n">
        <x:v>5.298220000000005</x:v>
      </x:c>
      <x:c r="AT20" s="11" t="n">
        <x:v>59.980000000000004</x:v>
      </x:c>
      <x:c r="AU20" s="13" t="n">
        <x:v>0</x:v>
      </x:c>
      <x:c r="AV20" s="13" t="n">
        <x:v>6</x:v>
      </x:c>
      <x:c r="AW20" s="9" t="str">
        <x:v>test</x:v>
      </x:c>
    </x:row>
    <x:row r="21" ht="36" customHeight="1">
      <x:c r="A21" s="14" t="str">
        <x:v>GNVATANRVUMZDM-RXJZEZJSSA-N</x:v>
      </x:c>
      <x:c r="B21" s="14" t="str">
        <x:v>CHEMBL3954490</x:v>
      </x:c>
      <x:c r="C21" s="14" t="str">
        <x:v>CHEMBL3954490</x:v>
      </x:c>
      <x:c r="D21" s="14" t="str">
        <x:v>16670177</x:v>
      </x:c>
      <x:c r="E21" s="14" t="str">
        <x:v>16670177</x:v>
      </x:c>
      <x:c r="F21" s="14" t="str">
        <x:v>CHEMBL3855278</x:v>
      </x:c>
      <x:c r="G21" s="14" t="str">
        <x:v>CHEMBL217</x:v>
      </x:c>
      <x:c r="H21" s="14" t="str">
        <x:v>CHEMBL3853329</x:v>
      </x:c>
      <x:c r="I21" s="14" t="str">
        <x:v>Cc1ncoc1-c1nnc(SCC(O)CN2CC[C@@]3(C[C@H]3c3ccc(C(F)(F)F)cc3)C2)n1C</x:v>
      </x:c>
      <x:c r="J21" s="14" t="str">
        <x:v>Cc1ncoc1-c1nnc(SCC(O)CN2CC[C@@]3(C[C@H]3c3ccc(C(F)(F)F)cc3)C2)n1C</x:v>
      </x:c>
      <x:c r="K21" s="14" t="str">
        <x:v>source_reported_pKi</x:v>
      </x:c>
      <x:c r="L21" s="15" t="n">
        <x:v>5.76</x:v>
      </x:c>
      <x:c r="M21" s="15" t="n">
        <x:v>1737.8008287493763</x:v>
      </x:c>
      <x:c r="N21" s="15" t="n">
        <x:v>1737.8</x:v>
      </x:c>
      <x:c r="O21" s="15" t="n">
        <x:v>5.760000207113128</x:v>
      </x:c>
      <x:c r="P21" s="16" t="n">
        <x:v>2.0711312842536245e-7</x:v>
      </x:c>
      <x:c r="Q21" s="16" t="n">
        <x:v>-0.0008287493762964004</x:v>
      </x:c>
      <x:c r="R21" s="15" t="n">
        <x:v>0.00501</x:v>
      </x:c>
      <x:c r="S21" s="14" t="str">
        <x:v>Cc1ncoc1-c1nnc(SCC(O)CN2CC[C@@]3(C[C@H]3c3ccc(C(F)(F)F)cc3)C2)n1C</x:v>
      </x:c>
      <x:c r="T21" s="14" t="str">
        <x:v>Cc1ncoc1-c1nnc(SCC(O)CN2CC[C@@]3(C[C@H]3c3ccc(C(F)(F)F)cc3)C2)n1C</x:v>
      </x:c>
      <x:c r="U21" s="14" t="str">
        <x:v>GNVATANRVUMZDM-RXJZEZJSSA-N</x:v>
      </x:c>
      <x:c r="V21" s="14" t="str">
        <x:v>Cc1ncoc1-c1nnc(SCC(O)CN2CCC3(CC3c3ccc(C(F)(F)F)cc3)C2)n1C</x:v>
      </x:c>
      <x:c r="W21" s="14" t="str">
        <x:v>f9dd1a7b94a4e018fc1d145ad30a4628e11311dbe1188f815f403d1b098521b5</x:v>
      </x:c>
      <x:c r="X21" s="14" t="str">
        <x:v>c1ccc(C2CC23CCN(CCCSc2nnc(-c4cnco4)[nH]2)C3)cc1</x:v>
      </x:c>
      <x:c r="Y21" s="14" t="str">
        <x:v>False</x:v>
      </x:c>
      <x:c r="Z21" s="17" t="n">
        <x:v>1</x:v>
      </x:c>
      <x:c r="AA21" s="14" t="str">
        <x:v>include</x:v>
      </x:c>
      <x:c r="AB21" s="14" t="str"/>
      <x:c r="AC21" s="14" t="str">
        <x:v>pKi</x:v>
      </x:c>
      <x:c r="AD21" s="14" t="str">
        <x:v>5.76</x:v>
      </x:c>
      <x:c r="AE21" s="14" t="str"/>
      <x:c r="AF21" s="14" t="str">
        <x:v>=</x:v>
      </x:c>
      <x:c r="AG21" s="14" t="str">
        <x:v>Ki</x:v>
      </x:c>
      <x:c r="AH21" s="15" t="n">
        <x:v>1737.8</x:v>
      </x:c>
      <x:c r="AI21" s="14" t="str">
        <x:v>nM</x:v>
      </x:c>
      <x:c r="AJ21" s="14" t="str">
        <x:v>=</x:v>
      </x:c>
      <x:c r="AK21" s="15" t="n">
        <x:v>5.76</x:v>
      </x:c>
      <x:c r="AL21" s="17" t="n">
        <x:v>0</x:v>
      </x:c>
      <x:c r="AM21" s="14" t="str"/>
      <x:c r="AN21" s="14" t="str"/>
      <x:c r="AO21" s="14" t="str">
        <x:v>https://www.ebi.ac.uk/chembl/api/data/activity/16670177.json</x:v>
      </x:c>
      <x:c r="AP21" s="14" t="str">
        <x:v>Cc1ncoc1-c1nnc(SCC(O)CN2CCC3(CC3c3ccc(C(F)(F)F)cc3)C2)n1C</x:v>
      </x:c>
      <x:c r="AQ21" s="14" t="str">
        <x:v>c1ccc(C2CC23CCN(CCCSc2nnc(-c4cnco4)[nH]2)C3)cc1</x:v>
      </x:c>
      <x:c r="AR21" s="15" t="n">
        <x:v>493.55500000000023</x:v>
      </x:c>
      <x:c r="AS21" s="15" t="n">
        <x:v>4.129920000000003</x:v>
      </x:c>
      <x:c r="AT21" s="15" t="n">
        <x:v>80.21000000000001</x:v>
      </x:c>
      <x:c r="AU21" s="17" t="n">
        <x:v>1</x:v>
      </x:c>
      <x:c r="AV21" s="17" t="n">
        <x:v>7</x:v>
      </x:c>
      <x:c r="AW21" s="14" t="str">
        <x:v>test</x:v>
      </x:c>
    </x:row>
    <x:row r="22" ht="36" customHeight="1">
      <x:c r="A22" s="9" t="str">
        <x:v>FCYQRIODPYABJL-AVRDEDQJSA-N</x:v>
      </x:c>
      <x:c r="B22" s="9" t="str">
        <x:v>CHEMBL3983121</x:v>
      </x:c>
      <x:c r="C22" s="9" t="str">
        <x:v>CHEMBL3983121</x:v>
      </x:c>
      <x:c r="D22" s="9" t="str">
        <x:v>16670178</x:v>
      </x:c>
      <x:c r="E22" s="9" t="str">
        <x:v>16670178</x:v>
      </x:c>
      <x:c r="F22" s="9" t="str">
        <x:v>CHEMBL3855278</x:v>
      </x:c>
      <x:c r="G22" s="9" t="str">
        <x:v>CHEMBL217</x:v>
      </x:c>
      <x:c r="H22" s="9" t="str">
        <x:v>CHEMBL3853329</x:v>
      </x:c>
      <x:c r="I22" s="9" t="str">
        <x:v>Cc1ncoc1-c1nnc(SCCCN2CC[C@]3(C[C@H]3c3cc(Cl)cc(Cl)c3)C2)n1C</x:v>
      </x:c>
      <x:c r="J22" s="9" t="str">
        <x:v>Cc1ncoc1-c1nnc(SCCCN2CC[C@]3(C[C@H]3c3cc(Cl)cc(Cl)c3)C2)n1C</x:v>
      </x:c>
      <x:c r="K22" s="9" t="str">
        <x:v>source_reported_pKi</x:v>
      </x:c>
      <x:c r="L22" s="11" t="n">
        <x:v>7.18</x:v>
      </x:c>
      <x:c r="M22" s="11" t="n">
        <x:v>66.06934480075964</x:v>
      </x:c>
      <x:c r="N22" s="11" t="n">
        <x:v>66.07</x:v>
      </x:c>
      <x:c r="O22" s="11" t="n">
        <x:v>7.179995693191682</x:v>
      </x:c>
      <x:c r="P22" s="12" t="n">
        <x:v>-0.000004306808317977584</x:v>
      </x:c>
      <x:c r="Q22" s="12" t="n">
        <x:v>0.0006551992403558415</x:v>
      </x:c>
      <x:c r="R22" s="11" t="n">
        <x:v>0.00501</x:v>
      </x:c>
      <x:c r="S22" s="9" t="str">
        <x:v>Cc1ncoc1-c1nnc(SCCCN2CC[C@]3(C[C@H]3c3cc(Cl)cc(Cl)c3)C2)n1C</x:v>
      </x:c>
      <x:c r="T22" s="9" t="str">
        <x:v>Cc1ncoc1-c1nnc(SCCCN2CC[C@]3(C[C@H]3c3cc(Cl)cc(Cl)c3)C2)n1C</x:v>
      </x:c>
      <x:c r="U22" s="9" t="str">
        <x:v>FCYQRIODPYABJL-AVRDEDQJSA-N</x:v>
      </x:c>
      <x:c r="V22" s="9" t="str">
        <x:v>Cc1ncoc1-c1nnc(SCCCN2CCC3(CC3c3cc(Cl)cc(Cl)c3)C2)n1C</x:v>
      </x:c>
      <x:c r="W22" s="9" t="str">
        <x:v>3d1b01f172b95fa970bdbde7a881107f16a11e0edc4e493db8df12af9404d052</x:v>
      </x:c>
      <x:c r="X22" s="9" t="str">
        <x:v>c1ccc(C2CC23CCN(CCCSc2nnc(-c4cnco4)[nH]2)C3)cc1</x:v>
      </x:c>
      <x:c r="Y22" s="9" t="str">
        <x:v>False</x:v>
      </x:c>
      <x:c r="Z22" s="13" t="n">
        <x:v>1</x:v>
      </x:c>
      <x:c r="AA22" s="9" t="str">
        <x:v>include</x:v>
      </x:c>
      <x:c r="AB22" s="9" t="str"/>
      <x:c r="AC22" s="9" t="str">
        <x:v>pKi</x:v>
      </x:c>
      <x:c r="AD22" s="9" t="str">
        <x:v>7.18</x:v>
      </x:c>
      <x:c r="AE22" s="9" t="str"/>
      <x:c r="AF22" s="9" t="str">
        <x:v>=</x:v>
      </x:c>
      <x:c r="AG22" s="9" t="str">
        <x:v>Ki</x:v>
      </x:c>
      <x:c r="AH22" s="11" t="n">
        <x:v>66.07</x:v>
      </x:c>
      <x:c r="AI22" s="9" t="str">
        <x:v>nM</x:v>
      </x:c>
      <x:c r="AJ22" s="9" t="str">
        <x:v>=</x:v>
      </x:c>
      <x:c r="AK22" s="11" t="n">
        <x:v>7.18</x:v>
      </x:c>
      <x:c r="AL22" s="13" t="n">
        <x:v>0</x:v>
      </x:c>
      <x:c r="AM22" s="9" t="str"/>
      <x:c r="AN22" s="9" t="str"/>
      <x:c r="AO22" s="9" t="str">
        <x:v>https://www.ebi.ac.uk/chembl/api/data/activity/16670178.json</x:v>
      </x:c>
      <x:c r="AP22" s="9" t="str">
        <x:v>Cc1ncoc1-c1nnc(SCCCN2CCC3(CC3c3cc(Cl)cc(Cl)c3)C2)n1C</x:v>
      </x:c>
      <x:c r="AQ22" s="9" t="str">
        <x:v>c1ccc(C2CC23CCN(CCCSc2nnc(-c4cnco4)[nH]2)C3)cc1</x:v>
      </x:c>
      <x:c r="AR22" s="11" t="n">
        <x:v>478.4490000000002</x:v>
      </x:c>
      <x:c r="AS22" s="11" t="n">
        <x:v>5.447120000000005</x:v>
      </x:c>
      <x:c r="AT22" s="11" t="n">
        <x:v>59.980000000000004</x:v>
      </x:c>
      <x:c r="AU22" s="13" t="n">
        <x:v>0</x:v>
      </x:c>
      <x:c r="AV22" s="13" t="n">
        <x:v>6</x:v>
      </x:c>
      <x:c r="AW22" s="9" t="str">
        <x:v>test</x:v>
      </x:c>
    </x:row>
    <x:row r="23" ht="36" customHeight="1">
      <x:c r="A23" s="14" t="str">
        <x:v>FCYQRIODPYABJL-GCJKJVERSA-N</x:v>
      </x:c>
      <x:c r="B23" s="14" t="str">
        <x:v>CHEMBL3899336</x:v>
      </x:c>
      <x:c r="C23" s="14" t="str">
        <x:v>CHEMBL3899336</x:v>
      </x:c>
      <x:c r="D23" s="14" t="str">
        <x:v>16670179</x:v>
      </x:c>
      <x:c r="E23" s="14" t="str">
        <x:v>16670179</x:v>
      </x:c>
      <x:c r="F23" s="14" t="str">
        <x:v>CHEMBL3855278</x:v>
      </x:c>
      <x:c r="G23" s="14" t="str">
        <x:v>CHEMBL217</x:v>
      </x:c>
      <x:c r="H23" s="14" t="str">
        <x:v>CHEMBL3853329</x:v>
      </x:c>
      <x:c r="I23" s="14" t="str">
        <x:v>Cc1ncoc1-c1nnc(SCCCN2CC[C@]3(C[C@@H]3c3cc(Cl)cc(Cl)c3)C2)n1C</x:v>
      </x:c>
      <x:c r="J23" s="14" t="str">
        <x:v>Cc1ncoc1-c1nnc(SCCCN2CC[C@]3(C[C@@H]3c3cc(Cl)cc(Cl)c3)C2)n1C</x:v>
      </x:c>
      <x:c r="K23" s="14" t="str">
        <x:v>source_reported_pKi</x:v>
      </x:c>
      <x:c r="L23" s="15" t="n">
        <x:v>7.21</x:v>
      </x:c>
      <x:c r="M23" s="15" t="n">
        <x:v>61.65950018614822</x:v>
      </x:c>
      <x:c r="N23" s="15" t="n">
        <x:v>61.66</x:v>
      </x:c>
      <x:c r="O23" s="15" t="n">
        <x:v>7.209996479609511</x:v>
      </x:c>
      <x:c r="P23" s="16" t="n">
        <x:v>-0.0000035203904893421623</x:v>
      </x:c>
      <x:c r="Q23" s="16" t="n">
        <x:v>0.0004998138517748885</x:v>
      </x:c>
      <x:c r="R23" s="15" t="n">
        <x:v>0.00501</x:v>
      </x:c>
      <x:c r="S23" s="14" t="str">
        <x:v>Cc1ncoc1-c1nnc(SCCCN2CC[C@]3(C[C@@H]3c3cc(Cl)cc(Cl)c3)C2)n1C</x:v>
      </x:c>
      <x:c r="T23" s="14" t="str">
        <x:v>Cc1ncoc1-c1nnc(SCCCN2CC[C@]3(C[C@@H]3c3cc(Cl)cc(Cl)c3)C2)n1C</x:v>
      </x:c>
      <x:c r="U23" s="14" t="str">
        <x:v>FCYQRIODPYABJL-GCJKJVERSA-N</x:v>
      </x:c>
      <x:c r="V23" s="14" t="str">
        <x:v>Cc1ncoc1-c1nnc(SCCCN2CCC3(CC3c3cc(Cl)cc(Cl)c3)C2)n1C</x:v>
      </x:c>
      <x:c r="W23" s="14" t="str">
        <x:v>3d1b01f172b95fa970bdbde7a881107f16a11e0edc4e493db8df12af9404d052</x:v>
      </x:c>
      <x:c r="X23" s="14" t="str">
        <x:v>c1ccc(C2CC23CCN(CCCSc2nnc(-c4cnco4)[nH]2)C3)cc1</x:v>
      </x:c>
      <x:c r="Y23" s="14" t="str">
        <x:v>False</x:v>
      </x:c>
      <x:c r="Z23" s="17" t="n">
        <x:v>1</x:v>
      </x:c>
      <x:c r="AA23" s="14" t="str">
        <x:v>include</x:v>
      </x:c>
      <x:c r="AB23" s="14" t="str"/>
      <x:c r="AC23" s="14" t="str">
        <x:v>pKi</x:v>
      </x:c>
      <x:c r="AD23" s="14" t="str">
        <x:v>7.21</x:v>
      </x:c>
      <x:c r="AE23" s="14" t="str"/>
      <x:c r="AF23" s="14" t="str">
        <x:v>=</x:v>
      </x:c>
      <x:c r="AG23" s="14" t="str">
        <x:v>Ki</x:v>
      </x:c>
      <x:c r="AH23" s="15" t="n">
        <x:v>61.66</x:v>
      </x:c>
      <x:c r="AI23" s="14" t="str">
        <x:v>nM</x:v>
      </x:c>
      <x:c r="AJ23" s="14" t="str">
        <x:v>=</x:v>
      </x:c>
      <x:c r="AK23" s="15" t="n">
        <x:v>7.21</x:v>
      </x:c>
      <x:c r="AL23" s="17" t="n">
        <x:v>0</x:v>
      </x:c>
      <x:c r="AM23" s="14" t="str"/>
      <x:c r="AN23" s="14" t="str"/>
      <x:c r="AO23" s="14" t="str">
        <x:v>https://www.ebi.ac.uk/chembl/api/data/activity/16670179.json</x:v>
      </x:c>
      <x:c r="AP23" s="14" t="str">
        <x:v>Cc1ncoc1-c1nnc(SCCCN2CCC3(CC3c3cc(Cl)cc(Cl)c3)C2)n1C</x:v>
      </x:c>
      <x:c r="AQ23" s="14" t="str">
        <x:v>c1ccc(C2CC23CCN(CCCSc2nnc(-c4cnco4)[nH]2)C3)cc1</x:v>
      </x:c>
      <x:c r="AR23" s="15" t="n">
        <x:v>478.4490000000002</x:v>
      </x:c>
      <x:c r="AS23" s="15" t="n">
        <x:v>5.447120000000005</x:v>
      </x:c>
      <x:c r="AT23" s="15" t="n">
        <x:v>59.980000000000004</x:v>
      </x:c>
      <x:c r="AU23" s="17" t="n">
        <x:v>0</x:v>
      </x:c>
      <x:c r="AV23" s="17" t="n">
        <x:v>6</x:v>
      </x:c>
      <x:c r="AW23" s="14" t="str">
        <x:v>test</x:v>
      </x:c>
    </x:row>
    <x:row r="24" ht="36" customHeight="1">
      <x:c r="A24" s="9" t="str">
        <x:v>NFIANDWIUXYLJZ-AVRDEDQJSA-N</x:v>
      </x:c>
      <x:c r="B24" s="9" t="str">
        <x:v>CHEMBL3894257</x:v>
      </x:c>
      <x:c r="C24" s="9" t="str">
        <x:v>CHEMBL3894257</x:v>
      </x:c>
      <x:c r="D24" s="9" t="str">
        <x:v>16670256</x:v>
      </x:c>
      <x:c r="E24" s="9" t="str">
        <x:v>16670256</x:v>
      </x:c>
      <x:c r="F24" s="9" t="str">
        <x:v>CHEMBL3855278</x:v>
      </x:c>
      <x:c r="G24" s="9" t="str">
        <x:v>CHEMBL217</x:v>
      </x:c>
      <x:c r="H24" s="9" t="str">
        <x:v>CHEMBL3853329</x:v>
      </x:c>
      <x:c r="I24" s="9" t="str">
        <x:v>Cc1ncsc1-c1nnc(SCCCN2CC[C@]3(C[C@H]3c3ccc(C(F)(F)F)cc3)C2)n1C</x:v>
      </x:c>
      <x:c r="J24" s="9" t="str">
        <x:v>Cc1ncsc1-c1nnc(SCCCN2CC[C@]3(C[C@H]3c3ccc(C(F)(F)F)cc3)C2)n1C</x:v>
      </x:c>
      <x:c r="K24" s="9" t="str">
        <x:v>source_reported_pKi</x:v>
      </x:c>
      <x:c r="L24" s="11" t="n">
        <x:v>5.91</x:v>
      </x:c>
      <x:c r="M24" s="11" t="n">
        <x:v>1230.268770812381</x:v>
      </x:c>
      <x:c r="N24" s="11" t="n">
        <x:v>1230.27</x:v>
      </x:c>
      <x:c r="O24" s="11" t="n">
        <x:v>5.90999956608739</x:v>
      </x:c>
      <x:c r="P24" s="12" t="n">
        <x:v>-4.3391260984293467e-7</x:v>
      </x:c>
      <x:c r="Q24" s="12" t="n">
        <x:v>0.0012291876189465256</x:v>
      </x:c>
      <x:c r="R24" s="11" t="n">
        <x:v>0.00501</x:v>
      </x:c>
      <x:c r="S24" s="9" t="str">
        <x:v>Cc1ncsc1-c1nnc(SCCCN2CC[C@]3(C[C@H]3c3ccc(C(F)(F)F)cc3)C2)n1C</x:v>
      </x:c>
      <x:c r="T24" s="9" t="str">
        <x:v>Cc1ncsc1-c1nnc(SCCCN2CC[C@]3(C[C@H]3c3ccc(C(F)(F)F)cc3)C2)n1C</x:v>
      </x:c>
      <x:c r="U24" s="9" t="str">
        <x:v>NFIANDWIUXYLJZ-AVRDEDQJSA-N</x:v>
      </x:c>
      <x:c r="V24" s="9" t="str">
        <x:v>Cc1ncsc1-c1nnc(SCCCN2CCC3(CC3c3ccc(C(F)(F)F)cc3)C2)n1C</x:v>
      </x:c>
      <x:c r="W24" s="9" t="str">
        <x:v>aa93f130e59cdde1eb0297d2ae3c90ed4403c6728ea01dda8ebf759b0dbc77c9</x:v>
      </x:c>
      <x:c r="X24" s="9" t="str">
        <x:v>c1ccc(C2CC23CCN(CCCSc2nnc(-c4cncs4)[nH]2)C3)cc1</x:v>
      </x:c>
      <x:c r="Y24" s="9" t="str">
        <x:v>False</x:v>
      </x:c>
      <x:c r="Z24" s="13" t="n">
        <x:v>1</x:v>
      </x:c>
      <x:c r="AA24" s="9" t="str">
        <x:v>include</x:v>
      </x:c>
      <x:c r="AB24" s="9" t="str"/>
      <x:c r="AC24" s="9" t="str">
        <x:v>pKi</x:v>
      </x:c>
      <x:c r="AD24" s="9" t="str">
        <x:v>5.91</x:v>
      </x:c>
      <x:c r="AE24" s="9" t="str"/>
      <x:c r="AF24" s="9" t="str">
        <x:v>=</x:v>
      </x:c>
      <x:c r="AG24" s="9" t="str">
        <x:v>Ki</x:v>
      </x:c>
      <x:c r="AH24" s="11" t="n">
        <x:v>1230.27</x:v>
      </x:c>
      <x:c r="AI24" s="9" t="str">
        <x:v>nM</x:v>
      </x:c>
      <x:c r="AJ24" s="9" t="str">
        <x:v>=</x:v>
      </x:c>
      <x:c r="AK24" s="11" t="n">
        <x:v>5.91</x:v>
      </x:c>
      <x:c r="AL24" s="13" t="n">
        <x:v>0</x:v>
      </x:c>
      <x:c r="AM24" s="9" t="str"/>
      <x:c r="AN24" s="9" t="str"/>
      <x:c r="AO24" s="9" t="str">
        <x:v>https://www.ebi.ac.uk/chembl/api/data/activity/16670256.json</x:v>
      </x:c>
      <x:c r="AP24" s="9" t="str">
        <x:v>Cc1ncsc1-c1nnc(SCCCN2CCC3(CC3c3ccc(C(F)(F)F)cc3)C2)n1C</x:v>
      </x:c>
      <x:c r="AQ24" s="9" t="str">
        <x:v>c1ccc(C2CC23CCN(CCCSc2nnc(-c4cncs4)[nH]2)C3)cc1</x:v>
      </x:c>
      <x:c r="AR24" s="11" t="n">
        <x:v>493.6240000000002</x:v>
      </x:c>
      <x:c r="AS24" s="11" t="n">
        <x:v>5.627620000000006</x:v>
      </x:c>
      <x:c r="AT24" s="11" t="n">
        <x:v>46.84</x:v>
      </x:c>
      <x:c r="AU24" s="13" t="n">
        <x:v>0</x:v>
      </x:c>
      <x:c r="AV24" s="13" t="n">
        <x:v>6</x:v>
      </x:c>
      <x:c r="AW24" s="9" t="str">
        <x:v>train</x:v>
      </x:c>
    </x:row>
    <x:row r="25" ht="36" customHeight="1">
      <x:c r="A25" s="14" t="str">
        <x:v>NFIANDWIUXYLJZ-GCJKJVERSA-N</x:v>
      </x:c>
      <x:c r="B25" s="14" t="str">
        <x:v>CHEMBL3923578</x:v>
      </x:c>
      <x:c r="C25" s="14" t="str">
        <x:v>CHEMBL3923578</x:v>
      </x:c>
      <x:c r="D25" s="14" t="str">
        <x:v>16670257</x:v>
      </x:c>
      <x:c r="E25" s="14" t="str">
        <x:v>16670257</x:v>
      </x:c>
      <x:c r="F25" s="14" t="str">
        <x:v>CHEMBL3855278</x:v>
      </x:c>
      <x:c r="G25" s="14" t="str">
        <x:v>CHEMBL217</x:v>
      </x:c>
      <x:c r="H25" s="14" t="str">
        <x:v>CHEMBL3853329</x:v>
      </x:c>
      <x:c r="I25" s="14" t="str">
        <x:v>Cc1ncsc1-c1nnc(SCCCN2CC[C@]3(C[C@@H]3c3ccc(C(F)(F)F)cc3)C2)n1C</x:v>
      </x:c>
      <x:c r="J25" s="14" t="str">
        <x:v>Cc1ncsc1-c1nnc(SCCCN2CC[C@]3(C[C@@H]3c3ccc(C(F)(F)F)cc3)C2)n1C</x:v>
      </x:c>
      <x:c r="K25" s="14" t="str">
        <x:v>source_reported_pKi</x:v>
      </x:c>
      <x:c r="L25" s="15" t="n">
        <x:v>5.79</x:v>
      </x:c>
      <x:c r="M25" s="15" t="n">
        <x:v>1621.8100973589299</x:v>
      </x:c>
      <x:c r="N25" s="15" t="n">
        <x:v>1621.81</x:v>
      </x:c>
      <x:c r="O25" s="15" t="n">
        <x:v>5.790000026071146</x:v>
      </x:c>
      <x:c r="P25" s="16" t="n">
        <x:v>2.6071146130846046e-8</x:v>
      </x:c>
      <x:c r="Q25" s="16" t="n">
        <x:v>-0.00009735892990647699</x:v>
      </x:c>
      <x:c r="R25" s="15" t="n">
        <x:v>0.00501</x:v>
      </x:c>
      <x:c r="S25" s="14" t="str">
        <x:v>Cc1ncsc1-c1nnc(SCCCN2CC[C@]3(C[C@@H]3c3ccc(C(F)(F)F)cc3)C2)n1C</x:v>
      </x:c>
      <x:c r="T25" s="14" t="str">
        <x:v>Cc1ncsc1-c1nnc(SCCCN2CC[C@]3(C[C@@H]3c3ccc(C(F)(F)F)cc3)C2)n1C</x:v>
      </x:c>
      <x:c r="U25" s="14" t="str">
        <x:v>NFIANDWIUXYLJZ-GCJKJVERSA-N</x:v>
      </x:c>
      <x:c r="V25" s="14" t="str">
        <x:v>Cc1ncsc1-c1nnc(SCCCN2CCC3(CC3c3ccc(C(F)(F)F)cc3)C2)n1C</x:v>
      </x:c>
      <x:c r="W25" s="14" t="str">
        <x:v>aa93f130e59cdde1eb0297d2ae3c90ed4403c6728ea01dda8ebf759b0dbc77c9</x:v>
      </x:c>
      <x:c r="X25" s="14" t="str">
        <x:v>c1ccc(C2CC23CCN(CCCSc2nnc(-c4cncs4)[nH]2)C3)cc1</x:v>
      </x:c>
      <x:c r="Y25" s="14" t="str">
        <x:v>False</x:v>
      </x:c>
      <x:c r="Z25" s="17" t="n">
        <x:v>1</x:v>
      </x:c>
      <x:c r="AA25" s="14" t="str">
        <x:v>include</x:v>
      </x:c>
      <x:c r="AB25" s="14" t="str"/>
      <x:c r="AC25" s="14" t="str">
        <x:v>pKi</x:v>
      </x:c>
      <x:c r="AD25" s="14" t="str">
        <x:v>5.79</x:v>
      </x:c>
      <x:c r="AE25" s="14" t="str"/>
      <x:c r="AF25" s="14" t="str">
        <x:v>=</x:v>
      </x:c>
      <x:c r="AG25" s="14" t="str">
        <x:v>Ki</x:v>
      </x:c>
      <x:c r="AH25" s="15" t="n">
        <x:v>1621.81</x:v>
      </x:c>
      <x:c r="AI25" s="14" t="str">
        <x:v>nM</x:v>
      </x:c>
      <x:c r="AJ25" s="14" t="str">
        <x:v>=</x:v>
      </x:c>
      <x:c r="AK25" s="15" t="n">
        <x:v>5.79</x:v>
      </x:c>
      <x:c r="AL25" s="17" t="n">
        <x:v>0</x:v>
      </x:c>
      <x:c r="AM25" s="14" t="str"/>
      <x:c r="AN25" s="14" t="str"/>
      <x:c r="AO25" s="14" t="str">
        <x:v>https://www.ebi.ac.uk/chembl/api/data/activity/16670257.json</x:v>
      </x:c>
      <x:c r="AP25" s="14" t="str">
        <x:v>Cc1ncsc1-c1nnc(SCCCN2CCC3(CC3c3ccc(C(F)(F)F)cc3)C2)n1C</x:v>
      </x:c>
      <x:c r="AQ25" s="14" t="str">
        <x:v>c1ccc(C2CC23CCN(CCCSc2nnc(-c4cncs4)[nH]2)C3)cc1</x:v>
      </x:c>
      <x:c r="AR25" s="15" t="n">
        <x:v>493.6240000000002</x:v>
      </x:c>
      <x:c r="AS25" s="15" t="n">
        <x:v>5.627620000000006</x:v>
      </x:c>
      <x:c r="AT25" s="15" t="n">
        <x:v>46.84</x:v>
      </x:c>
      <x:c r="AU25" s="17" t="n">
        <x:v>0</x:v>
      </x:c>
      <x:c r="AV25" s="17" t="n">
        <x:v>6</x:v>
      </x:c>
      <x:c r="AW25" s="14" t="str">
        <x:v>train</x:v>
      </x:c>
    </x:row>
    <x:row r="26" ht="36" customHeight="1">
      <x:c r="A26" s="9" t="str">
        <x:v>YMMKVLDFUKHZTJ-UWJYYQICSA-N</x:v>
      </x:c>
      <x:c r="B26" s="9" t="str">
        <x:v>CHEMBL3895585</x:v>
      </x:c>
      <x:c r="C26" s="9" t="str">
        <x:v>CHEMBL3895585</x:v>
      </x:c>
      <x:c r="D26" s="9" t="str">
        <x:v>16670258</x:v>
      </x:c>
      <x:c r="E26" s="9" t="str">
        <x:v>16670258</x:v>
      </x:c>
      <x:c r="F26" s="9" t="str">
        <x:v>CHEMBL3855278</x:v>
      </x:c>
      <x:c r="G26" s="9" t="str">
        <x:v>CHEMBL217</x:v>
      </x:c>
      <x:c r="H26" s="9" t="str">
        <x:v>CHEMBL3853329</x:v>
      </x:c>
      <x:c r="I26" s="9" t="str">
        <x:v>Cn1c(SCCCN2CC[C@]3(C[C@H]3c3ccc(C(F)(F)F)cc3)C2)nnc1-c1nccs1</x:v>
      </x:c>
      <x:c r="J26" s="9" t="str">
        <x:v>Cn1c(SCCCN2CC[C@]3(C[C@H]3c3ccc(C(F)(F)F)cc3)C2)nnc1-c1nccs1</x:v>
      </x:c>
      <x:c r="K26" s="9" t="str">
        <x:v>source_reported_pKi</x:v>
      </x:c>
      <x:c r="L26" s="11" t="n">
        <x:v>6.33</x:v>
      </x:c>
      <x:c r="M26" s="11" t="n">
        <x:v>467.73514128719813</x:v>
      </x:c>
      <x:c r="N26" s="11" t="n">
        <x:v>467.74</x:v>
      </x:c>
      <x:c r="O26" s="11" t="n">
        <x:v>6.329995488683631</x:v>
      </x:c>
      <x:c r="P26" s="12" t="n">
        <x:v>-0.0000045113163693599745</x:v>
      </x:c>
      <x:c r="Q26" s="12" t="n">
        <x:v>0.0048587128018766634</x:v>
      </x:c>
      <x:c r="R26" s="11" t="n">
        <x:v>0.00501</x:v>
      </x:c>
      <x:c r="S26" s="9" t="str">
        <x:v>Cn1c(SCCCN2CC[C@]3(C[C@H]3c3ccc(C(F)(F)F)cc3)C2)nnc1-c1nccs1</x:v>
      </x:c>
      <x:c r="T26" s="9" t="str">
        <x:v>Cn1c(SCCCN2CC[C@]3(C[C@H]3c3ccc(C(F)(F)F)cc3)C2)nnc1-c1nccs1</x:v>
      </x:c>
      <x:c r="U26" s="9" t="str">
        <x:v>YMMKVLDFUKHZTJ-UWJYYQICSA-N</x:v>
      </x:c>
      <x:c r="V26" s="9" t="str">
        <x:v>Cn1c(SCCCN2CCC3(CC3c3ccc(C(F)(F)F)cc3)C2)nnc1-c1nccs1</x:v>
      </x:c>
      <x:c r="W26" s="9" t="str">
        <x:v>da8edb5b33e4d90c3f6aec243a3bff1fcafe26434a7eb4fe62fa45b4c05f0700</x:v>
      </x:c>
      <x:c r="X26" s="9" t="str">
        <x:v>c1ccc(C2CC23CCN(CCCSc2nnc(-c4nccs4)[nH]2)C3)cc1</x:v>
      </x:c>
      <x:c r="Y26" s="9" t="str">
        <x:v>False</x:v>
      </x:c>
      <x:c r="Z26" s="13" t="n">
        <x:v>1</x:v>
      </x:c>
      <x:c r="AA26" s="9" t="str">
        <x:v>include</x:v>
      </x:c>
      <x:c r="AB26" s="9" t="str"/>
      <x:c r="AC26" s="9" t="str">
        <x:v>pKi</x:v>
      </x:c>
      <x:c r="AD26" s="9" t="str">
        <x:v>6.33</x:v>
      </x:c>
      <x:c r="AE26" s="9" t="str"/>
      <x:c r="AF26" s="9" t="str">
        <x:v>=</x:v>
      </x:c>
      <x:c r="AG26" s="9" t="str">
        <x:v>Ki</x:v>
      </x:c>
      <x:c r="AH26" s="11" t="n">
        <x:v>467.74</x:v>
      </x:c>
      <x:c r="AI26" s="9" t="str">
        <x:v>nM</x:v>
      </x:c>
      <x:c r="AJ26" s="9" t="str">
        <x:v>=</x:v>
      </x:c>
      <x:c r="AK26" s="11" t="n">
        <x:v>6.33</x:v>
      </x:c>
      <x:c r="AL26" s="13" t="n">
        <x:v>0</x:v>
      </x:c>
      <x:c r="AM26" s="9" t="str"/>
      <x:c r="AN26" s="9" t="str"/>
      <x:c r="AO26" s="9" t="str">
        <x:v>https://www.ebi.ac.uk/chembl/api/data/activity/16670258.json</x:v>
      </x:c>
      <x:c r="AP26" s="9" t="str">
        <x:v>Cn1c(SCCCN2CCC3(CC3c3ccc(C(F)(F)F)cc3)C2)nnc1-c1nccs1</x:v>
      </x:c>
      <x:c r="AQ26" s="9" t="str">
        <x:v>c1ccc(C2CC23CCN(CCCSc2nnc(-c4nccs4)[nH]2)C3)cc1</x:v>
      </x:c>
      <x:c r="AR26" s="11" t="n">
        <x:v>479.5970000000001</x:v>
      </x:c>
      <x:c r="AS26" s="11" t="n">
        <x:v>5.319200000000005</x:v>
      </x:c>
      <x:c r="AT26" s="11" t="n">
        <x:v>46.84</x:v>
      </x:c>
      <x:c r="AU26" s="13" t="n">
        <x:v>0</x:v>
      </x:c>
      <x:c r="AV26" s="13" t="n">
        <x:v>6</x:v>
      </x:c>
      <x:c r="AW26" s="9" t="str">
        <x:v>train</x:v>
      </x:c>
    </x:row>
    <x:row r="27" ht="36" customHeight="1">
      <x:c r="A27" s="14" t="str">
        <x:v>YMMKVLDFUKHZTJ-UTKZUKDTSA-N</x:v>
      </x:c>
      <x:c r="B27" s="14" t="str">
        <x:v>CHEMBL3914556</x:v>
      </x:c>
      <x:c r="C27" s="14" t="str">
        <x:v>CHEMBL3914556</x:v>
      </x:c>
      <x:c r="D27" s="14" t="str">
        <x:v>16670259</x:v>
      </x:c>
      <x:c r="E27" s="14" t="str">
        <x:v>16670259</x:v>
      </x:c>
      <x:c r="F27" s="14" t="str">
        <x:v>CHEMBL3855278</x:v>
      </x:c>
      <x:c r="G27" s="14" t="str">
        <x:v>CHEMBL217</x:v>
      </x:c>
      <x:c r="H27" s="14" t="str">
        <x:v>CHEMBL3853329</x:v>
      </x:c>
      <x:c r="I27" s="14" t="str">
        <x:v>Cn1c(SCCCN2CC[C@]3(C[C@@H]3c3ccc(C(F)(F)F)cc3)C2)nnc1-c1nccs1</x:v>
      </x:c>
      <x:c r="J27" s="14" t="str">
        <x:v>Cn1c(SCCCN2CC[C@]3(C[C@@H]3c3ccc(C(F)(F)F)cc3)C2)nnc1-c1nccs1</x:v>
      </x:c>
      <x:c r="K27" s="14" t="str">
        <x:v>source_reported_pKi</x:v>
      </x:c>
      <x:c r="L27" s="15" t="n">
        <x:v>6.37</x:v>
      </x:c>
      <x:c r="M27" s="15" t="n">
        <x:v>426.57951880159254</x:v>
      </x:c>
      <x:c r="N27" s="15" t="n">
        <x:v>426.58</x:v>
      </x:c>
      <x:c r="O27" s="15" t="n">
        <x:v>6.369999510099088</x:v>
      </x:c>
      <x:c r="P27" s="16" t="n">
        <x:v>-4.899009118375375e-7</x:v>
      </x:c>
      <x:c r="Q27" s="16" t="n">
        <x:v>0.0004811984074422071</x:v>
      </x:c>
      <x:c r="R27" s="15" t="n">
        <x:v>0.00501</x:v>
      </x:c>
      <x:c r="S27" s="14" t="str">
        <x:v>Cn1c(SCCCN2CC[C@]3(C[C@@H]3c3ccc(C(F)(F)F)cc3)C2)nnc1-c1nccs1</x:v>
      </x:c>
      <x:c r="T27" s="14" t="str">
        <x:v>Cn1c(SCCCN2CC[C@]3(C[C@@H]3c3ccc(C(F)(F)F)cc3)C2)nnc1-c1nccs1</x:v>
      </x:c>
      <x:c r="U27" s="14" t="str">
        <x:v>YMMKVLDFUKHZTJ-UTKZUKDTSA-N</x:v>
      </x:c>
      <x:c r="V27" s="14" t="str">
        <x:v>Cn1c(SCCCN2CCC3(CC3c3ccc(C(F)(F)F)cc3)C2)nnc1-c1nccs1</x:v>
      </x:c>
      <x:c r="W27" s="14" t="str">
        <x:v>da8edb5b33e4d90c3f6aec243a3bff1fcafe26434a7eb4fe62fa45b4c05f0700</x:v>
      </x:c>
      <x:c r="X27" s="14" t="str">
        <x:v>c1ccc(C2CC23CCN(CCCSc2nnc(-c4nccs4)[nH]2)C3)cc1</x:v>
      </x:c>
      <x:c r="Y27" s="14" t="str">
        <x:v>False</x:v>
      </x:c>
      <x:c r="Z27" s="17" t="n">
        <x:v>1</x:v>
      </x:c>
      <x:c r="AA27" s="14" t="str">
        <x:v>include</x:v>
      </x:c>
      <x:c r="AB27" s="14" t="str"/>
      <x:c r="AC27" s="14" t="str">
        <x:v>pKi</x:v>
      </x:c>
      <x:c r="AD27" s="14" t="str">
        <x:v>6.37</x:v>
      </x:c>
      <x:c r="AE27" s="14" t="str"/>
      <x:c r="AF27" s="14" t="str">
        <x:v>=</x:v>
      </x:c>
      <x:c r="AG27" s="14" t="str">
        <x:v>Ki</x:v>
      </x:c>
      <x:c r="AH27" s="15" t="n">
        <x:v>426.58</x:v>
      </x:c>
      <x:c r="AI27" s="14" t="str">
        <x:v>nM</x:v>
      </x:c>
      <x:c r="AJ27" s="14" t="str">
        <x:v>=</x:v>
      </x:c>
      <x:c r="AK27" s="15" t="n">
        <x:v>6.37</x:v>
      </x:c>
      <x:c r="AL27" s="17" t="n">
        <x:v>0</x:v>
      </x:c>
      <x:c r="AM27" s="14" t="str"/>
      <x:c r="AN27" s="14" t="str"/>
      <x:c r="AO27" s="14" t="str">
        <x:v>https://www.ebi.ac.uk/chembl/api/data/activity/16670259.json</x:v>
      </x:c>
      <x:c r="AP27" s="14" t="str">
        <x:v>Cn1c(SCCCN2CCC3(CC3c3ccc(C(F)(F)F)cc3)C2)nnc1-c1nccs1</x:v>
      </x:c>
      <x:c r="AQ27" s="14" t="str">
        <x:v>c1ccc(C2CC23CCN(CCCSc2nnc(-c4nccs4)[nH]2)C3)cc1</x:v>
      </x:c>
      <x:c r="AR27" s="15" t="n">
        <x:v>479.5970000000001</x:v>
      </x:c>
      <x:c r="AS27" s="15" t="n">
        <x:v>5.319200000000005</x:v>
      </x:c>
      <x:c r="AT27" s="15" t="n">
        <x:v>46.84</x:v>
      </x:c>
      <x:c r="AU27" s="17" t="n">
        <x:v>0</x:v>
      </x:c>
      <x:c r="AV27" s="17" t="n">
        <x:v>6</x:v>
      </x:c>
      <x:c r="AW27" s="14" t="str">
        <x:v>train</x:v>
      </x:c>
    </x:row>
    <x:row r="28" ht="36" customHeight="1">
      <x:c r="A28" s="9" t="str">
        <x:v>KDMBMLINAPXLCW-JXFKEZNVSA-N</x:v>
      </x:c>
      <x:c r="B28" s="9" t="str">
        <x:v>CHEMBL3984387</x:v>
      </x:c>
      <x:c r="C28" s="9" t="str">
        <x:v>CHEMBL3984387</x:v>
      </x:c>
      <x:c r="D28" s="9" t="str">
        <x:v>16670260</x:v>
      </x:c>
      <x:c r="E28" s="9" t="str">
        <x:v>16670260</x:v>
      </x:c>
      <x:c r="F28" s="9" t="str">
        <x:v>CHEMBL3855278</x:v>
      </x:c>
      <x:c r="G28" s="9" t="str">
        <x:v>CHEMBL217</x:v>
      </x:c>
      <x:c r="H28" s="9" t="str">
        <x:v>CHEMBL3853329</x:v>
      </x:c>
      <x:c r="I28" s="9" t="str">
        <x:v>Cn1c(SCCCN2CC[C@]3(C[C@H]3c3ccc(C(F)(F)F)cc3)C2)nnc1-c1csnn1</x:v>
      </x:c>
      <x:c r="J28" s="9" t="str">
        <x:v>Cn1c(SCCCN2CC[C@]3(C[C@H]3c3ccc(C(F)(F)F)cc3)C2)nnc1-c1csnn1</x:v>
      </x:c>
      <x:c r="K28" s="9" t="str">
        <x:v>source_reported_pKi</x:v>
      </x:c>
      <x:c r="L28" s="11" t="n">
        <x:v>6.93</x:v>
      </x:c>
      <x:c r="M28" s="11" t="n">
        <x:v>117.48975549395303</x:v>
      </x:c>
      <x:c r="N28" s="11" t="n">
        <x:v>117.49</x:v>
      </x:c>
      <x:c r="O28" s="11" t="n">
        <x:v>6.929999096197655</x:v>
      </x:c>
      <x:c r="P28" s="12" t="n">
        <x:v>-9.038023449647881e-7</x:v>
      </x:c>
      <x:c r="Q28" s="12" t="n">
        <x:v>0.0002445060469682403</x:v>
      </x:c>
      <x:c r="R28" s="11" t="n">
        <x:v>0.00501</x:v>
      </x:c>
      <x:c r="S28" s="9" t="str">
        <x:v>Cn1c(SCCCN2CC[C@]3(C[C@H]3c3ccc(C(F)(F)F)cc3)C2)nnc1-c1csnn1</x:v>
      </x:c>
      <x:c r="T28" s="9" t="str">
        <x:v>Cn1c(SCCCN2CC[C@]3(C[C@H]3c3ccc(C(F)(F)F)cc3)C2)nnc1-c1csnn1</x:v>
      </x:c>
      <x:c r="U28" s="9" t="str">
        <x:v>KDMBMLINAPXLCW-JXFKEZNVSA-N</x:v>
      </x:c>
      <x:c r="V28" s="9" t="str">
        <x:v>Cn1c(SCCCN2CCC3(CC3c3ccc(C(F)(F)F)cc3)C2)nnc1-c1csnn1</x:v>
      </x:c>
      <x:c r="W28" s="9" t="str">
        <x:v>da9d442a1c5a36ff02ea697bd698ae7d2efd2ce5f010ac4715e4baf981cb464b</x:v>
      </x:c>
      <x:c r="X28" s="9" t="str">
        <x:v>c1ccc(C2CC23CCN(CCCSc2nnc(-c4csnn4)[nH]2)C3)cc1</x:v>
      </x:c>
      <x:c r="Y28" s="9" t="str">
        <x:v>False</x:v>
      </x:c>
      <x:c r="Z28" s="13" t="n">
        <x:v>1</x:v>
      </x:c>
      <x:c r="AA28" s="9" t="str">
        <x:v>include</x:v>
      </x:c>
      <x:c r="AB28" s="9" t="str"/>
      <x:c r="AC28" s="9" t="str">
        <x:v>pKi</x:v>
      </x:c>
      <x:c r="AD28" s="9" t="str">
        <x:v>6.93</x:v>
      </x:c>
      <x:c r="AE28" s="9" t="str"/>
      <x:c r="AF28" s="9" t="str">
        <x:v>=</x:v>
      </x:c>
      <x:c r="AG28" s="9" t="str">
        <x:v>Ki</x:v>
      </x:c>
      <x:c r="AH28" s="11" t="n">
        <x:v>117.49</x:v>
      </x:c>
      <x:c r="AI28" s="9" t="str">
        <x:v>nM</x:v>
      </x:c>
      <x:c r="AJ28" s="9" t="str">
        <x:v>=</x:v>
      </x:c>
      <x:c r="AK28" s="11" t="n">
        <x:v>6.93</x:v>
      </x:c>
      <x:c r="AL28" s="13" t="n">
        <x:v>0</x:v>
      </x:c>
      <x:c r="AM28" s="9" t="str"/>
      <x:c r="AN28" s="9" t="str"/>
      <x:c r="AO28" s="9" t="str">
        <x:v>https://www.ebi.ac.uk/chembl/api/data/activity/16670260.json</x:v>
      </x:c>
      <x:c r="AP28" s="9" t="str">
        <x:v>Cn1c(SCCCN2CCC3(CC3c3ccc(C(F)(F)F)cc3)C2)nnc1-c1csnn1</x:v>
      </x:c>
      <x:c r="AQ28" s="9" t="str">
        <x:v>c1ccc(C2CC23CCN(CCCSc2nnc(-c4csnn4)[nH]2)C3)cc1</x:v>
      </x:c>
      <x:c r="AR28" s="11" t="n">
        <x:v>480.5850000000001</x:v>
      </x:c>
      <x:c r="AS28" s="11" t="n">
        <x:v>4.714200000000004</x:v>
      </x:c>
      <x:c r="AT28" s="11" t="n">
        <x:v>59.730000000000004</x:v>
      </x:c>
      <x:c r="AU28" s="13" t="n">
        <x:v>0</x:v>
      </x:c>
      <x:c r="AV28" s="13" t="n">
        <x:v>7</x:v>
      </x:c>
      <x:c r="AW28" s="9" t="str">
        <x:v>train</x:v>
      </x:c>
    </x:row>
    <x:row r="29" ht="36" customHeight="1">
      <x:c r="A29" s="14" t="str">
        <x:v>KDMBMLINAPXLCW-UZLBHIALSA-N</x:v>
      </x:c>
      <x:c r="B29" s="14" t="str">
        <x:v>CHEMBL3905582</x:v>
      </x:c>
      <x:c r="C29" s="14" t="str">
        <x:v>CHEMBL3905582</x:v>
      </x:c>
      <x:c r="D29" s="14" t="str">
        <x:v>16670261</x:v>
      </x:c>
      <x:c r="E29" s="14" t="str">
        <x:v>16670261</x:v>
      </x:c>
      <x:c r="F29" s="14" t="str">
        <x:v>CHEMBL3855278</x:v>
      </x:c>
      <x:c r="G29" s="14" t="str">
        <x:v>CHEMBL217</x:v>
      </x:c>
      <x:c r="H29" s="14" t="str">
        <x:v>CHEMBL3853329</x:v>
      </x:c>
      <x:c r="I29" s="14" t="str">
        <x:v>Cn1c(SCCCN2CC[C@]3(C[C@@H]3c3ccc(C(F)(F)F)cc3)C2)nnc1-c1csnn1</x:v>
      </x:c>
      <x:c r="J29" s="14" t="str">
        <x:v>Cn1c(SCCCN2CC[C@]3(C[C@@H]3c3ccc(C(F)(F)F)cc3)C2)nnc1-c1csnn1</x:v>
      </x:c>
      <x:c r="K29" s="14" t="str">
        <x:v>source_reported_pKi</x:v>
      </x:c>
      <x:c r="L29" s="15" t="n">
        <x:v>6.89</x:v>
      </x:c>
      <x:c r="M29" s="15" t="n">
        <x:v>128.82495516931348</x:v>
      </x:c>
      <x:c r="N29" s="15" t="n">
        <x:v>128.82</x:v>
      </x:c>
      <x:c r="O29" s="15" t="n">
        <x:v>6.890016705180107</x:v>
      </x:c>
      <x:c r="P29" s="16" t="n">
        <x:v>0.00001670518010765676</x:v>
      </x:c>
      <x:c r="Q29" s="16" t="n">
        <x:v>-0.00495516931349016</x:v>
      </x:c>
      <x:c r="R29" s="15" t="n">
        <x:v>0.00501</x:v>
      </x:c>
      <x:c r="S29" s="14" t="str">
        <x:v>Cn1c(SCCCN2CC[C@]3(C[C@@H]3c3ccc(C(F)(F)F)cc3)C2)nnc1-c1csnn1</x:v>
      </x:c>
      <x:c r="T29" s="14" t="str">
        <x:v>Cn1c(SCCCN2CC[C@]3(C[C@@H]3c3ccc(C(F)(F)F)cc3)C2)nnc1-c1csnn1</x:v>
      </x:c>
      <x:c r="U29" s="14" t="str">
        <x:v>KDMBMLINAPXLCW-UZLBHIALSA-N</x:v>
      </x:c>
      <x:c r="V29" s="14" t="str">
        <x:v>Cn1c(SCCCN2CCC3(CC3c3ccc(C(F)(F)F)cc3)C2)nnc1-c1csnn1</x:v>
      </x:c>
      <x:c r="W29" s="14" t="str">
        <x:v>da9d442a1c5a36ff02ea697bd698ae7d2efd2ce5f010ac4715e4baf981cb464b</x:v>
      </x:c>
      <x:c r="X29" s="14" t="str">
        <x:v>c1ccc(C2CC23CCN(CCCSc2nnc(-c4csnn4)[nH]2)C3)cc1</x:v>
      </x:c>
      <x:c r="Y29" s="14" t="str">
        <x:v>False</x:v>
      </x:c>
      <x:c r="Z29" s="17" t="n">
        <x:v>1</x:v>
      </x:c>
      <x:c r="AA29" s="14" t="str">
        <x:v>include</x:v>
      </x:c>
      <x:c r="AB29" s="14" t="str"/>
      <x:c r="AC29" s="14" t="str">
        <x:v>pKi</x:v>
      </x:c>
      <x:c r="AD29" s="14" t="str">
        <x:v>6.89</x:v>
      </x:c>
      <x:c r="AE29" s="14" t="str"/>
      <x:c r="AF29" s="14" t="str">
        <x:v>=</x:v>
      </x:c>
      <x:c r="AG29" s="14" t="str">
        <x:v>Ki</x:v>
      </x:c>
      <x:c r="AH29" s="15" t="n">
        <x:v>128.82</x:v>
      </x:c>
      <x:c r="AI29" s="14" t="str">
        <x:v>nM</x:v>
      </x:c>
      <x:c r="AJ29" s="14" t="str">
        <x:v>=</x:v>
      </x:c>
      <x:c r="AK29" s="15" t="n">
        <x:v>6.89</x:v>
      </x:c>
      <x:c r="AL29" s="17" t="n">
        <x:v>0</x:v>
      </x:c>
      <x:c r="AM29" s="14" t="str"/>
      <x:c r="AN29" s="14" t="str"/>
      <x:c r="AO29" s="14" t="str">
        <x:v>https://www.ebi.ac.uk/chembl/api/data/activity/16670261.json</x:v>
      </x:c>
      <x:c r="AP29" s="14" t="str">
        <x:v>Cn1c(SCCCN2CCC3(CC3c3ccc(C(F)(F)F)cc3)C2)nnc1-c1csnn1</x:v>
      </x:c>
      <x:c r="AQ29" s="14" t="str">
        <x:v>c1ccc(C2CC23CCN(CCCSc2nnc(-c4csnn4)[nH]2)C3)cc1</x:v>
      </x:c>
      <x:c r="AR29" s="15" t="n">
        <x:v>480.5850000000001</x:v>
      </x:c>
      <x:c r="AS29" s="15" t="n">
        <x:v>4.714200000000004</x:v>
      </x:c>
      <x:c r="AT29" s="15" t="n">
        <x:v>59.730000000000004</x:v>
      </x:c>
      <x:c r="AU29" s="17" t="n">
        <x:v>0</x:v>
      </x:c>
      <x:c r="AV29" s="17" t="n">
        <x:v>7</x:v>
      </x:c>
      <x:c r="AW29" s="14" t="str">
        <x:v>train</x:v>
      </x:c>
    </x:row>
    <x:row r="30" ht="36" customHeight="1">
      <x:c r="A30" s="9" t="str">
        <x:v>ZWINHZKEJACBFT-GCJKJVERSA-N</x:v>
      </x:c>
      <x:c r="B30" s="9" t="str">
        <x:v>CHEMBL3976319</x:v>
      </x:c>
      <x:c r="C30" s="9" t="str">
        <x:v>CHEMBL3976319</x:v>
      </x:c>
      <x:c r="D30" s="9" t="str">
        <x:v>16670262</x:v>
      </x:c>
      <x:c r="E30" s="9" t="str">
        <x:v>16670262</x:v>
      </x:c>
      <x:c r="F30" s="9" t="str">
        <x:v>CHEMBL3855278</x:v>
      </x:c>
      <x:c r="G30" s="9" t="str">
        <x:v>CHEMBL217</x:v>
      </x:c>
      <x:c r="H30" s="9" t="str">
        <x:v>CHEMBL3853329</x:v>
      </x:c>
      <x:c r="I30" s="9" t="str">
        <x:v>Cn1c(SCCCN2CC[C@]3(C[C@@H]3c3ccc(C(F)(F)F)cc3)C2)nnc1-c1cccs1</x:v>
      </x:c>
      <x:c r="J30" s="9" t="str">
        <x:v>Cn1c(SCCCN2CC[C@]3(C[C@@H]3c3ccc(C(F)(F)F)cc3)C2)nnc1-c1cccs1</x:v>
      </x:c>
      <x:c r="K30" s="9" t="str">
        <x:v>source_reported_pKi</x:v>
      </x:c>
      <x:c r="L30" s="11" t="n">
        <x:v>6.46</x:v>
      </x:c>
      <x:c r="M30" s="11" t="n">
        <x:v>346.73685045253166</x:v>
      </x:c>
      <x:c r="N30" s="11" t="n">
        <x:v>346.74</x:v>
      </x:c>
      <x:c r="O30" s="11" t="n">
        <x:v>6.459996055149974</x:v>
      </x:c>
      <x:c r="P30" s="12" t="n">
        <x:v>-0.000003944850026194047</x:v>
      </x:c>
      <x:c r="Q30" s="12" t="n">
        <x:v>0.0031495474683538305</x:v>
      </x:c>
      <x:c r="R30" s="11" t="n">
        <x:v>0.00501</x:v>
      </x:c>
      <x:c r="S30" s="9" t="str">
        <x:v>Cn1c(SCCCN2CC[C@]3(C[C@@H]3c3ccc(C(F)(F)F)cc3)C2)nnc1-c1cccs1</x:v>
      </x:c>
      <x:c r="T30" s="9" t="str">
        <x:v>Cn1c(SCCCN2CC[C@]3(C[C@@H]3c3ccc(C(F)(F)F)cc3)C2)nnc1-c1cccs1</x:v>
      </x:c>
      <x:c r="U30" s="9" t="str">
        <x:v>ZWINHZKEJACBFT-GCJKJVERSA-N</x:v>
      </x:c>
      <x:c r="V30" s="9" t="str">
        <x:v>Cn1c(SCCCN2CCC3(CC3c3ccc(C(F)(F)F)cc3)C2)nnc1-c1cccs1</x:v>
      </x:c>
      <x:c r="W30" s="9" t="str">
        <x:v>9bb34131081e1fd76aad54c44ebdec1acb17d1e4c9a76cc731007a6ad6437833</x:v>
      </x:c>
      <x:c r="X30" s="9" t="str">
        <x:v>c1ccc(C2CC23CCN(CCCSc2nnc(-c4cccs4)[nH]2)C3)cc1</x:v>
      </x:c>
      <x:c r="Y30" s="9" t="str">
        <x:v>False</x:v>
      </x:c>
      <x:c r="Z30" s="13" t="n">
        <x:v>1</x:v>
      </x:c>
      <x:c r="AA30" s="9" t="str">
        <x:v>include</x:v>
      </x:c>
      <x:c r="AB30" s="9" t="str"/>
      <x:c r="AC30" s="9" t="str">
        <x:v>pKi</x:v>
      </x:c>
      <x:c r="AD30" s="9" t="str">
        <x:v>6.46</x:v>
      </x:c>
      <x:c r="AE30" s="9" t="str"/>
      <x:c r="AF30" s="9" t="str">
        <x:v>=</x:v>
      </x:c>
      <x:c r="AG30" s="9" t="str">
        <x:v>Ki</x:v>
      </x:c>
      <x:c r="AH30" s="11" t="n">
        <x:v>346.74</x:v>
      </x:c>
      <x:c r="AI30" s="9" t="str">
        <x:v>nM</x:v>
      </x:c>
      <x:c r="AJ30" s="9" t="str">
        <x:v>=</x:v>
      </x:c>
      <x:c r="AK30" s="11" t="n">
        <x:v>6.46</x:v>
      </x:c>
      <x:c r="AL30" s="13" t="n">
        <x:v>0</x:v>
      </x:c>
      <x:c r="AM30" s="9" t="str"/>
      <x:c r="AN30" s="9" t="str"/>
      <x:c r="AO30" s="9" t="str">
        <x:v>https://www.ebi.ac.uk/chembl/api/data/activity/16670262.json</x:v>
      </x:c>
      <x:c r="AP30" s="9" t="str">
        <x:v>Cn1c(SCCCN2CCC3(CC3c3ccc(C(F)(F)F)cc3)C2)nnc1-c1cccs1</x:v>
      </x:c>
      <x:c r="AQ30" s="9" t="str">
        <x:v>c1ccc(C2CC23CCN(CCCSc2nnc(-c4cccs4)[nH]2)C3)cc1</x:v>
      </x:c>
      <x:c r="AR30" s="11" t="n">
        <x:v>478.6090000000001</x:v>
      </x:c>
      <x:c r="AS30" s="11" t="n">
        <x:v>5.924200000000005</x:v>
      </x:c>
      <x:c r="AT30" s="11" t="n">
        <x:v>33.95</x:v>
      </x:c>
      <x:c r="AU30" s="13" t="n">
        <x:v>0</x:v>
      </x:c>
      <x:c r="AV30" s="13" t="n">
        <x:v>5</x:v>
      </x:c>
      <x:c r="AW30" s="9" t="str">
        <x:v>test</x:v>
      </x:c>
    </x:row>
    <x:row r="31" ht="36" customHeight="1">
      <x:c r="A31" s="14" t="str">
        <x:v>SPXBIHAHCCAKBB-KNQAVFIVSA-N</x:v>
      </x:c>
      <x:c r="B31" s="14" t="str">
        <x:v>CHEMBL3896638</x:v>
      </x:c>
      <x:c r="C31" s="14" t="str">
        <x:v>CHEMBL3896638</x:v>
      </x:c>
      <x:c r="D31" s="14" t="str">
        <x:v>16670263</x:v>
      </x:c>
      <x:c r="E31" s="14" t="str">
        <x:v>16670263</x:v>
      </x:c>
      <x:c r="F31" s="14" t="str">
        <x:v>CHEMBL3855278</x:v>
      </x:c>
      <x:c r="G31" s="14" t="str">
        <x:v>CHEMBL217</x:v>
      </x:c>
      <x:c r="H31" s="14" t="str">
        <x:v>CHEMBL3853329</x:v>
      </x:c>
      <x:c r="I31" s="14" t="str">
        <x:v>Cn1c(SCCCN2CC[C@]3(C[C@@H]3c3ccc(C(F)(F)F)cc3)C2)nnc1-c1ccsc1</x:v>
      </x:c>
      <x:c r="J31" s="14" t="str">
        <x:v>Cn1c(SCCCN2CC[C@]3(C[C@@H]3c3ccc(C(F)(F)F)cc3)C2)nnc1-c1ccsc1</x:v>
      </x:c>
      <x:c r="K31" s="14" t="str">
        <x:v>source_reported_pKi</x:v>
      </x:c>
      <x:c r="L31" s="15" t="n">
        <x:v>6.48</x:v>
      </x:c>
      <x:c r="M31" s="15" t="n">
        <x:v>331.13112148259074</x:v>
      </x:c>
      <x:c r="N31" s="15" t="n">
        <x:v>331.13</x:v>
      </x:c>
      <x:c r="O31" s="15" t="n">
        <x:v>6.480001470881152</x:v>
      </x:c>
      <x:c r="P31" s="16" t="n">
        <x:v>0.0000014708811519881237</x:v>
      </x:c>
      <x:c r="Q31" s="16" t="n">
        <x:v>-0.0011214825907472914</x:v>
      </x:c>
      <x:c r="R31" s="15" t="n">
        <x:v>0.00501</x:v>
      </x:c>
      <x:c r="S31" s="14" t="str">
        <x:v>Cn1c(SCCCN2CC[C@]3(C[C@@H]3c3ccc(C(F)(F)F)cc3)C2)nnc1-c1ccsc1</x:v>
      </x:c>
      <x:c r="T31" s="14" t="str">
        <x:v>Cn1c(SCCCN2CC[C@]3(C[C@@H]3c3ccc(C(F)(F)F)cc3)C2)nnc1-c1ccsc1</x:v>
      </x:c>
      <x:c r="U31" s="14" t="str">
        <x:v>SPXBIHAHCCAKBB-KNQAVFIVSA-N</x:v>
      </x:c>
      <x:c r="V31" s="14" t="str">
        <x:v>Cn1c(SCCCN2CCC3(CC3c3ccc(C(F)(F)F)cc3)C2)nnc1-c1ccsc1</x:v>
      </x:c>
      <x:c r="W31" s="14" t="str">
        <x:v>a336df216fd140810fe569d838fe0d18d2c2eb0376748da1fd75ac2718c59b64</x:v>
      </x:c>
      <x:c r="X31" s="14" t="str">
        <x:v>c1ccc(C2CC23CCN(CCCSc2nnc(-c4ccsc4)[nH]2)C3)cc1</x:v>
      </x:c>
      <x:c r="Y31" s="14" t="str">
        <x:v>False</x:v>
      </x:c>
      <x:c r="Z31" s="17" t="n">
        <x:v>1</x:v>
      </x:c>
      <x:c r="AA31" s="14" t="str">
        <x:v>include</x:v>
      </x:c>
      <x:c r="AB31" s="14" t="str"/>
      <x:c r="AC31" s="14" t="str">
        <x:v>pKi</x:v>
      </x:c>
      <x:c r="AD31" s="14" t="str">
        <x:v>6.48</x:v>
      </x:c>
      <x:c r="AE31" s="14" t="str"/>
      <x:c r="AF31" s="14" t="str">
        <x:v>=</x:v>
      </x:c>
      <x:c r="AG31" s="14" t="str">
        <x:v>Ki</x:v>
      </x:c>
      <x:c r="AH31" s="15" t="n">
        <x:v>331.13</x:v>
      </x:c>
      <x:c r="AI31" s="14" t="str">
        <x:v>nM</x:v>
      </x:c>
      <x:c r="AJ31" s="14" t="str">
        <x:v>=</x:v>
      </x:c>
      <x:c r="AK31" s="15" t="n">
        <x:v>6.48</x:v>
      </x:c>
      <x:c r="AL31" s="17" t="n">
        <x:v>0</x:v>
      </x:c>
      <x:c r="AM31" s="14" t="str"/>
      <x:c r="AN31" s="14" t="str"/>
      <x:c r="AO31" s="14" t="str">
        <x:v>https://www.ebi.ac.uk/chembl/api/data/activity/16670263.json</x:v>
      </x:c>
      <x:c r="AP31" s="14" t="str">
        <x:v>Cn1c(SCCCN2CCC3(CC3c3ccc(C(F)(F)F)cc3)C2)nnc1-c1ccsc1</x:v>
      </x:c>
      <x:c r="AQ31" s="14" t="str">
        <x:v>c1ccc(C2CC23CCN(CCCSc2nnc(-c4ccsc4)[nH]2)C3)cc1</x:v>
      </x:c>
      <x:c r="AR31" s="15" t="n">
        <x:v>478.6090000000001</x:v>
      </x:c>
      <x:c r="AS31" s="15" t="n">
        <x:v>5.924200000000005</x:v>
      </x:c>
      <x:c r="AT31" s="15" t="n">
        <x:v>33.95</x:v>
      </x:c>
      <x:c r="AU31" s="17" t="n">
        <x:v>0</x:v>
      </x:c>
      <x:c r="AV31" s="17" t="n">
        <x:v>5</x:v>
      </x:c>
      <x:c r="AW31" s="14" t="str">
        <x:v>train</x:v>
      </x:c>
    </x:row>
    <x:row r="32" ht="36" customHeight="1">
      <x:c r="A32" s="9" t="str">
        <x:v>WPKZTODVTLZQPZ-GCJKJVERSA-N</x:v>
      </x:c>
      <x:c r="B32" s="9" t="str">
        <x:v>CHEMBL3967806</x:v>
      </x:c>
      <x:c r="C32" s="9" t="str">
        <x:v>CHEMBL3967806</x:v>
      </x:c>
      <x:c r="D32" s="9" t="str">
        <x:v>16670264</x:v>
      </x:c>
      <x:c r="E32" s="9" t="str">
        <x:v>16670264</x:v>
      </x:c>
      <x:c r="F32" s="9" t="str">
        <x:v>CHEMBL3855278</x:v>
      </x:c>
      <x:c r="G32" s="9" t="str">
        <x:v>CHEMBL217</x:v>
      </x:c>
      <x:c r="H32" s="9" t="str">
        <x:v>CHEMBL3853329</x:v>
      </x:c>
      <x:c r="I32" s="9" t="str">
        <x:v>Cn1c(SCCCN2CC[C@]3(C[C@@H]3c3ccc(C(F)(F)F)cc3)C2)nnc1-c1ccco1</x:v>
      </x:c>
      <x:c r="J32" s="9" t="str">
        <x:v>Cn1c(SCCCN2CC[C@]3(C[C@@H]3c3ccc(C(F)(F)F)cc3)C2)nnc1-c1ccco1</x:v>
      </x:c>
      <x:c r="K32" s="9" t="str">
        <x:v>source_reported_pKi</x:v>
      </x:c>
      <x:c r="L32" s="11" t="n">
        <x:v>6.32</x:v>
      </x:c>
      <x:c r="M32" s="11" t="n">
        <x:v>478.630092322638</x:v>
      </x:c>
      <x:c r="N32" s="11" t="n">
        <x:v>478.63</x:v>
      </x:c>
      <x:c r="O32" s="11" t="n">
        <x:v>6.32000008377078</x:v>
      </x:c>
      <x:c r="P32" s="12" t="n">
        <x:v>8.377077964638602e-8</x:v>
      </x:c>
      <x:c r="Q32" s="12" t="n">
        <x:v>-0.00009232263801095542</x:v>
      </x:c>
      <x:c r="R32" s="11" t="n">
        <x:v>0.00501</x:v>
      </x:c>
      <x:c r="S32" s="9" t="str">
        <x:v>Cn1c(SCCCN2CC[C@]3(C[C@@H]3c3ccc(C(F)(F)F)cc3)C2)nnc1-c1ccco1</x:v>
      </x:c>
      <x:c r="T32" s="9" t="str">
        <x:v>Cn1c(SCCCN2CC[C@]3(C[C@@H]3c3ccc(C(F)(F)F)cc3)C2)nnc1-c1ccco1</x:v>
      </x:c>
      <x:c r="U32" s="9" t="str">
        <x:v>WPKZTODVTLZQPZ-GCJKJVERSA-N</x:v>
      </x:c>
      <x:c r="V32" s="9" t="str">
        <x:v>Cn1c(SCCCN2CCC3(CC3c3ccc(C(F)(F)F)cc3)C2)nnc1-c1ccco1</x:v>
      </x:c>
      <x:c r="W32" s="9" t="str">
        <x:v>38cc9e86830164cf92368e2dc2601f44e58fbdce170d844e9d909fee90e95e68</x:v>
      </x:c>
      <x:c r="X32" s="9" t="str">
        <x:v>c1ccc(C2CC23CCN(CCCSc2nnc(-c4ccco4)[nH]2)C3)cc1</x:v>
      </x:c>
      <x:c r="Y32" s="9" t="str">
        <x:v>False</x:v>
      </x:c>
      <x:c r="Z32" s="13" t="n">
        <x:v>1</x:v>
      </x:c>
      <x:c r="AA32" s="9" t="str">
        <x:v>include</x:v>
      </x:c>
      <x:c r="AB32" s="9" t="str"/>
      <x:c r="AC32" s="9" t="str">
        <x:v>pKi</x:v>
      </x:c>
      <x:c r="AD32" s="9" t="str">
        <x:v>6.32</x:v>
      </x:c>
      <x:c r="AE32" s="9" t="str"/>
      <x:c r="AF32" s="9" t="str">
        <x:v>=</x:v>
      </x:c>
      <x:c r="AG32" s="9" t="str">
        <x:v>Ki</x:v>
      </x:c>
      <x:c r="AH32" s="11" t="n">
        <x:v>478.63</x:v>
      </x:c>
      <x:c r="AI32" s="9" t="str">
        <x:v>nM</x:v>
      </x:c>
      <x:c r="AJ32" s="9" t="str">
        <x:v>=</x:v>
      </x:c>
      <x:c r="AK32" s="11" t="n">
        <x:v>6.32</x:v>
      </x:c>
      <x:c r="AL32" s="13" t="n">
        <x:v>0</x:v>
      </x:c>
      <x:c r="AM32" s="9" t="str"/>
      <x:c r="AN32" s="9" t="str"/>
      <x:c r="AO32" s="9" t="str">
        <x:v>https://www.ebi.ac.uk/chembl/api/data/activity/16670264.json</x:v>
      </x:c>
      <x:c r="AP32" s="9" t="str">
        <x:v>Cn1c(SCCCN2CCC3(CC3c3ccc(C(F)(F)F)cc3)C2)nnc1-c1ccco1</x:v>
      </x:c>
      <x:c r="AQ32" s="9" t="str">
        <x:v>c1ccc(C2CC23CCN(CCCSc2nnc(-c4ccco4)[nH]2)C3)cc1</x:v>
      </x:c>
      <x:c r="AR32" s="11" t="n">
        <x:v>462.5410000000001</x:v>
      </x:c>
      <x:c r="AS32" s="11" t="n">
        <x:v>5.4557000000000055</x:v>
      </x:c>
      <x:c r="AT32" s="11" t="n">
        <x:v>47.09</x:v>
      </x:c>
      <x:c r="AU32" s="13" t="n">
        <x:v>0</x:v>
      </x:c>
      <x:c r="AV32" s="13" t="n">
        <x:v>5</x:v>
      </x:c>
      <x:c r="AW32" s="9" t="str">
        <x:v>train</x:v>
      </x:c>
    </x:row>
    <x:row r="33" ht="36" customHeight="1">
      <x:c r="A33" s="14" t="str">
        <x:v>VKQSAQSCKUZTCV-KNQAVFIVSA-N</x:v>
      </x:c>
      <x:c r="B33" s="14" t="str">
        <x:v>CHEMBL3985419</x:v>
      </x:c>
      <x:c r="C33" s="14" t="str">
        <x:v>CHEMBL3985419</x:v>
      </x:c>
      <x:c r="D33" s="14" t="str">
        <x:v>16670265</x:v>
      </x:c>
      <x:c r="E33" s="14" t="str">
        <x:v>16670265</x:v>
      </x:c>
      <x:c r="F33" s="14" t="str">
        <x:v>CHEMBL3855278</x:v>
      </x:c>
      <x:c r="G33" s="14" t="str">
        <x:v>CHEMBL217</x:v>
      </x:c>
      <x:c r="H33" s="14" t="str">
        <x:v>CHEMBL3853329</x:v>
      </x:c>
      <x:c r="I33" s="14" t="str">
        <x:v>Cn1c(SCCCN2CC[C@]3(C[C@@H]3c3ccc(C(F)(F)F)cc3)C2)nnc1-c1ccoc1</x:v>
      </x:c>
      <x:c r="J33" s="14" t="str">
        <x:v>Cn1c(SCCCN2CC[C@]3(C[C@@H]3c3ccc(C(F)(F)F)cc3)C2)nnc1-c1ccoc1</x:v>
      </x:c>
      <x:c r="K33" s="14" t="str">
        <x:v>source_reported_pKi</x:v>
      </x:c>
      <x:c r="L33" s="15" t="n">
        <x:v>6.3</x:v>
      </x:c>
      <x:c r="M33" s="15" t="n">
        <x:v>501.18723362727246</x:v>
      </x:c>
      <x:c r="N33" s="15" t="n">
        <x:v>501.19</x:v>
      </x:c>
      <x:c r="O33" s="15" t="n">
        <x:v>6.299997602857746</x:v>
      </x:c>
      <x:c r="P33" s="16" t="n">
        <x:v>-0.000002397142253585116</x:v>
      </x:c>
      <x:c r="Q33" s="16" t="n">
        <x:v>0.0027663727275353267</x:v>
      </x:c>
      <x:c r="R33" s="15" t="n">
        <x:v>0.00501</x:v>
      </x:c>
      <x:c r="S33" s="14" t="str">
        <x:v>Cn1c(SCCCN2CC[C@]3(C[C@@H]3c3ccc(C(F)(F)F)cc3)C2)nnc1-c1ccoc1</x:v>
      </x:c>
      <x:c r="T33" s="14" t="str">
        <x:v>Cn1c(SCCCN2CC[C@]3(C[C@@H]3c3ccc(C(F)(F)F)cc3)C2)nnc1-c1ccoc1</x:v>
      </x:c>
      <x:c r="U33" s="14" t="str">
        <x:v>VKQSAQSCKUZTCV-KNQAVFIVSA-N</x:v>
      </x:c>
      <x:c r="V33" s="14" t="str">
        <x:v>Cn1c(SCCCN2CCC3(CC3c3ccc(C(F)(F)F)cc3)C2)nnc1-c1ccoc1</x:v>
      </x:c>
      <x:c r="W33" s="14" t="str">
        <x:v>b589c072b35e32539259416a3d4258e40c6a8fe3479defa400007c42cda8e53f</x:v>
      </x:c>
      <x:c r="X33" s="14" t="str">
        <x:v>c1ccc(C2CC23CCN(CCCSc2nnc(-c4ccoc4)[nH]2)C3)cc1</x:v>
      </x:c>
      <x:c r="Y33" s="14" t="str">
        <x:v>False</x:v>
      </x:c>
      <x:c r="Z33" s="17" t="n">
        <x:v>1</x:v>
      </x:c>
      <x:c r="AA33" s="14" t="str">
        <x:v>include</x:v>
      </x:c>
      <x:c r="AB33" s="14" t="str"/>
      <x:c r="AC33" s="14" t="str">
        <x:v>pKi</x:v>
      </x:c>
      <x:c r="AD33" s="14" t="str">
        <x:v>6.3</x:v>
      </x:c>
      <x:c r="AE33" s="14" t="str"/>
      <x:c r="AF33" s="14" t="str">
        <x:v>=</x:v>
      </x:c>
      <x:c r="AG33" s="14" t="str">
        <x:v>Ki</x:v>
      </x:c>
      <x:c r="AH33" s="15" t="n">
        <x:v>501.19</x:v>
      </x:c>
      <x:c r="AI33" s="14" t="str">
        <x:v>nM</x:v>
      </x:c>
      <x:c r="AJ33" s="14" t="str">
        <x:v>=</x:v>
      </x:c>
      <x:c r="AK33" s="15" t="n">
        <x:v>6.3</x:v>
      </x:c>
      <x:c r="AL33" s="17" t="n">
        <x:v>0</x:v>
      </x:c>
      <x:c r="AM33" s="14" t="str"/>
      <x:c r="AN33" s="14" t="str"/>
      <x:c r="AO33" s="14" t="str">
        <x:v>https://www.ebi.ac.uk/chembl/api/data/activity/16670265.json</x:v>
      </x:c>
      <x:c r="AP33" s="14" t="str">
        <x:v>Cn1c(SCCCN2CCC3(CC3c3ccc(C(F)(F)F)cc3)C2)nnc1-c1ccoc1</x:v>
      </x:c>
      <x:c r="AQ33" s="14" t="str">
        <x:v>c1ccc(C2CC23CCN(CCCSc2nnc(-c4ccoc4)[nH]2)C3)cc1</x:v>
      </x:c>
      <x:c r="AR33" s="15" t="n">
        <x:v>462.5410000000001</x:v>
      </x:c>
      <x:c r="AS33" s="15" t="n">
        <x:v>5.4557000000000055</x:v>
      </x:c>
      <x:c r="AT33" s="15" t="n">
        <x:v>47.09</x:v>
      </x:c>
      <x:c r="AU33" s="17" t="n">
        <x:v>0</x:v>
      </x:c>
      <x:c r="AV33" s="17" t="n">
        <x:v>5</x:v>
      </x:c>
      <x:c r="AW33" s="14" t="str">
        <x:v>test</x:v>
      </x:c>
    </x:row>
    <x:row r="34" ht="36" customHeight="1">
      <x:c r="A34" s="9" t="str">
        <x:v>KIDLIVLNXRZSJP-KNQAVFIVSA-N</x:v>
      </x:c>
      <x:c r="B34" s="9" t="str">
        <x:v>CHEMBL3956758</x:v>
      </x:c>
      <x:c r="C34" s="9" t="str">
        <x:v>CHEMBL3956758</x:v>
      </x:c>
      <x:c r="D34" s="9" t="str">
        <x:v>16670266</x:v>
      </x:c>
      <x:c r="E34" s="9" t="str">
        <x:v>16670266</x:v>
      </x:c>
      <x:c r="F34" s="9" t="str">
        <x:v>CHEMBL3855278</x:v>
      </x:c>
      <x:c r="G34" s="9" t="str">
        <x:v>CHEMBL217</x:v>
      </x:c>
      <x:c r="H34" s="9" t="str">
        <x:v>CHEMBL3853329</x:v>
      </x:c>
      <x:c r="I34" s="9" t="str">
        <x:v>Cn1cc(-c2nnc(SCCCN3CC[C@]4(C[C@@H]4c4ccc(C(F)(F)F)cc4)C3)n2C)cn1</x:v>
      </x:c>
      <x:c r="J34" s="9" t="str">
        <x:v>Cn1cc(-c2nnc(SCCCN3CC[C@]4(C[C@@H]4c4ccc(C(F)(F)F)cc4)C3)n2C)cn1</x:v>
      </x:c>
      <x:c r="K34" s="9" t="str">
        <x:v>source_reported_pKi</x:v>
      </x:c>
      <x:c r="L34" s="11" t="n">
        <x:v>6.27</x:v>
      </x:c>
      <x:c r="M34" s="11" t="n">
        <x:v>537.0317963702532</x:v>
      </x:c>
      <x:c r="N34" s="11" t="n">
        <x:v>537.03</x:v>
      </x:c>
      <x:c r="O34" s="11" t="n">
        <x:v>6.270001452716578</x:v>
      </x:c>
      <x:c r="P34" s="12" t="n">
        <x:v>0.000001452716578143054</x:v>
      </x:c>
      <x:c r="Q34" s="12" t="n">
        <x:v>-0.001796370253259738</x:v>
      </x:c>
      <x:c r="R34" s="11" t="n">
        <x:v>0.00501</x:v>
      </x:c>
      <x:c r="S34" s="9" t="str">
        <x:v>Cn1cc(-c2nnc(SCCCN3CC[C@]4(C[C@@H]4c4ccc(C(F)(F)F)cc4)C3)n2C)cn1</x:v>
      </x:c>
      <x:c r="T34" s="9" t="str">
        <x:v>Cn1cc(-c2nnc(SCCCN3CC[C@]4(C[C@@H]4c4ccc(C(F)(F)F)cc4)C3)n2C)cn1</x:v>
      </x:c>
      <x:c r="U34" s="9" t="str">
        <x:v>KIDLIVLNXRZSJP-KNQAVFIVSA-N</x:v>
      </x:c>
      <x:c r="V34" s="9" t="str">
        <x:v>Cn1cc(-c2nnc(SCCCN3CCC4(CC4c4ccc(C(F)(F)F)cc4)C3)n2C)cn1</x:v>
      </x:c>
      <x:c r="W34" s="9" t="str">
        <x:v>ef906f7fe0f06b2ed46d3d85e5599857e4f34a84d9243aef1d108475e7deb80f</x:v>
      </x:c>
      <x:c r="X34" s="9" t="str">
        <x:v>c1ccc(C2CC23CCN(CCCSc2nnc(-c4cn[nH]c4)[nH]2)C3)cc1</x:v>
      </x:c>
      <x:c r="Y34" s="9" t="str">
        <x:v>False</x:v>
      </x:c>
      <x:c r="Z34" s="13" t="n">
        <x:v>1</x:v>
      </x:c>
      <x:c r="AA34" s="9" t="str">
        <x:v>include</x:v>
      </x:c>
      <x:c r="AB34" s="9" t="str"/>
      <x:c r="AC34" s="9" t="str">
        <x:v>pKi</x:v>
      </x:c>
      <x:c r="AD34" s="9" t="str">
        <x:v>6.27</x:v>
      </x:c>
      <x:c r="AE34" s="9" t="str"/>
      <x:c r="AF34" s="9" t="str">
        <x:v>=</x:v>
      </x:c>
      <x:c r="AG34" s="9" t="str">
        <x:v>Ki</x:v>
      </x:c>
      <x:c r="AH34" s="11" t="n">
        <x:v>537.03</x:v>
      </x:c>
      <x:c r="AI34" s="9" t="str">
        <x:v>nM</x:v>
      </x:c>
      <x:c r="AJ34" s="9" t="str">
        <x:v>=</x:v>
      </x:c>
      <x:c r="AK34" s="11" t="n">
        <x:v>6.27</x:v>
      </x:c>
      <x:c r="AL34" s="13" t="n">
        <x:v>0</x:v>
      </x:c>
      <x:c r="AM34" s="9" t="str"/>
      <x:c r="AN34" s="9" t="str"/>
      <x:c r="AO34" s="9" t="str">
        <x:v>https://www.ebi.ac.uk/chembl/api/data/activity/16670266.json</x:v>
      </x:c>
      <x:c r="AP34" s="9" t="str">
        <x:v>Cn1cc(-c2nnc(SCCCN3CCC4(CC4c4ccc(C(F)(F)F)cc4)C3)n2C)cn1</x:v>
      </x:c>
      <x:c r="AQ34" s="9" t="str">
        <x:v>c1ccc(C2CC23CCN(CCCSc2nnc(-c4cn[nH]c4)[nH]2)C3)cc1</x:v>
      </x:c>
      <x:c r="AR34" s="11" t="n">
        <x:v>476.57200000000006</x:v>
      </x:c>
      <x:c r="AS34" s="11" t="n">
        <x:v>4.596200000000004</x:v>
      </x:c>
      <x:c r="AT34" s="11" t="n">
        <x:v>51.77</x:v>
      </x:c>
      <x:c r="AU34" s="13" t="n">
        <x:v>0</x:v>
      </x:c>
      <x:c r="AV34" s="13" t="n">
        <x:v>5</x:v>
      </x:c>
      <x:c r="AW34" s="9" t="str">
        <x:v>train</x:v>
      </x:c>
    </x:row>
    <x:row r="35" ht="36" customHeight="1">
      <x:c r="A35" s="14" t="str">
        <x:v>BADZIIJBCNPURN-GCJKJVERSA-N</x:v>
      </x:c>
      <x:c r="B35" s="14" t="str">
        <x:v>CHEMBL3908174</x:v>
      </x:c>
      <x:c r="C35" s="14" t="str">
        <x:v>CHEMBL3908174</x:v>
      </x:c>
      <x:c r="D35" s="14" t="str">
        <x:v>16670267</x:v>
      </x:c>
      <x:c r="E35" s="14" t="str">
        <x:v>16670267</x:v>
      </x:c>
      <x:c r="F35" s="14" t="str">
        <x:v>CHEMBL3855278</x:v>
      </x:c>
      <x:c r="G35" s="14" t="str">
        <x:v>CHEMBL217</x:v>
      </x:c>
      <x:c r="H35" s="14" t="str">
        <x:v>CHEMBL3853329</x:v>
      </x:c>
      <x:c r="I35" s="14" t="str">
        <x:v>Cn1nccc1-c1nnc(SCCCN2CC[C@]3(C[C@@H]3c3ccc(C(F)(F)F)cc3)C2)n1C</x:v>
      </x:c>
      <x:c r="J35" s="14" t="str">
        <x:v>Cn1nccc1-c1nnc(SCCCN2CC[C@]3(C[C@@H]3c3ccc(C(F)(F)F)cc3)C2)n1C</x:v>
      </x:c>
      <x:c r="K35" s="14" t="str">
        <x:v>source_reported_pKi</x:v>
      </x:c>
      <x:c r="L35" s="15" t="n">
        <x:v>6.07</x:v>
      </x:c>
      <x:c r="M35" s="15" t="n">
        <x:v>851.1380382023759</x:v>
      </x:c>
      <x:c r="N35" s="15" t="n">
        <x:v>851.14</x:v>
      </x:c>
      <x:c r="O35" s="15" t="n">
        <x:v>6.069998998990925</x:v>
      </x:c>
      <x:c r="P35" s="16" t="n">
        <x:v>-0.0000010010090756296108</x:v>
      </x:c>
      <x:c r="Q35" s="16" t="n">
        <x:v>0.0019617976240624557</x:v>
      </x:c>
      <x:c r="R35" s="15" t="n">
        <x:v>0.00501</x:v>
      </x:c>
      <x:c r="S35" s="14" t="str">
        <x:v>Cn1nccc1-c1nnc(SCCCN2CC[C@]3(C[C@@H]3c3ccc(C(F)(F)F)cc3)C2)n1C</x:v>
      </x:c>
      <x:c r="T35" s="14" t="str">
        <x:v>Cn1nccc1-c1nnc(SCCCN2CC[C@]3(C[C@@H]3c3ccc(C(F)(F)F)cc3)C2)n1C</x:v>
      </x:c>
      <x:c r="U35" s="14" t="str">
        <x:v>BADZIIJBCNPURN-GCJKJVERSA-N</x:v>
      </x:c>
      <x:c r="V35" s="14" t="str">
        <x:v>Cn1nccc1-c1nnc(SCCCN2CCC3(CC3c3ccc(C(F)(F)F)cc3)C2)n1C</x:v>
      </x:c>
      <x:c r="W35" s="14" t="str">
        <x:v>fd6095840b2b7cf376b0a0d8b10a2e6aba9a0a862519a0a76b7005c5aed7f5e7</x:v>
      </x:c>
      <x:c r="X35" s="14" t="str">
        <x:v>c1ccc(C2CC23CCN(CCCSc2nnc(-c4ccn[nH]4)[nH]2)C3)cc1</x:v>
      </x:c>
      <x:c r="Y35" s="14" t="str">
        <x:v>False</x:v>
      </x:c>
      <x:c r="Z35" s="17" t="n">
        <x:v>1</x:v>
      </x:c>
      <x:c r="AA35" s="14" t="str">
        <x:v>include</x:v>
      </x:c>
      <x:c r="AB35" s="14" t="str"/>
      <x:c r="AC35" s="14" t="str">
        <x:v>pKi</x:v>
      </x:c>
      <x:c r="AD35" s="14" t="str">
        <x:v>6.07</x:v>
      </x:c>
      <x:c r="AE35" s="14" t="str"/>
      <x:c r="AF35" s="14" t="str">
        <x:v>=</x:v>
      </x:c>
      <x:c r="AG35" s="14" t="str">
        <x:v>Ki</x:v>
      </x:c>
      <x:c r="AH35" s="15" t="n">
        <x:v>851.14</x:v>
      </x:c>
      <x:c r="AI35" s="14" t="str">
        <x:v>nM</x:v>
      </x:c>
      <x:c r="AJ35" s="14" t="str">
        <x:v>=</x:v>
      </x:c>
      <x:c r="AK35" s="15" t="n">
        <x:v>6.07</x:v>
      </x:c>
      <x:c r="AL35" s="17" t="n">
        <x:v>0</x:v>
      </x:c>
      <x:c r="AM35" s="14" t="str"/>
      <x:c r="AN35" s="14" t="str"/>
      <x:c r="AO35" s="14" t="str">
        <x:v>https://www.ebi.ac.uk/chembl/api/data/activity/16670267.json</x:v>
      </x:c>
      <x:c r="AP35" s="14" t="str">
        <x:v>Cn1nccc1-c1nnc(SCCCN2CCC3(CC3c3ccc(C(F)(F)F)cc3)C2)n1C</x:v>
      </x:c>
      <x:c r="AQ35" s="14" t="str">
        <x:v>c1ccc(C2CC23CCN(CCCSc2nnc(-c4ccn[nH]4)[nH]2)C3)cc1</x:v>
      </x:c>
      <x:c r="AR35" s="15" t="n">
        <x:v>476.5720000000002</x:v>
      </x:c>
      <x:c r="AS35" s="15" t="n">
        <x:v>4.596200000000004</x:v>
      </x:c>
      <x:c r="AT35" s="15" t="n">
        <x:v>51.77</x:v>
      </x:c>
      <x:c r="AU35" s="17" t="n">
        <x:v>0</x:v>
      </x:c>
      <x:c r="AV35" s="17" t="n">
        <x:v>5</x:v>
      </x:c>
      <x:c r="AW35" s="14" t="str">
        <x:v>train</x:v>
      </x:c>
    </x:row>
    <x:row r="36" ht="36" customHeight="1">
      <x:c r="A36" s="9" t="str">
        <x:v>TXEGIIUTZDNUKA-GCJKJVERSA-N</x:v>
      </x:c>
      <x:c r="B36" s="9" t="str">
        <x:v>CHEMBL3978613</x:v>
      </x:c>
      <x:c r="C36" s="9" t="str">
        <x:v>CHEMBL3978613</x:v>
      </x:c>
      <x:c r="D36" s="9" t="str">
        <x:v>16670268</x:v>
      </x:c>
      <x:c r="E36" s="9" t="str">
        <x:v>16670268</x:v>
      </x:c>
      <x:c r="F36" s="9" t="str">
        <x:v>CHEMBL3855278</x:v>
      </x:c>
      <x:c r="G36" s="9" t="str">
        <x:v>CHEMBL217</x:v>
      </x:c>
      <x:c r="H36" s="9" t="str">
        <x:v>CHEMBL3853329</x:v>
      </x:c>
      <x:c r="I36" s="9" t="str">
        <x:v>Cc1cc(-c2nnc(SCCCN3CC[C@]4(C[C@@H]4c4ccc(C(F)(F)F)cc4)C3)n2C)on1</x:v>
      </x:c>
      <x:c r="J36" s="9" t="str">
        <x:v>Cc1cc(-c2nnc(SCCCN3CC[C@]4(C[C@@H]4c4ccc(C(F)(F)F)cc4)C3)n2C)on1</x:v>
      </x:c>
      <x:c r="K36" s="9" t="str">
        <x:v>source_reported_pKi</x:v>
      </x:c>
      <x:c r="L36" s="11" t="n">
        <x:v>6.28</x:v>
      </x:c>
      <x:c r="M36" s="11" t="n">
        <x:v>524.8074602497722</x:v>
      </x:c>
      <x:c r="N36" s="11" t="n">
        <x:v>524.81</x:v>
      </x:c>
      <x:c r="O36" s="11" t="n">
        <x:v>6.279997898282849</x:v>
      </x:c>
      <x:c r="P36" s="12" t="n">
        <x:v>-0.0000021017171514259303</x:v>
      </x:c>
      <x:c r="Q36" s="12" t="n">
        <x:v>0.0025397502276973682</x:v>
      </x:c>
      <x:c r="R36" s="11" t="n">
        <x:v>0.00501</x:v>
      </x:c>
      <x:c r="S36" s="9" t="str">
        <x:v>Cc1cc(-c2nnc(SCCCN3CC[C@]4(C[C@@H]4c4ccc(C(F)(F)F)cc4)C3)n2C)on1</x:v>
      </x:c>
      <x:c r="T36" s="9" t="str">
        <x:v>Cc1cc(-c2nnc(SCCCN3CC[C@]4(C[C@@H]4c4ccc(C(F)(F)F)cc4)C3)n2C)on1</x:v>
      </x:c>
      <x:c r="U36" s="9" t="str">
        <x:v>TXEGIIUTZDNUKA-GCJKJVERSA-N</x:v>
      </x:c>
      <x:c r="V36" s="9" t="str">
        <x:v>Cc1cc(-c2nnc(SCCCN3CCC4(CC4c4ccc(C(F)(F)F)cc4)C3)n2C)on1</x:v>
      </x:c>
      <x:c r="W36" s="9" t="str">
        <x:v>5f14a541ce08ba6b745449e8d8616c2a694232f6494a1298bfc2d58a9ddb0526</x:v>
      </x:c>
      <x:c r="X36" s="9" t="str">
        <x:v>c1ccc(C2CC23CCN(CCCSc2nnc(-c4ccno4)[nH]2)C3)cc1</x:v>
      </x:c>
      <x:c r="Y36" s="9" t="str">
        <x:v>False</x:v>
      </x:c>
      <x:c r="Z36" s="13" t="n">
        <x:v>1</x:v>
      </x:c>
      <x:c r="AA36" s="9" t="str">
        <x:v>include</x:v>
      </x:c>
      <x:c r="AB36" s="9" t="str"/>
      <x:c r="AC36" s="9" t="str">
        <x:v>pKi</x:v>
      </x:c>
      <x:c r="AD36" s="9" t="str">
        <x:v>6.28</x:v>
      </x:c>
      <x:c r="AE36" s="9" t="str"/>
      <x:c r="AF36" s="9" t="str">
        <x:v>=</x:v>
      </x:c>
      <x:c r="AG36" s="9" t="str">
        <x:v>Ki</x:v>
      </x:c>
      <x:c r="AH36" s="11" t="n">
        <x:v>524.81</x:v>
      </x:c>
      <x:c r="AI36" s="9" t="str">
        <x:v>nM</x:v>
      </x:c>
      <x:c r="AJ36" s="9" t="str">
        <x:v>=</x:v>
      </x:c>
      <x:c r="AK36" s="11" t="n">
        <x:v>6.28</x:v>
      </x:c>
      <x:c r="AL36" s="13" t="n">
        <x:v>0</x:v>
      </x:c>
      <x:c r="AM36" s="9" t="str"/>
      <x:c r="AN36" s="9" t="str"/>
      <x:c r="AO36" s="9" t="str">
        <x:v>https://www.ebi.ac.uk/chembl/api/data/activity/16670268.json</x:v>
      </x:c>
      <x:c r="AP36" s="9" t="str">
        <x:v>Cc1cc(-c2nnc(SCCCN3CCC4(CC4c4ccc(C(F)(F)F)cc4)C3)n2C)on1</x:v>
      </x:c>
      <x:c r="AQ36" s="9" t="str">
        <x:v>c1ccc(C2CC23CCN(CCCSc2nnc(-c4ccno4)[nH]2)C3)cc1</x:v>
      </x:c>
      <x:c r="AR36" s="11" t="n">
        <x:v>477.5560000000001</x:v>
      </x:c>
      <x:c r="AS36" s="11" t="n">
        <x:v>5.159120000000005</x:v>
      </x:c>
      <x:c r="AT36" s="11" t="n">
        <x:v>59.980000000000004</x:v>
      </x:c>
      <x:c r="AU36" s="13" t="n">
        <x:v>0</x:v>
      </x:c>
      <x:c r="AV36" s="13" t="n">
        <x:v>6</x:v>
      </x:c>
      <x:c r="AW36" s="9" t="str">
        <x:v>train</x:v>
      </x:c>
    </x:row>
    <x:row r="37" ht="36" customHeight="1">
      <x:c r="A37" s="14" t="str">
        <x:v>DGRHJZMAQQIHDX-BWKNWUBXSA-N</x:v>
      </x:c>
      <x:c r="B37" s="14" t="str">
        <x:v>CHEMBL3899125</x:v>
      </x:c>
      <x:c r="C37" s="14" t="str">
        <x:v>CHEMBL3899125</x:v>
      </x:c>
      <x:c r="D37" s="14" t="str">
        <x:v>16670299</x:v>
      </x:c>
      <x:c r="E37" s="14" t="str">
        <x:v>16670299</x:v>
      </x:c>
      <x:c r="F37" s="14" t="str">
        <x:v>CHEMBL3855278</x:v>
      </x:c>
      <x:c r="G37" s="14" t="str">
        <x:v>CHEMBL217</x:v>
      </x:c>
      <x:c r="H37" s="14" t="str">
        <x:v>CHEMBL3853329</x:v>
      </x:c>
      <x:c r="I37" s="14" t="str">
        <x:v>Cn1c(SCCCN2CC[C@]3(C[C@@H]3c3ccc(C(F)(F)F)cc3)C2)nnc1-c1ccc(C(N)=O)cc1</x:v>
      </x:c>
      <x:c r="J37" s="14" t="str">
        <x:v>Cn1c(SCCCN2CC[C@]3(C[C@@H]3c3ccc(C(F)(F)F)cc3)C2)nnc1-c1ccc(C(N)=O)cc1</x:v>
      </x:c>
      <x:c r="K37" s="14" t="str">
        <x:v>source_reported_pKi</x:v>
      </x:c>
      <x:c r="L37" s="15" t="n">
        <x:v>6.45</x:v>
      </x:c>
      <x:c r="M37" s="15" t="n">
        <x:v>354.8133892335753</x:v>
      </x:c>
      <x:c r="N37" s="15" t="n">
        <x:v>354.81</x:v>
      </x:c>
      <x:c r="O37" s="15" t="n">
        <x:v>6.450004148469349</x:v>
      </x:c>
      <x:c r="P37" s="16" t="n">
        <x:v>0.000004148469348486117</x:v>
      </x:c>
      <x:c r="Q37" s="16" t="n">
        <x:v>-0.0033892335753193947</x:v>
      </x:c>
      <x:c r="R37" s="15" t="n">
        <x:v>0.00501</x:v>
      </x:c>
      <x:c r="S37" s="14" t="str">
        <x:v>Cn1c(SCCCN2CC[C@]3(C[C@@H]3c3ccc(C(F)(F)F)cc3)C2)nnc1-c1ccc(C(N)=O)cc1</x:v>
      </x:c>
      <x:c r="T37" s="14" t="str">
        <x:v>Cn1c(SCCCN2CC[C@]3(C[C@@H]3c3ccc(C(F)(F)F)cc3)C2)nnc1-c1ccc(C(N)=O)cc1</x:v>
      </x:c>
      <x:c r="U37" s="14" t="str">
        <x:v>DGRHJZMAQQIHDX-BWKNWUBXSA-N</x:v>
      </x:c>
      <x:c r="V37" s="14" t="str">
        <x:v>Cn1c(SCCCN2CCC3(CC3c3ccc(C(F)(F)F)cc3)C2)nnc1-c1ccc(C(N)=O)cc1</x:v>
      </x:c>
      <x:c r="W37" s="14" t="str">
        <x:v>0635ef682e930ef699a39956879b226f7593a360c4a32b6808aaca97ff220a17</x:v>
      </x:c>
      <x:c r="X37" s="14" t="str">
        <x:v>c1ccc(-c2nnc(SCCCN3CCC4(CC4c4ccccc4)C3)[nH]2)cc1</x:v>
      </x:c>
      <x:c r="Y37" s="14" t="str">
        <x:v>False</x:v>
      </x:c>
      <x:c r="Z37" s="17" t="n">
        <x:v>1</x:v>
      </x:c>
      <x:c r="AA37" s="14" t="str">
        <x:v>include</x:v>
      </x:c>
      <x:c r="AB37" s="14" t="str"/>
      <x:c r="AC37" s="14" t="str">
        <x:v>pKi</x:v>
      </x:c>
      <x:c r="AD37" s="14" t="str">
        <x:v>6.45</x:v>
      </x:c>
      <x:c r="AE37" s="14" t="str"/>
      <x:c r="AF37" s="14" t="str">
        <x:v>=</x:v>
      </x:c>
      <x:c r="AG37" s="14" t="str">
        <x:v>Ki</x:v>
      </x:c>
      <x:c r="AH37" s="15" t="n">
        <x:v>354.81</x:v>
      </x:c>
      <x:c r="AI37" s="14" t="str">
        <x:v>nM</x:v>
      </x:c>
      <x:c r="AJ37" s="14" t="str">
        <x:v>=</x:v>
      </x:c>
      <x:c r="AK37" s="15" t="n">
        <x:v>6.45</x:v>
      </x:c>
      <x:c r="AL37" s="17" t="n">
        <x:v>0</x:v>
      </x:c>
      <x:c r="AM37" s="14" t="str"/>
      <x:c r="AN37" s="14" t="str"/>
      <x:c r="AO37" s="14" t="str">
        <x:v>https://www.ebi.ac.uk/chembl/api/data/activity/16670299.json</x:v>
      </x:c>
      <x:c r="AP37" s="14" t="str">
        <x:v>Cn1c(SCCCN2CCC3(CC3c3ccc(C(F)(F)F)cc3)C2)nnc1-c1ccc(C(N)=O)cc1</x:v>
      </x:c>
      <x:c r="AQ37" s="14" t="str">
        <x:v>c1ccc(-c2nnc(SCCCN3CCC4(CC4c4ccccc4)C3)[nH]2)cc1</x:v>
      </x:c>
      <x:c r="AR37" s="15" t="n">
        <x:v>515.6050000000002</x:v>
      </x:c>
      <x:c r="AS37" s="15" t="n">
        <x:v>4.961600000000004</x:v>
      </x:c>
      <x:c r="AT37" s="15" t="n">
        <x:v>77.03999999999999</x:v>
      </x:c>
      <x:c r="AU37" s="17" t="n">
        <x:v>1</x:v>
      </x:c>
      <x:c r="AV37" s="17" t="n">
        <x:v>5</x:v>
      </x:c>
      <x:c r="AW37" s="14" t="str">
        <x:v>train</x:v>
      </x:c>
    </x:row>
    <x:row r="38" ht="36" customHeight="1">
      <x:c r="A38" s="9" t="str">
        <x:v>XUTJSHVGYIHURB-BWKNWUBXSA-N</x:v>
      </x:c>
      <x:c r="B38" s="9" t="str">
        <x:v>CHEMBL3970323</x:v>
      </x:c>
      <x:c r="C38" s="9" t="str">
        <x:v>CHEMBL3970323</x:v>
      </x:c>
      <x:c r="D38" s="9" t="str">
        <x:v>16670300</x:v>
      </x:c>
      <x:c r="E38" s="9" t="str">
        <x:v>16670300</x:v>
      </x:c>
      <x:c r="F38" s="9" t="str">
        <x:v>CHEMBL3855278</x:v>
      </x:c>
      <x:c r="G38" s="9" t="str">
        <x:v>CHEMBL217</x:v>
      </x:c>
      <x:c r="H38" s="9" t="str">
        <x:v>CHEMBL3853329</x:v>
      </x:c>
      <x:c r="I38" s="9" t="str">
        <x:v>Cn1c(SCCCN2CC[C@]3(C[C@@H]3c3ccc(C(F)(F)F)cc3)C2)nnc1-c1cccc(C(N)=O)c1</x:v>
      </x:c>
      <x:c r="J38" s="9" t="str">
        <x:v>Cn1c(SCCCN2CC[C@]3(C[C@@H]3c3ccc(C(F)(F)F)cc3)C2)nnc1-c1cccc(C(N)=O)c1</x:v>
      </x:c>
      <x:c r="K38" s="9" t="str">
        <x:v>source_reported_pKi</x:v>
      </x:c>
      <x:c r="L38" s="11" t="n">
        <x:v>6.2</x:v>
      </x:c>
      <x:c r="M38" s="11" t="n">
        <x:v>630.957344480193</x:v>
      </x:c>
      <x:c r="N38" s="11" t="n">
        <x:v>630.96</x:v>
      </x:c>
      <x:c r="O38" s="11" t="n">
        <x:v>6.199998172182031</x:v>
      </x:c>
      <x:c r="P38" s="12" t="n">
        <x:v>-0.0000018278179689801277</x:v>
      </x:c>
      <x:c r="Q38" s="12" t="n">
        <x:v>0.002655519807035489</x:v>
      </x:c>
      <x:c r="R38" s="11" t="n">
        <x:v>0.00501</x:v>
      </x:c>
      <x:c r="S38" s="9" t="str">
        <x:v>Cn1c(SCCCN2CC[C@]3(C[C@@H]3c3ccc(C(F)(F)F)cc3)C2)nnc1-c1cccc(C(N)=O)c1</x:v>
      </x:c>
      <x:c r="T38" s="9" t="str">
        <x:v>Cn1c(SCCCN2CC[C@]3(C[C@@H]3c3ccc(C(F)(F)F)cc3)C2)nnc1-c1cccc(C(N)=O)c1</x:v>
      </x:c>
      <x:c r="U38" s="9" t="str">
        <x:v>XUTJSHVGYIHURB-BWKNWUBXSA-N</x:v>
      </x:c>
      <x:c r="V38" s="9" t="str">
        <x:v>Cn1c(SCCCN2CCC3(CC3c3ccc(C(F)(F)F)cc3)C2)nnc1-c1cccc(C(N)=O)c1</x:v>
      </x:c>
      <x:c r="W38" s="9" t="str">
        <x:v>78994a25e5beb7a4cc27ba58dc555a71f898cf81e548d21edd8c2f1a6b93ca62</x:v>
      </x:c>
      <x:c r="X38" s="9" t="str">
        <x:v>c1ccc(-c2nnc(SCCCN3CCC4(CC4c4ccccc4)C3)[nH]2)cc1</x:v>
      </x:c>
      <x:c r="Y38" s="9" t="str">
        <x:v>False</x:v>
      </x:c>
      <x:c r="Z38" s="13" t="n">
        <x:v>1</x:v>
      </x:c>
      <x:c r="AA38" s="9" t="str">
        <x:v>include</x:v>
      </x:c>
      <x:c r="AB38" s="9" t="str"/>
      <x:c r="AC38" s="9" t="str">
        <x:v>pKi</x:v>
      </x:c>
      <x:c r="AD38" s="9" t="str">
        <x:v>6.2</x:v>
      </x:c>
      <x:c r="AE38" s="9" t="str"/>
      <x:c r="AF38" s="9" t="str">
        <x:v>=</x:v>
      </x:c>
      <x:c r="AG38" s="9" t="str">
        <x:v>Ki</x:v>
      </x:c>
      <x:c r="AH38" s="11" t="n">
        <x:v>630.96</x:v>
      </x:c>
      <x:c r="AI38" s="9" t="str">
        <x:v>nM</x:v>
      </x:c>
      <x:c r="AJ38" s="9" t="str">
        <x:v>=</x:v>
      </x:c>
      <x:c r="AK38" s="11" t="n">
        <x:v>6.2</x:v>
      </x:c>
      <x:c r="AL38" s="13" t="n">
        <x:v>0</x:v>
      </x:c>
      <x:c r="AM38" s="9" t="str"/>
      <x:c r="AN38" s="9" t="str"/>
      <x:c r="AO38" s="9" t="str">
        <x:v>https://www.ebi.ac.uk/chembl/api/data/activity/16670300.json</x:v>
      </x:c>
      <x:c r="AP38" s="9" t="str">
        <x:v>Cn1c(SCCCN2CCC3(CC3c3ccc(C(F)(F)F)cc3)C2)nnc1-c1cccc(C(N)=O)c1</x:v>
      </x:c>
      <x:c r="AQ38" s="9" t="str">
        <x:v>c1ccc(-c2nnc(SCCCN3CCC4(CC4c4ccccc4)C3)[nH]2)cc1</x:v>
      </x:c>
      <x:c r="AR38" s="11" t="n">
        <x:v>515.6050000000002</x:v>
      </x:c>
      <x:c r="AS38" s="11" t="n">
        <x:v>4.961600000000004</x:v>
      </x:c>
      <x:c r="AT38" s="11" t="n">
        <x:v>77.03999999999999</x:v>
      </x:c>
      <x:c r="AU38" s="13" t="n">
        <x:v>1</x:v>
      </x:c>
      <x:c r="AV38" s="13" t="n">
        <x:v>5</x:v>
      </x:c>
      <x:c r="AW38" s="9" t="str">
        <x:v>train</x:v>
      </x:c>
    </x:row>
    <x:row r="39" ht="36" customHeight="1">
      <x:c r="A39" s="14" t="str">
        <x:v>PGNPMTAEFDKCKN-BWKNWUBXSA-N</x:v>
      </x:c>
      <x:c r="B39" s="14" t="str">
        <x:v>CHEMBL3890178</x:v>
      </x:c>
      <x:c r="C39" s="14" t="str">
        <x:v>CHEMBL3890178</x:v>
      </x:c>
      <x:c r="D39" s="14" t="str">
        <x:v>16670301</x:v>
      </x:c>
      <x:c r="E39" s="14" t="str">
        <x:v>16670301</x:v>
      </x:c>
      <x:c r="F39" s="14" t="str">
        <x:v>CHEMBL3855278</x:v>
      </x:c>
      <x:c r="G39" s="14" t="str">
        <x:v>CHEMBL217</x:v>
      </x:c>
      <x:c r="H39" s="14" t="str">
        <x:v>CHEMBL3853329</x:v>
      </x:c>
      <x:c r="I39" s="14" t="str">
        <x:v>Cn1c(SCCCN2CC[C@]3(C[C@@H]3c3ccc(C(F)(F)F)cc3)C2)nnc1-c1ccccc1C(N)=O</x:v>
      </x:c>
      <x:c r="J39" s="14" t="str">
        <x:v>Cn1c(SCCCN2CC[C@]3(C[C@@H]3c3ccc(C(F)(F)F)cc3)C2)nnc1-c1ccccc1C(N)=O</x:v>
      </x:c>
      <x:c r="K39" s="14" t="str">
        <x:v>source_reported_pKi</x:v>
      </x:c>
      <x:c r="L39" s="15" t="n">
        <x:v>7.4</x:v>
      </x:c>
      <x:c r="M39" s="15" t="n">
        <x:v>39.81071705534969</x:v>
      </x:c>
      <x:c r="N39" s="15" t="n">
        <x:v>39.81</x:v>
      </x:c>
      <x:c r="O39" s="15" t="n">
        <x:v>7.400007822415902</x:v>
      </x:c>
      <x:c r="P39" s="16" t="n">
        <x:v>0.000007822415901692636</x:v>
      </x:c>
      <x:c r="Q39" s="16" t="n">
        <x:v>-0.000717055349689133</x:v>
      </x:c>
      <x:c r="R39" s="15" t="n">
        <x:v>0.00501</x:v>
      </x:c>
      <x:c r="S39" s="14" t="str">
        <x:v>Cn1c(SCCCN2CC[C@]3(C[C@@H]3c3ccc(C(F)(F)F)cc3)C2)nnc1-c1ccccc1C(N)=O</x:v>
      </x:c>
      <x:c r="T39" s="14" t="str">
        <x:v>Cn1c(SCCCN2CC[C@]3(C[C@@H]3c3ccc(C(F)(F)F)cc3)C2)nnc1-c1ccccc1C(N)=O</x:v>
      </x:c>
      <x:c r="U39" s="14" t="str">
        <x:v>PGNPMTAEFDKCKN-BWKNWUBXSA-N</x:v>
      </x:c>
      <x:c r="V39" s="14" t="str">
        <x:v>Cn1c(SCCCN2CCC3(CC3c3ccc(C(F)(F)F)cc3)C2)nnc1-c1ccccc1C(N)=O</x:v>
      </x:c>
      <x:c r="W39" s="14" t="str">
        <x:v>6df6013354923bfff948bd55095e26cbd39551aa6c0b195764e3d2d157e3faea</x:v>
      </x:c>
      <x:c r="X39" s="14" t="str">
        <x:v>c1ccc(-c2nnc(SCCCN3CCC4(CC4c4ccccc4)C3)[nH]2)cc1</x:v>
      </x:c>
      <x:c r="Y39" s="14" t="str">
        <x:v>False</x:v>
      </x:c>
      <x:c r="Z39" s="17" t="n">
        <x:v>1</x:v>
      </x:c>
      <x:c r="AA39" s="14" t="str">
        <x:v>include</x:v>
      </x:c>
      <x:c r="AB39" s="14" t="str"/>
      <x:c r="AC39" s="14" t="str">
        <x:v>pKi</x:v>
      </x:c>
      <x:c r="AD39" s="14" t="str">
        <x:v>7.4</x:v>
      </x:c>
      <x:c r="AE39" s="14" t="str"/>
      <x:c r="AF39" s="14" t="str">
        <x:v>=</x:v>
      </x:c>
      <x:c r="AG39" s="14" t="str">
        <x:v>Ki</x:v>
      </x:c>
      <x:c r="AH39" s="15" t="n">
        <x:v>39.81</x:v>
      </x:c>
      <x:c r="AI39" s="14" t="str">
        <x:v>nM</x:v>
      </x:c>
      <x:c r="AJ39" s="14" t="str">
        <x:v>=</x:v>
      </x:c>
      <x:c r="AK39" s="15" t="n">
        <x:v>7.4</x:v>
      </x:c>
      <x:c r="AL39" s="17" t="n">
        <x:v>0</x:v>
      </x:c>
      <x:c r="AM39" s="14" t="str"/>
      <x:c r="AN39" s="14" t="str"/>
      <x:c r="AO39" s="14" t="str">
        <x:v>https://www.ebi.ac.uk/chembl/api/data/activity/16670301.json</x:v>
      </x:c>
      <x:c r="AP39" s="14" t="str">
        <x:v>Cn1c(SCCCN2CCC3(CC3c3ccc(C(F)(F)F)cc3)C2)nnc1-c1ccccc1C(N)=O</x:v>
      </x:c>
      <x:c r="AQ39" s="14" t="str">
        <x:v>c1ccc(-c2nnc(SCCCN3CCC4(CC4c4ccccc4)C3)[nH]2)cc1</x:v>
      </x:c>
      <x:c r="AR39" s="15" t="n">
        <x:v>515.6050000000001</x:v>
      </x:c>
      <x:c r="AS39" s="15" t="n">
        <x:v>4.961600000000004</x:v>
      </x:c>
      <x:c r="AT39" s="15" t="n">
        <x:v>77.03999999999999</x:v>
      </x:c>
      <x:c r="AU39" s="17" t="n">
        <x:v>1</x:v>
      </x:c>
      <x:c r="AV39" s="17" t="n">
        <x:v>5</x:v>
      </x:c>
      <x:c r="AW39" s="14" t="str">
        <x:v>train</x:v>
      </x:c>
    </x:row>
    <x:row r="40" ht="36" customHeight="1">
      <x:c r="A40" s="9" t="str">
        <x:v>HZISGJVOPZSKRZ-QPPBQGQZSA-N</x:v>
      </x:c>
      <x:c r="B40" s="9" t="str">
        <x:v>CHEMBL3959240</x:v>
      </x:c>
      <x:c r="C40" s="9" t="str">
        <x:v>CHEMBL3959240</x:v>
      </x:c>
      <x:c r="D40" s="9" t="str">
        <x:v>16670302</x:v>
      </x:c>
      <x:c r="E40" s="9" t="str">
        <x:v>16670302</x:v>
      </x:c>
      <x:c r="F40" s="9" t="str">
        <x:v>CHEMBL3855278</x:v>
      </x:c>
      <x:c r="G40" s="9" t="str">
        <x:v>CHEMBL217</x:v>
      </x:c>
      <x:c r="H40" s="9" t="str">
        <x:v>CHEMBL3853329</x:v>
      </x:c>
      <x:c r="I40" s="9" t="str">
        <x:v>Cn1c(SCCCN2CC[C@]3(C[C@@H]3c3ccc(C(F)(F)F)cc3)C2)nnc1-c1ccc(S(N)(=O)=O)cc1</x:v>
      </x:c>
      <x:c r="J40" s="9" t="str">
        <x:v>Cn1c(SCCCN2CC[C@]3(C[C@@H]3c3ccc(C(F)(F)F)cc3)C2)nnc1-c1ccc(S(N)(=O)=O)cc1</x:v>
      </x:c>
      <x:c r="K40" s="9" t="str">
        <x:v>source_reported_pKi</x:v>
      </x:c>
      <x:c r="L40" s="11" t="n">
        <x:v>6.66</x:v>
      </x:c>
      <x:c r="M40" s="11" t="n">
        <x:v>218.77616239495518</x:v>
      </x:c>
      <x:c r="N40" s="11" t="n">
        <x:v>218.78</x:v>
      </x:c>
      <x:c r="O40" s="11" t="n">
        <x:v>6.6599923820033275</x:v>
      </x:c>
      <x:c r="P40" s="12" t="n">
        <x:v>-0.000007617996672593108</x:v>
      </x:c>
      <x:c r="Q40" s="12" t="n">
        <x:v>0.003837605044822112</x:v>
      </x:c>
      <x:c r="R40" s="11" t="n">
        <x:v>0.00501</x:v>
      </x:c>
      <x:c r="S40" s="9" t="str">
        <x:v>Cn1c(SCCCN2CC[C@]3(C[C@@H]3c3ccc(C(F)(F)F)cc3)C2)nnc1-c1ccc(S(N)(=O)=O)cc1</x:v>
      </x:c>
      <x:c r="T40" s="9" t="str">
        <x:v>Cn1c(SCCCN2CC[C@]3(C[C@@H]3c3ccc(C(F)(F)F)cc3)C2)nnc1-c1ccc(S(N)(=O)=O)cc1</x:v>
      </x:c>
      <x:c r="U40" s="9" t="str">
        <x:v>HZISGJVOPZSKRZ-QPPBQGQZSA-N</x:v>
      </x:c>
      <x:c r="V40" s="9" t="str">
        <x:v>Cn1c(SCCCN2CCC3(CC3c3ccc(C(F)(F)F)cc3)C2)nnc1-c1ccc(S(N)(=O)=O)cc1</x:v>
      </x:c>
      <x:c r="W40" s="9" t="str">
        <x:v>31bbc93187b250370f93697653530b24c8b94d8964f0779c6710d0ecab131834</x:v>
      </x:c>
      <x:c r="X40" s="9" t="str">
        <x:v>c1ccc(-c2nnc(SCCCN3CCC4(CC4c4ccccc4)C3)[nH]2)cc1</x:v>
      </x:c>
      <x:c r="Y40" s="9" t="str">
        <x:v>False</x:v>
      </x:c>
      <x:c r="Z40" s="13" t="n">
        <x:v>1</x:v>
      </x:c>
      <x:c r="AA40" s="9" t="str">
        <x:v>include</x:v>
      </x:c>
      <x:c r="AB40" s="9" t="str"/>
      <x:c r="AC40" s="9" t="str">
        <x:v>pKi</x:v>
      </x:c>
      <x:c r="AD40" s="9" t="str">
        <x:v>6.66</x:v>
      </x:c>
      <x:c r="AE40" s="9" t="str"/>
      <x:c r="AF40" s="9" t="str">
        <x:v>=</x:v>
      </x:c>
      <x:c r="AG40" s="9" t="str">
        <x:v>Ki</x:v>
      </x:c>
      <x:c r="AH40" s="11" t="n">
        <x:v>218.78</x:v>
      </x:c>
      <x:c r="AI40" s="9" t="str">
        <x:v>nM</x:v>
      </x:c>
      <x:c r="AJ40" s="9" t="str">
        <x:v>=</x:v>
      </x:c>
      <x:c r="AK40" s="11" t="n">
        <x:v>6.66</x:v>
      </x:c>
      <x:c r="AL40" s="13" t="n">
        <x:v>0</x:v>
      </x:c>
      <x:c r="AM40" s="9" t="str"/>
      <x:c r="AN40" s="9" t="str"/>
      <x:c r="AO40" s="9" t="str">
        <x:v>https://www.ebi.ac.uk/chembl/api/data/activity/16670302.json</x:v>
      </x:c>
      <x:c r="AP40" s="9" t="str">
        <x:v>Cn1c(SCCCN2CCC3(CC3c3ccc(C(F)(F)F)cc3)C2)nnc1-c1ccc(S(N)(=O)=O)cc1</x:v>
      </x:c>
      <x:c r="AQ40" s="9" t="str">
        <x:v>c1ccc(-c2nnc(SCCCN3CCC4(CC4c4ccccc4)C3)[nH]2)cc1</x:v>
      </x:c>
      <x:c r="AR40" s="11" t="n">
        <x:v>551.6600000000002</x:v>
      </x:c>
      <x:c r="AS40" s="11" t="n">
        <x:v>4.510100000000003</x:v>
      </x:c>
      <x:c r="AT40" s="11" t="n">
        <x:v>94.10999999999999</x:v>
      </x:c>
      <x:c r="AU40" s="13" t="n">
        <x:v>1</x:v>
      </x:c>
      <x:c r="AV40" s="13" t="n">
        <x:v>6</x:v>
      </x:c>
      <x:c r="AW40" s="9" t="str">
        <x:v>train</x:v>
      </x:c>
    </x:row>
    <x:row r="41" ht="36" customHeight="1">
      <x:c r="A41" s="14" t="str">
        <x:v>HMTJKRFRBLRBNL-BVAGGSTKSA-N</x:v>
      </x:c>
      <x:c r="B41" s="14" t="str">
        <x:v>CHEMBL3979523</x:v>
      </x:c>
      <x:c r="C41" s="14" t="str">
        <x:v>CHEMBL3979523</x:v>
      </x:c>
      <x:c r="D41" s="14" t="str">
        <x:v>16670303</x:v>
      </x:c>
      <x:c r="E41" s="14" t="str">
        <x:v>16670303</x:v>
      </x:c>
      <x:c r="F41" s="14" t="str">
        <x:v>CHEMBL3855278</x:v>
      </x:c>
      <x:c r="G41" s="14" t="str">
        <x:v>CHEMBL217</x:v>
      </x:c>
      <x:c r="H41" s="14" t="str">
        <x:v>CHEMBL3853329</x:v>
      </x:c>
      <x:c r="I41" s="14" t="str">
        <x:v>CC(=O)c1ccc(-c2nnc(SCCCN3CC[C@]4(C[C@@H]4c4ccc(C(F)(F)F)cc4)C3)n2C)cc1</x:v>
      </x:c>
      <x:c r="J41" s="14" t="str">
        <x:v>CC(=O)c1ccc(-c2nnc(SCCCN3CC[C@]4(C[C@@H]4c4ccc(C(F)(F)F)cc4)C3)n2C)cc1</x:v>
      </x:c>
      <x:c r="K41" s="14" t="str">
        <x:v>source_reported_pKi</x:v>
      </x:c>
      <x:c r="L41" s="15" t="n">
        <x:v>6.35</x:v>
      </x:c>
      <x:c r="M41" s="15" t="n">
        <x:v>446.6835921509635</x:v>
      </x:c>
      <x:c r="N41" s="15" t="n">
        <x:v>446.68</x:v>
      </x:c>
      <x:c r="O41" s="15" t="n">
        <x:v>6.350003492533959</x:v>
      </x:c>
      <x:c r="P41" s="16" t="n">
        <x:v>0.000003492533958926458</x:v>
      </x:c>
      <x:c r="Q41" s="16" t="n">
        <x:v>-0.0035921509634704307</x:v>
      </x:c>
      <x:c r="R41" s="15" t="n">
        <x:v>0.00501</x:v>
      </x:c>
      <x:c r="S41" s="14" t="str">
        <x:v>CC(=O)c1ccc(-c2nnc(SCCCN3CC[C@]4(C[C@@H]4c4ccc(C(F)(F)F)cc4)C3)n2C)cc1</x:v>
      </x:c>
      <x:c r="T41" s="14" t="str">
        <x:v>CC(=O)c1ccc(-c2nnc(SCCCN3CC[C@]4(C[C@@H]4c4ccc(C(F)(F)F)cc4)C3)n2C)cc1</x:v>
      </x:c>
      <x:c r="U41" s="14" t="str">
        <x:v>HMTJKRFRBLRBNL-BVAGGSTKSA-N</x:v>
      </x:c>
      <x:c r="V41" s="14" t="str">
        <x:v>CC(=O)c1ccc(-c2nnc(SCCCN3CCC4(CC4c4ccc(C(F)(F)F)cc4)C3)n2C)cc1</x:v>
      </x:c>
      <x:c r="W41" s="14" t="str">
        <x:v>937a5f4a510a2f6c5c20fbc83a11f4d7740ba04666162f3995b908ecc66e0f62</x:v>
      </x:c>
      <x:c r="X41" s="14" t="str">
        <x:v>c1ccc(-c2nnc(SCCCN3CCC4(CC4c4ccccc4)C3)[nH]2)cc1</x:v>
      </x:c>
      <x:c r="Y41" s="14" t="str">
        <x:v>False</x:v>
      </x:c>
      <x:c r="Z41" s="17" t="n">
        <x:v>1</x:v>
      </x:c>
      <x:c r="AA41" s="14" t="str">
        <x:v>include</x:v>
      </x:c>
      <x:c r="AB41" s="14" t="str"/>
      <x:c r="AC41" s="14" t="str">
        <x:v>pKi</x:v>
      </x:c>
      <x:c r="AD41" s="14" t="str">
        <x:v>6.35</x:v>
      </x:c>
      <x:c r="AE41" s="14" t="str"/>
      <x:c r="AF41" s="14" t="str">
        <x:v>=</x:v>
      </x:c>
      <x:c r="AG41" s="14" t="str">
        <x:v>Ki</x:v>
      </x:c>
      <x:c r="AH41" s="15" t="n">
        <x:v>446.68</x:v>
      </x:c>
      <x:c r="AI41" s="14" t="str">
        <x:v>nM</x:v>
      </x:c>
      <x:c r="AJ41" s="14" t="str">
        <x:v>=</x:v>
      </x:c>
      <x:c r="AK41" s="15" t="n">
        <x:v>6.35</x:v>
      </x:c>
      <x:c r="AL41" s="17" t="n">
        <x:v>0</x:v>
      </x:c>
      <x:c r="AM41" s="14" t="str"/>
      <x:c r="AN41" s="14" t="str"/>
      <x:c r="AO41" s="14" t="str">
        <x:v>https://www.ebi.ac.uk/chembl/api/data/activity/16670303.json</x:v>
      </x:c>
      <x:c r="AP41" s="14" t="str">
        <x:v>CC(=O)c1ccc(-c2nnc(SCCCN3CCC4(CC4c4ccc(C(F)(F)F)cc4)C3)n2C)cc1</x:v>
      </x:c>
      <x:c r="AQ41" s="14" t="str">
        <x:v>c1ccc(-c2nnc(SCCCN3CCC4(CC4c4ccccc4)C3)[nH]2)cc1</x:v>
      </x:c>
      <x:c r="AR41" s="15" t="n">
        <x:v>514.6170000000002</x:v>
      </x:c>
      <x:c r="AS41" s="15" t="n">
        <x:v>6.065300000000006</x:v>
      </x:c>
      <x:c r="AT41" s="15" t="n">
        <x:v>51.02</x:v>
      </x:c>
      <x:c r="AU41" s="17" t="n">
        <x:v>0</x:v>
      </x:c>
      <x:c r="AV41" s="17" t="n">
        <x:v>5</x:v>
      </x:c>
      <x:c r="AW41" s="14" t="str">
        <x:v>train</x:v>
      </x:c>
    </x:row>
    <x:row r="42" ht="36" customHeight="1">
      <x:c r="A42" s="9" t="str">
        <x:v>ITIATPRLDJMYTO-RDGATRHJSA-N</x:v>
      </x:c>
      <x:c r="B42" s="9" t="str">
        <x:v>CHEMBL3950540</x:v>
      </x:c>
      <x:c r="C42" s="9" t="str">
        <x:v>CHEMBL3950540</x:v>
      </x:c>
      <x:c r="D42" s="9" t="str">
        <x:v>16670304</x:v>
      </x:c>
      <x:c r="E42" s="9" t="str">
        <x:v>16670304</x:v>
      </x:c>
      <x:c r="F42" s="9" t="str">
        <x:v>CHEMBL3855278</x:v>
      </x:c>
      <x:c r="G42" s="9" t="str">
        <x:v>CHEMBL217</x:v>
      </x:c>
      <x:c r="H42" s="9" t="str">
        <x:v>CHEMBL3853329</x:v>
      </x:c>
      <x:c r="I42" s="9" t="str">
        <x:v>Cn1c(SCCCN2CC[C@]3(C[C@@H]3c3ccc(C(F)(F)F)cc3)C2)nnc1-c1ccc(C#N)cc1</x:v>
      </x:c>
      <x:c r="J42" s="9" t="str">
        <x:v>Cn1c(SCCCN2CC[C@]3(C[C@@H]3c3ccc(C(F)(F)F)cc3)C2)nnc1-c1ccc(C#N)cc1</x:v>
      </x:c>
      <x:c r="K42" s="9" t="str">
        <x:v>source_reported_pKi</x:v>
      </x:c>
      <x:c r="L42" s="11" t="n">
        <x:v>6.46</x:v>
      </x:c>
      <x:c r="M42" s="11" t="n">
        <x:v>346.73685045253166</x:v>
      </x:c>
      <x:c r="N42" s="11" t="n">
        <x:v>346.74</x:v>
      </x:c>
      <x:c r="O42" s="11" t="n">
        <x:v>6.459996055149974</x:v>
      </x:c>
      <x:c r="P42" s="12" t="n">
        <x:v>-0.000003944850026194047</x:v>
      </x:c>
      <x:c r="Q42" s="12" t="n">
        <x:v>0.0031495474683538305</x:v>
      </x:c>
      <x:c r="R42" s="11" t="n">
        <x:v>0.00501</x:v>
      </x:c>
      <x:c r="S42" s="9" t="str">
        <x:v>Cn1c(SCCCN2CC[C@]3(C[C@@H]3c3ccc(C(F)(F)F)cc3)C2)nnc1-c1ccc(C#N)cc1</x:v>
      </x:c>
      <x:c r="T42" s="9" t="str">
        <x:v>Cn1c(SCCCN2CC[C@]3(C[C@@H]3c3ccc(C(F)(F)F)cc3)C2)nnc1-c1ccc(C#N)cc1</x:v>
      </x:c>
      <x:c r="U42" s="9" t="str">
        <x:v>ITIATPRLDJMYTO-RDGATRHJSA-N</x:v>
      </x:c>
      <x:c r="V42" s="9" t="str">
        <x:v>Cn1c(SCCCN2CCC3(CC3c3ccc(C(F)(F)F)cc3)C2)nnc1-c1ccc(C#N)cc1</x:v>
      </x:c>
      <x:c r="W42" s="9" t="str">
        <x:v>87e7630fa76ee459b5d904476950fa622c73953c83840af36eeb4e85b24cf142</x:v>
      </x:c>
      <x:c r="X42" s="9" t="str">
        <x:v>c1ccc(-c2nnc(SCCCN3CCC4(CC4c4ccccc4)C3)[nH]2)cc1</x:v>
      </x:c>
      <x:c r="Y42" s="9" t="str">
        <x:v>False</x:v>
      </x:c>
      <x:c r="Z42" s="13" t="n">
        <x:v>1</x:v>
      </x:c>
      <x:c r="AA42" s="9" t="str">
        <x:v>include</x:v>
      </x:c>
      <x:c r="AB42" s="9" t="str"/>
      <x:c r="AC42" s="9" t="str">
        <x:v>pKi</x:v>
      </x:c>
      <x:c r="AD42" s="9" t="str">
        <x:v>6.46</x:v>
      </x:c>
      <x:c r="AE42" s="9" t="str"/>
      <x:c r="AF42" s="9" t="str">
        <x:v>=</x:v>
      </x:c>
      <x:c r="AG42" s="9" t="str">
        <x:v>Ki</x:v>
      </x:c>
      <x:c r="AH42" s="11" t="n">
        <x:v>346.74</x:v>
      </x:c>
      <x:c r="AI42" s="9" t="str">
        <x:v>nM</x:v>
      </x:c>
      <x:c r="AJ42" s="9" t="str">
        <x:v>=</x:v>
      </x:c>
      <x:c r="AK42" s="11" t="n">
        <x:v>6.46</x:v>
      </x:c>
      <x:c r="AL42" s="13" t="n">
        <x:v>0</x:v>
      </x:c>
      <x:c r="AM42" s="9" t="str"/>
      <x:c r="AN42" s="9" t="str"/>
      <x:c r="AO42" s="9" t="str">
        <x:v>https://www.ebi.ac.uk/chembl/api/data/activity/16670304.json</x:v>
      </x:c>
      <x:c r="AP42" s="9" t="str">
        <x:v>Cn1c(SCCCN2CCC3(CC3c3ccc(C(F)(F)F)cc3)C2)nnc1-c1ccc(C#N)cc1</x:v>
      </x:c>
      <x:c r="AQ42" s="9" t="str">
        <x:v>c1ccc(-c2nnc(SCCCN3CCC4(CC4c4ccccc4)C3)[nH]2)cc1</x:v>
      </x:c>
      <x:c r="AR42" s="11" t="n">
        <x:v>497.59000000000015</x:v>
      </x:c>
      <x:c r="AS42" s="11" t="n">
        <x:v>5.734380000000006</x:v>
      </x:c>
      <x:c r="AT42" s="11" t="n">
        <x:v>57.74</x:v>
      </x:c>
      <x:c r="AU42" s="13" t="n">
        <x:v>0</x:v>
      </x:c>
      <x:c r="AV42" s="13" t="n">
        <x:v>5</x:v>
      </x:c>
      <x:c r="AW42" s="9" t="str">
        <x:v>train</x:v>
      </x:c>
    </x:row>
    <x:row r="43" ht="36" customHeight="1">
      <x:c r="A43" s="14" t="str">
        <x:v>BCTUVZJFJIFLND-GJZUVCINSA-N</x:v>
      </x:c>
      <x:c r="B43" s="14" t="str">
        <x:v>CHEMBL3981856</x:v>
      </x:c>
      <x:c r="C43" s="14" t="str">
        <x:v>CHEMBL3981856</x:v>
      </x:c>
      <x:c r="D43" s="14" t="str">
        <x:v>16670305</x:v>
      </x:c>
      <x:c r="E43" s="14" t="str">
        <x:v>16670305</x:v>
      </x:c>
      <x:c r="F43" s="14" t="str">
        <x:v>CHEMBL3855278</x:v>
      </x:c>
      <x:c r="G43" s="14" t="str">
        <x:v>CHEMBL217</x:v>
      </x:c>
      <x:c r="H43" s="14" t="str">
        <x:v>CHEMBL3853329</x:v>
      </x:c>
      <x:c r="I43" s="14" t="str">
        <x:v>Cn1c(SCCCN2CC[C@]3(C[C@@H]3c3ccc(C(F)(F)F)cc3)C2)nnc1-c1ccc(CC(N)=O)cc1</x:v>
      </x:c>
      <x:c r="J43" s="14" t="str">
        <x:v>Cn1c(SCCCN2CC[C@]3(C[C@@H]3c3ccc(C(F)(F)F)cc3)C2)nnc1-c1ccc(CC(N)=O)cc1</x:v>
      </x:c>
      <x:c r="K43" s="14" t="str">
        <x:v>source_reported_pKi</x:v>
      </x:c>
      <x:c r="L43" s="15" t="n">
        <x:v>6.33</x:v>
      </x:c>
      <x:c r="M43" s="15" t="n">
        <x:v>467.73514128719813</x:v>
      </x:c>
      <x:c r="N43" s="15" t="n">
        <x:v>467.74</x:v>
      </x:c>
      <x:c r="O43" s="15" t="n">
        <x:v>6.329995488683631</x:v>
      </x:c>
      <x:c r="P43" s="16" t="n">
        <x:v>-0.0000045113163693599745</x:v>
      </x:c>
      <x:c r="Q43" s="16" t="n">
        <x:v>0.0048587128018766634</x:v>
      </x:c>
      <x:c r="R43" s="15" t="n">
        <x:v>0.00501</x:v>
      </x:c>
      <x:c r="S43" s="14" t="str">
        <x:v>Cn1c(SCCCN2CC[C@]3(C[C@@H]3c3ccc(C(F)(F)F)cc3)C2)nnc1-c1ccc(CC(N)=O)cc1</x:v>
      </x:c>
      <x:c r="T43" s="14" t="str">
        <x:v>Cn1c(SCCCN2CC[C@]3(C[C@@H]3c3ccc(C(F)(F)F)cc3)C2)nnc1-c1ccc(CC(N)=O)cc1</x:v>
      </x:c>
      <x:c r="U43" s="14" t="str">
        <x:v>BCTUVZJFJIFLND-GJZUVCINSA-N</x:v>
      </x:c>
      <x:c r="V43" s="14" t="str">
        <x:v>Cn1c(SCCCN2CCC3(CC3c3ccc(C(F)(F)F)cc3)C2)nnc1-c1ccc(CC(N)=O)cc1</x:v>
      </x:c>
      <x:c r="W43" s="14" t="str">
        <x:v>411434279c8dd5ea224d3ee66a301b20e492548db6d6e63d4c904ae6b2ee7597</x:v>
      </x:c>
      <x:c r="X43" s="14" t="str">
        <x:v>c1ccc(-c2nnc(SCCCN3CCC4(CC4c4ccccc4)C3)[nH]2)cc1</x:v>
      </x:c>
      <x:c r="Y43" s="14" t="str">
        <x:v>False</x:v>
      </x:c>
      <x:c r="Z43" s="17" t="n">
        <x:v>1</x:v>
      </x:c>
      <x:c r="AA43" s="14" t="str">
        <x:v>include</x:v>
      </x:c>
      <x:c r="AB43" s="14" t="str"/>
      <x:c r="AC43" s="14" t="str">
        <x:v>pKi</x:v>
      </x:c>
      <x:c r="AD43" s="14" t="str">
        <x:v>6.33</x:v>
      </x:c>
      <x:c r="AE43" s="14" t="str"/>
      <x:c r="AF43" s="14" t="str">
        <x:v>=</x:v>
      </x:c>
      <x:c r="AG43" s="14" t="str">
        <x:v>Ki</x:v>
      </x:c>
      <x:c r="AH43" s="15" t="n">
        <x:v>467.74</x:v>
      </x:c>
      <x:c r="AI43" s="14" t="str">
        <x:v>nM</x:v>
      </x:c>
      <x:c r="AJ43" s="14" t="str">
        <x:v>=</x:v>
      </x:c>
      <x:c r="AK43" s="15" t="n">
        <x:v>6.33</x:v>
      </x:c>
      <x:c r="AL43" s="17" t="n">
        <x:v>0</x:v>
      </x:c>
      <x:c r="AM43" s="14" t="str"/>
      <x:c r="AN43" s="14" t="str"/>
      <x:c r="AO43" s="14" t="str">
        <x:v>https://www.ebi.ac.uk/chembl/api/data/activity/16670305.json</x:v>
      </x:c>
      <x:c r="AP43" s="14" t="str">
        <x:v>Cn1c(SCCCN2CCC3(CC3c3ccc(C(F)(F)F)cc3)C2)nnc1-c1ccc(CC(N)=O)cc1</x:v>
      </x:c>
      <x:c r="AQ43" s="14" t="str">
        <x:v>c1ccc(-c2nnc(SCCCN3CCC4(CC4c4ccccc4)C3)[nH]2)cc1</x:v>
      </x:c>
      <x:c r="AR43" s="15" t="n">
        <x:v>529.6320000000003</x:v>
      </x:c>
      <x:c r="AS43" s="15" t="n">
        <x:v>4.890500000000004</x:v>
      </x:c>
      <x:c r="AT43" s="15" t="n">
        <x:v>77.03999999999999</x:v>
      </x:c>
      <x:c r="AU43" s="17" t="n">
        <x:v>1</x:v>
      </x:c>
      <x:c r="AV43" s="17" t="n">
        <x:v>5</x:v>
      </x:c>
      <x:c r="AW43" s="14" t="str">
        <x:v>train</x:v>
      </x:c>
    </x:row>
    <x:row r="44" ht="36" customHeight="1">
      <x:c r="A44" s="9" t="str">
        <x:v>NIFGQHGFOUMQJN-KCWPFWIISA-N</x:v>
      </x:c>
      <x:c r="B44" s="9" t="str">
        <x:v>CHEMBL3941818</x:v>
      </x:c>
      <x:c r="C44" s="9" t="str">
        <x:v>CHEMBL3941818</x:v>
      </x:c>
      <x:c r="D44" s="9" t="str">
        <x:v>16670306</x:v>
      </x:c>
      <x:c r="E44" s="9" t="str">
        <x:v>16670306</x:v>
      </x:c>
      <x:c r="F44" s="9" t="str">
        <x:v>CHEMBL3855278</x:v>
      </x:c>
      <x:c r="G44" s="9" t="str">
        <x:v>CHEMBL217</x:v>
      </x:c>
      <x:c r="H44" s="9" t="str">
        <x:v>CHEMBL3853329</x:v>
      </x:c>
      <x:c r="I44" s="9" t="str">
        <x:v>Cn1c(SCCCN2CC[C@]3(C[C@@H]3c3ccc(C(F)(F)F)cc3)C2)nnc1-c1ccc(-c2ncco2)cc1</x:v>
      </x:c>
      <x:c r="J44" s="9" t="str">
        <x:v>Cn1c(SCCCN2CC[C@]3(C[C@@H]3c3ccc(C(F)(F)F)cc3)C2)nnc1-c1ccc(-c2ncco2)cc1</x:v>
      </x:c>
      <x:c r="K44" s="9" t="str">
        <x:v>source_reported_pKi</x:v>
      </x:c>
      <x:c r="L44" s="11" t="n">
        <x:v>6.44</x:v>
      </x:c>
      <x:c r="M44" s="11" t="n">
        <x:v>363.078054770101</x:v>
      </x:c>
      <x:c r="N44" s="11" t="n">
        <x:v>363.08</x:v>
      </x:c>
      <x:c r="O44" s="11" t="n">
        <x:v>6.4399976732266335</x:v>
      </x:c>
      <x:c r="P44" s="12" t="n">
        <x:v>-0.000002326773366867485</x:v>
      </x:c>
      <x:c r="Q44" s="12" t="n">
        <x:v>0.0019452298989790506</x:v>
      </x:c>
      <x:c r="R44" s="11" t="n">
        <x:v>0.00501</x:v>
      </x:c>
      <x:c r="S44" s="9" t="str">
        <x:v>Cn1c(SCCCN2CC[C@]3(C[C@@H]3c3ccc(C(F)(F)F)cc3)C2)nnc1-c1ccc(-c2ncco2)cc1</x:v>
      </x:c>
      <x:c r="T44" s="9" t="str">
        <x:v>Cn1c(SCCCN2CC[C@]3(C[C@@H]3c3ccc(C(F)(F)F)cc3)C2)nnc1-c1ccc(-c2ncco2)cc1</x:v>
      </x:c>
      <x:c r="U44" s="9" t="str">
        <x:v>NIFGQHGFOUMQJN-KCWPFWIISA-N</x:v>
      </x:c>
      <x:c r="V44" s="9" t="str">
        <x:v>Cn1c(SCCCN2CCC3(CC3c3ccc(C(F)(F)F)cc3)C2)nnc1-c1ccc(-c2ncco2)cc1</x:v>
      </x:c>
      <x:c r="W44" s="9" t="str">
        <x:v>30976e9e06f7c731642413a37e92805222af3364a28811be87a92dc0cf0c7d2d</x:v>
      </x:c>
      <x:c r="X44" s="9" t="str">
        <x:v>c1ccc(C2CC23CCN(CCCSc2nnc(-c4ccc(-c5ncco5)cc4)[nH]2)C3)cc1</x:v>
      </x:c>
      <x:c r="Y44" s="9" t="str">
        <x:v>False</x:v>
      </x:c>
      <x:c r="Z44" s="13" t="n">
        <x:v>1</x:v>
      </x:c>
      <x:c r="AA44" s="9" t="str">
        <x:v>include</x:v>
      </x:c>
      <x:c r="AB44" s="9" t="str"/>
      <x:c r="AC44" s="9" t="str">
        <x:v>pKi</x:v>
      </x:c>
      <x:c r="AD44" s="9" t="str">
        <x:v>6.44</x:v>
      </x:c>
      <x:c r="AE44" s="9" t="str"/>
      <x:c r="AF44" s="9" t="str">
        <x:v>=</x:v>
      </x:c>
      <x:c r="AG44" s="9" t="str">
        <x:v>Ki</x:v>
      </x:c>
      <x:c r="AH44" s="11" t="n">
        <x:v>363.08</x:v>
      </x:c>
      <x:c r="AI44" s="9" t="str">
        <x:v>nM</x:v>
      </x:c>
      <x:c r="AJ44" s="9" t="str">
        <x:v>=</x:v>
      </x:c>
      <x:c r="AK44" s="11" t="n">
        <x:v>6.44</x:v>
      </x:c>
      <x:c r="AL44" s="13" t="n">
        <x:v>0</x:v>
      </x:c>
      <x:c r="AM44" s="9" t="str"/>
      <x:c r="AN44" s="9" t="str"/>
      <x:c r="AO44" s="9" t="str">
        <x:v>https://www.ebi.ac.uk/chembl/api/data/activity/16670306.json</x:v>
      </x:c>
      <x:c r="AP44" s="9" t="str">
        <x:v>Cn1c(SCCCN2CCC3(CC3c3ccc(C(F)(F)F)cc3)C2)nnc1-c1ccc(-c2ncco2)cc1</x:v>
      </x:c>
      <x:c r="AQ44" s="9" t="str">
        <x:v>c1ccc(C2CC23CCN(CCCSc2nnc(-c4ccc(-c5ncco5)cc4)[nH]2)C3)cc1</x:v>
      </x:c>
      <x:c r="AR44" s="11" t="n">
        <x:v>539.6270000000002</x:v>
      </x:c>
      <x:c r="AS44" s="11" t="n">
        <x:v>6.517700000000007</x:v>
      </x:c>
      <x:c r="AT44" s="11" t="n">
        <x:v>59.980000000000004</x:v>
      </x:c>
      <x:c r="AU44" s="13" t="n">
        <x:v>0</x:v>
      </x:c>
      <x:c r="AV44" s="13" t="n">
        <x:v>6</x:v>
      </x:c>
      <x:c r="AW44" s="9" t="str">
        <x:v>train</x:v>
      </x:c>
    </x:row>
    <x:row r="45" ht="36" customHeight="1">
      <x:c r="A45" s="14" t="str">
        <x:v>NMEPMLDUQJFQOK-KCWPFWIISA-N</x:v>
      </x:c>
      <x:c r="B45" s="14" t="str">
        <x:v>CHEMBL3920167</x:v>
      </x:c>
      <x:c r="C45" s="14" t="str">
        <x:v>CHEMBL3920167</x:v>
      </x:c>
      <x:c r="D45" s="14" t="str">
        <x:v>16670307</x:v>
      </x:c>
      <x:c r="E45" s="14" t="str">
        <x:v>16670307</x:v>
      </x:c>
      <x:c r="F45" s="14" t="str">
        <x:v>CHEMBL3855278</x:v>
      </x:c>
      <x:c r="G45" s="14" t="str">
        <x:v>CHEMBL217</x:v>
      </x:c>
      <x:c r="H45" s="14" t="str">
        <x:v>CHEMBL3853329</x:v>
      </x:c>
      <x:c r="I45" s="14" t="str">
        <x:v>Cn1c(SCCCN2CC[C@]3(C[C@@H]3c3ccc(C(F)(F)F)cc3)C2)nnc1-c1cccc(-c2ncco2)c1</x:v>
      </x:c>
      <x:c r="J45" s="14" t="str">
        <x:v>Cn1c(SCCCN2CC[C@]3(C[C@@H]3c3ccc(C(F)(F)F)cc3)C2)nnc1-c1cccc(-c2ncco2)c1</x:v>
      </x:c>
      <x:c r="K45" s="14" t="str">
        <x:v>source_reported_pKi</x:v>
      </x:c>
      <x:c r="L45" s="15" t="n">
        <x:v>6.3</x:v>
      </x:c>
      <x:c r="M45" s="15" t="n">
        <x:v>501.18723362727246</x:v>
      </x:c>
      <x:c r="N45" s="15" t="n">
        <x:v>501.19</x:v>
      </x:c>
      <x:c r="O45" s="15" t="n">
        <x:v>6.299997602857746</x:v>
      </x:c>
      <x:c r="P45" s="16" t="n">
        <x:v>-0.000002397142253585116</x:v>
      </x:c>
      <x:c r="Q45" s="16" t="n">
        <x:v>0.0027663727275353267</x:v>
      </x:c>
      <x:c r="R45" s="15" t="n">
        <x:v>0.00501</x:v>
      </x:c>
      <x:c r="S45" s="14" t="str">
        <x:v>Cn1c(SCCCN2CC[C@]3(C[C@@H]3c3ccc(C(F)(F)F)cc3)C2)nnc1-c1cccc(-c2ncco2)c1</x:v>
      </x:c>
      <x:c r="T45" s="14" t="str">
        <x:v>Cn1c(SCCCN2CC[C@]3(C[C@@H]3c3ccc(C(F)(F)F)cc3)C2)nnc1-c1cccc(-c2ncco2)c1</x:v>
      </x:c>
      <x:c r="U45" s="14" t="str">
        <x:v>NMEPMLDUQJFQOK-KCWPFWIISA-N</x:v>
      </x:c>
      <x:c r="V45" s="14" t="str">
        <x:v>Cn1c(SCCCN2CCC3(CC3c3ccc(C(F)(F)F)cc3)C2)nnc1-c1cccc(-c2ncco2)c1</x:v>
      </x:c>
      <x:c r="W45" s="14" t="str">
        <x:v>28764455c1c52ec84bfcdc47fbdd7f951200696393581083dcb0a1b873472a1d</x:v>
      </x:c>
      <x:c r="X45" s="14" t="str">
        <x:v>c1ccc(C2CC23CCN(CCCSc2nnc(-c4cccc(-c5ncco5)c4)[nH]2)C3)cc1</x:v>
      </x:c>
      <x:c r="Y45" s="14" t="str">
        <x:v>False</x:v>
      </x:c>
      <x:c r="Z45" s="17" t="n">
        <x:v>1</x:v>
      </x:c>
      <x:c r="AA45" s="14" t="str">
        <x:v>include</x:v>
      </x:c>
      <x:c r="AB45" s="14" t="str"/>
      <x:c r="AC45" s="14" t="str">
        <x:v>pKi</x:v>
      </x:c>
      <x:c r="AD45" s="14" t="str">
        <x:v>6.3</x:v>
      </x:c>
      <x:c r="AE45" s="14" t="str"/>
      <x:c r="AF45" s="14" t="str">
        <x:v>=</x:v>
      </x:c>
      <x:c r="AG45" s="14" t="str">
        <x:v>Ki</x:v>
      </x:c>
      <x:c r="AH45" s="15" t="n">
        <x:v>501.19</x:v>
      </x:c>
      <x:c r="AI45" s="14" t="str">
        <x:v>nM</x:v>
      </x:c>
      <x:c r="AJ45" s="14" t="str">
        <x:v>=</x:v>
      </x:c>
      <x:c r="AK45" s="15" t="n">
        <x:v>6.3</x:v>
      </x:c>
      <x:c r="AL45" s="17" t="n">
        <x:v>0</x:v>
      </x:c>
      <x:c r="AM45" s="14" t="str"/>
      <x:c r="AN45" s="14" t="str"/>
      <x:c r="AO45" s="14" t="str">
        <x:v>https://www.ebi.ac.uk/chembl/api/data/activity/16670307.json</x:v>
      </x:c>
      <x:c r="AP45" s="14" t="str">
        <x:v>Cn1c(SCCCN2CCC3(CC3c3ccc(C(F)(F)F)cc3)C2)nnc1-c1cccc(-c2ncco2)c1</x:v>
      </x:c>
      <x:c r="AQ45" s="14" t="str">
        <x:v>c1ccc(C2CC23CCN(CCCSc2nnc(-c4cccc(-c5ncco5)c4)[nH]2)C3)cc1</x:v>
      </x:c>
      <x:c r="AR45" s="15" t="n">
        <x:v>539.6270000000002</x:v>
      </x:c>
      <x:c r="AS45" s="15" t="n">
        <x:v>6.517700000000007</x:v>
      </x:c>
      <x:c r="AT45" s="15" t="n">
        <x:v>59.980000000000004</x:v>
      </x:c>
      <x:c r="AU45" s="17" t="n">
        <x:v>0</x:v>
      </x:c>
      <x:c r="AV45" s="17" t="n">
        <x:v>6</x:v>
      </x:c>
      <x:c r="AW45" s="14" t="str">
        <x:v>test</x:v>
      </x:c>
    </x:row>
    <x:row r="46" ht="36" customHeight="1">
      <x:c r="A46" s="9" t="str">
        <x:v>DWDIQEPGVYBABO-REWPJTCUSA-N</x:v>
      </x:c>
      <x:c r="B46" s="9" t="str">
        <x:v>CHEMBL3947961</x:v>
      </x:c>
      <x:c r="C46" s="9" t="str">
        <x:v>CHEMBL3947961</x:v>
      </x:c>
      <x:c r="D46" s="9" t="str">
        <x:v>16670402</x:v>
      </x:c>
      <x:c r="E46" s="9" t="str">
        <x:v>16670402</x:v>
      </x:c>
      <x:c r="F46" s="9" t="str">
        <x:v>CHEMBL3855278</x:v>
      </x:c>
      <x:c r="G46" s="9" t="str">
        <x:v>CHEMBL217</x:v>
      </x:c>
      <x:c r="H46" s="9" t="str">
        <x:v>CHEMBL3853329</x:v>
      </x:c>
      <x:c r="I46" s="9" t="str">
        <x:v>Cn1c(SCCCN2CC[C@]3(C[C@H]3c3ccc(C(F)(F)F)cc3)C2)nnc1-c1ccncc1</x:v>
      </x:c>
      <x:c r="J46" s="9" t="str">
        <x:v>Cn1c(SCCCN2CC[C@]3(C[C@H]3c3ccc(C(F)(F)F)cc3)C2)nnc1-c1ccncc1</x:v>
      </x:c>
      <x:c r="K46" s="9" t="str">
        <x:v>source_reported_pKi</x:v>
      </x:c>
      <x:c r="L46" s="11" t="n">
        <x:v>6.06</x:v>
      </x:c>
      <x:c r="M46" s="11" t="n">
        <x:v>870.9635899560815</x:v>
      </x:c>
      <x:c r="N46" s="11" t="n">
        <x:v>870.96</x:v>
      </x:c>
      <x:c r="O46" s="11" t="n">
        <x:v>6.060001790087838</x:v>
      </x:c>
      <x:c r="P46" s="12" t="n">
        <x:v>0.000001790087837960641</x:v>
      </x:c>
      <x:c r="Q46" s="12" t="n">
        <x:v>-0.0035899560814414144</x:v>
      </x:c>
      <x:c r="R46" s="11" t="n">
        <x:v>0.00501</x:v>
      </x:c>
      <x:c r="S46" s="9" t="str">
        <x:v>Cn1c(SCCCN2CC[C@]3(C[C@H]3c3ccc(C(F)(F)F)cc3)C2)nnc1-c1ccncc1</x:v>
      </x:c>
      <x:c r="T46" s="9" t="str">
        <x:v>Cn1c(SCCCN2CC[C@]3(C[C@H]3c3ccc(C(F)(F)F)cc3)C2)nnc1-c1ccncc1</x:v>
      </x:c>
      <x:c r="U46" s="9" t="str">
        <x:v>DWDIQEPGVYBABO-REWPJTCUSA-N</x:v>
      </x:c>
      <x:c r="V46" s="9" t="str">
        <x:v>Cn1c(SCCCN2CCC3(CC3c3ccc(C(F)(F)F)cc3)C2)nnc1-c1ccncc1</x:v>
      </x:c>
      <x:c r="W46" s="9" t="str">
        <x:v>5522edf84997096a309961b03bdedf323da8ac9d914587fed4da9d136ce2bdeb</x:v>
      </x:c>
      <x:c r="X46" s="9" t="str">
        <x:v>c1ccc(C2CC23CCN(CCCSc2nnc(-c4ccncc4)[nH]2)C3)cc1</x:v>
      </x:c>
      <x:c r="Y46" s="9" t="str">
        <x:v>False</x:v>
      </x:c>
      <x:c r="Z46" s="13" t="n">
        <x:v>1</x:v>
      </x:c>
      <x:c r="AA46" s="9" t="str">
        <x:v>include</x:v>
      </x:c>
      <x:c r="AB46" s="9" t="str"/>
      <x:c r="AC46" s="9" t="str">
        <x:v>pKi</x:v>
      </x:c>
      <x:c r="AD46" s="9" t="str">
        <x:v>6.06</x:v>
      </x:c>
      <x:c r="AE46" s="9" t="str"/>
      <x:c r="AF46" s="9" t="str">
        <x:v>=</x:v>
      </x:c>
      <x:c r="AG46" s="9" t="str">
        <x:v>Ki</x:v>
      </x:c>
      <x:c r="AH46" s="11" t="n">
        <x:v>870.96</x:v>
      </x:c>
      <x:c r="AI46" s="9" t="str">
        <x:v>nM</x:v>
      </x:c>
      <x:c r="AJ46" s="9" t="str">
        <x:v>=</x:v>
      </x:c>
      <x:c r="AK46" s="11" t="n">
        <x:v>6.06</x:v>
      </x:c>
      <x:c r="AL46" s="13" t="n">
        <x:v>0</x:v>
      </x:c>
      <x:c r="AM46" s="9" t="str"/>
      <x:c r="AN46" s="9" t="str"/>
      <x:c r="AO46" s="9" t="str">
        <x:v>https://www.ebi.ac.uk/chembl/api/data/activity/16670402.json</x:v>
      </x:c>
      <x:c r="AP46" s="9" t="str">
        <x:v>Cn1c(SCCCN2CCC3(CC3c3ccc(C(F)(F)F)cc3)C2)nnc1-c1ccncc1</x:v>
      </x:c>
      <x:c r="AQ46" s="9" t="str">
        <x:v>c1ccc(C2CC23CCN(CCCSc2nnc(-c4ccncc4)[nH]2)C3)cc1</x:v>
      </x:c>
      <x:c r="AR46" s="11" t="n">
        <x:v>473.5680000000001</x:v>
      </x:c>
      <x:c r="AS46" s="11" t="n">
        <x:v>5.257700000000005</x:v>
      </x:c>
      <x:c r="AT46" s="11" t="n">
        <x:v>46.84</x:v>
      </x:c>
      <x:c r="AU46" s="13" t="n">
        <x:v>0</x:v>
      </x:c>
      <x:c r="AV46" s="13" t="n">
        <x:v>5</x:v>
      </x:c>
      <x:c r="AW46" s="9" t="str">
        <x:v>train</x:v>
      </x:c>
    </x:row>
    <x:row r="47" ht="36" customHeight="1">
      <x:c r="A47" s="14" t="str">
        <x:v>DWDIQEPGVYBABO-OFNKIYASSA-N</x:v>
      </x:c>
      <x:c r="B47" s="14" t="str">
        <x:v>CHEMBL3929083</x:v>
      </x:c>
      <x:c r="C47" s="14" t="str">
        <x:v>CHEMBL3929083</x:v>
      </x:c>
      <x:c r="D47" s="14" t="str">
        <x:v>16670403</x:v>
      </x:c>
      <x:c r="E47" s="14" t="str">
        <x:v>16670403</x:v>
      </x:c>
      <x:c r="F47" s="14" t="str">
        <x:v>CHEMBL3855278</x:v>
      </x:c>
      <x:c r="G47" s="14" t="str">
        <x:v>CHEMBL217</x:v>
      </x:c>
      <x:c r="H47" s="14" t="str">
        <x:v>CHEMBL3853329</x:v>
      </x:c>
      <x:c r="I47" s="14" t="str">
        <x:v>Cn1c(SCCCN2CC[C@]3(C[C@@H]3c3ccc(C(F)(F)F)cc3)C2)nnc1-c1ccncc1</x:v>
      </x:c>
      <x:c r="J47" s="14" t="str">
        <x:v>Cn1c(SCCCN2CC[C@]3(C[C@@H]3c3ccc(C(F)(F)F)cc3)C2)nnc1-c1ccncc1</x:v>
      </x:c>
      <x:c r="K47" s="14" t="str">
        <x:v>source_reported_pKi</x:v>
      </x:c>
      <x:c r="L47" s="15" t="n">
        <x:v>6.21</x:v>
      </x:c>
      <x:c r="M47" s="15" t="n">
        <x:v>616.5950018614822</x:v>
      </x:c>
      <x:c r="N47" s="15" t="n">
        <x:v>616.6</x:v>
      </x:c>
      <x:c r="O47" s="15" t="n">
        <x:v>6.209996479609511</x:v>
      </x:c>
      <x:c r="P47" s="16" t="n">
        <x:v>-0.0000035203904893421623</x:v>
      </x:c>
      <x:c r="Q47" s="16" t="n">
        <x:v>0.0049981385178625715</x:v>
      </x:c>
      <x:c r="R47" s="15" t="n">
        <x:v>0.00501</x:v>
      </x:c>
      <x:c r="S47" s="14" t="str">
        <x:v>Cn1c(SCCCN2CC[C@]3(C[C@@H]3c3ccc(C(F)(F)F)cc3)C2)nnc1-c1ccncc1</x:v>
      </x:c>
      <x:c r="T47" s="14" t="str">
        <x:v>Cn1c(SCCCN2CC[C@]3(C[C@@H]3c3ccc(C(F)(F)F)cc3)C2)nnc1-c1ccncc1</x:v>
      </x:c>
      <x:c r="U47" s="14" t="str">
        <x:v>DWDIQEPGVYBABO-OFNKIYASSA-N</x:v>
      </x:c>
      <x:c r="V47" s="14" t="str">
        <x:v>Cn1c(SCCCN2CCC3(CC3c3ccc(C(F)(F)F)cc3)C2)nnc1-c1ccncc1</x:v>
      </x:c>
      <x:c r="W47" s="14" t="str">
        <x:v>5522edf84997096a309961b03bdedf323da8ac9d914587fed4da9d136ce2bdeb</x:v>
      </x:c>
      <x:c r="X47" s="14" t="str">
        <x:v>c1ccc(C2CC23CCN(CCCSc2nnc(-c4ccncc4)[nH]2)C3)cc1</x:v>
      </x:c>
      <x:c r="Y47" s="14" t="str">
        <x:v>False</x:v>
      </x:c>
      <x:c r="Z47" s="17" t="n">
        <x:v>1</x:v>
      </x:c>
      <x:c r="AA47" s="14" t="str">
        <x:v>include</x:v>
      </x:c>
      <x:c r="AB47" s="14" t="str"/>
      <x:c r="AC47" s="14" t="str">
        <x:v>pKi</x:v>
      </x:c>
      <x:c r="AD47" s="14" t="str">
        <x:v>6.21</x:v>
      </x:c>
      <x:c r="AE47" s="14" t="str"/>
      <x:c r="AF47" s="14" t="str">
        <x:v>=</x:v>
      </x:c>
      <x:c r="AG47" s="14" t="str">
        <x:v>Ki</x:v>
      </x:c>
      <x:c r="AH47" s="15" t="n">
        <x:v>616.6</x:v>
      </x:c>
      <x:c r="AI47" s="14" t="str">
        <x:v>nM</x:v>
      </x:c>
      <x:c r="AJ47" s="14" t="str">
        <x:v>=</x:v>
      </x:c>
      <x:c r="AK47" s="15" t="n">
        <x:v>6.21</x:v>
      </x:c>
      <x:c r="AL47" s="17" t="n">
        <x:v>0</x:v>
      </x:c>
      <x:c r="AM47" s="14" t="str"/>
      <x:c r="AN47" s="14" t="str"/>
      <x:c r="AO47" s="14" t="str">
        <x:v>https://www.ebi.ac.uk/chembl/api/data/activity/16670403.json</x:v>
      </x:c>
      <x:c r="AP47" s="14" t="str">
        <x:v>Cn1c(SCCCN2CCC3(CC3c3ccc(C(F)(F)F)cc3)C2)nnc1-c1ccncc1</x:v>
      </x:c>
      <x:c r="AQ47" s="14" t="str">
        <x:v>c1ccc(C2CC23CCN(CCCSc2nnc(-c4ccncc4)[nH]2)C3)cc1</x:v>
      </x:c>
      <x:c r="AR47" s="15" t="n">
        <x:v>473.5680000000001</x:v>
      </x:c>
      <x:c r="AS47" s="15" t="n">
        <x:v>5.257700000000005</x:v>
      </x:c>
      <x:c r="AT47" s="15" t="n">
        <x:v>46.84</x:v>
      </x:c>
      <x:c r="AU47" s="17" t="n">
        <x:v>0</x:v>
      </x:c>
      <x:c r="AV47" s="17" t="n">
        <x:v>5</x:v>
      </x:c>
      <x:c r="AW47" s="14" t="str">
        <x:v>train</x:v>
      </x:c>
    </x:row>
    <x:row r="48" ht="36" customHeight="1">
      <x:c r="A48" s="9" t="str">
        <x:v>ZDHMFNGMBGJLNF-REWPJTCUSA-N</x:v>
      </x:c>
      <x:c r="B48" s="9" t="str">
        <x:v>CHEMBL3956612</x:v>
      </x:c>
      <x:c r="C48" s="9" t="str">
        <x:v>CHEMBL3956612</x:v>
      </x:c>
      <x:c r="D48" s="9" t="str">
        <x:v>16670404</x:v>
      </x:c>
      <x:c r="E48" s="9" t="str">
        <x:v>16670404</x:v>
      </x:c>
      <x:c r="F48" s="9" t="str">
        <x:v>CHEMBL3855278</x:v>
      </x:c>
      <x:c r="G48" s="9" t="str">
        <x:v>CHEMBL217</x:v>
      </x:c>
      <x:c r="H48" s="9" t="str">
        <x:v>CHEMBL3853329</x:v>
      </x:c>
      <x:c r="I48" s="9" t="str">
        <x:v>Cn1c(SCCCN2CC[C@]3(C[C@H]3c3ccc(C(F)(F)F)cc3)C2)nnc1-c1cccnc1</x:v>
      </x:c>
      <x:c r="J48" s="9" t="str">
        <x:v>Cn1c(SCCCN2CC[C@]3(C[C@H]3c3ccc(C(F)(F)F)cc3)C2)nnc1-c1cccnc1</x:v>
      </x:c>
      <x:c r="K48" s="9" t="str">
        <x:v>source_reported_pKi</x:v>
      </x:c>
      <x:c r="L48" s="11" t="n">
        <x:v>5.87</x:v>
      </x:c>
      <x:c r="M48" s="11" t="n">
        <x:v>1348.9628825916532</x:v>
      </x:c>
      <x:c r="N48" s="11" t="n">
        <x:v>1348.96</x:v>
      </x:c>
      <x:c r="O48" s="11" t="n">
        <x:v>5.8700009280425745</x:v>
      </x:c>
      <x:c r="P48" s="12" t="n">
        <x:v>9.280425743440901e-7</x:v>
      </x:c>
      <x:c r="Q48" s="12" t="n">
        <x:v>-0.002882591653133204</x:v>
      </x:c>
      <x:c r="R48" s="11" t="n">
        <x:v>0.00501</x:v>
      </x:c>
      <x:c r="S48" s="9" t="str">
        <x:v>Cn1c(SCCCN2CC[C@]3(C[C@H]3c3ccc(C(F)(F)F)cc3)C2)nnc1-c1cccnc1</x:v>
      </x:c>
      <x:c r="T48" s="9" t="str">
        <x:v>Cn1c(SCCCN2CC[C@]3(C[C@H]3c3ccc(C(F)(F)F)cc3)C2)nnc1-c1cccnc1</x:v>
      </x:c>
      <x:c r="U48" s="9" t="str">
        <x:v>ZDHMFNGMBGJLNF-REWPJTCUSA-N</x:v>
      </x:c>
      <x:c r="V48" s="9" t="str">
        <x:v>Cn1c(SCCCN2CCC3(CC3c3ccc(C(F)(F)F)cc3)C2)nnc1-c1cccnc1</x:v>
      </x:c>
      <x:c r="W48" s="9" t="str">
        <x:v>87c0c996e232691977260b40109235ecd04862f1f26c3b32addaaa4ba5c4e385</x:v>
      </x:c>
      <x:c r="X48" s="9" t="str">
        <x:v>c1ccc(C2CC23CCN(CCCSc2nnc(-c4cccnc4)[nH]2)C3)cc1</x:v>
      </x:c>
      <x:c r="Y48" s="9" t="str">
        <x:v>False</x:v>
      </x:c>
      <x:c r="Z48" s="13" t="n">
        <x:v>1</x:v>
      </x:c>
      <x:c r="AA48" s="9" t="str">
        <x:v>include</x:v>
      </x:c>
      <x:c r="AB48" s="9" t="str"/>
      <x:c r="AC48" s="9" t="str">
        <x:v>pKi</x:v>
      </x:c>
      <x:c r="AD48" s="9" t="str">
        <x:v>5.87</x:v>
      </x:c>
      <x:c r="AE48" s="9" t="str"/>
      <x:c r="AF48" s="9" t="str">
        <x:v>=</x:v>
      </x:c>
      <x:c r="AG48" s="9" t="str">
        <x:v>Ki</x:v>
      </x:c>
      <x:c r="AH48" s="11" t="n">
        <x:v>1348.96</x:v>
      </x:c>
      <x:c r="AI48" s="9" t="str">
        <x:v>nM</x:v>
      </x:c>
      <x:c r="AJ48" s="9" t="str">
        <x:v>=</x:v>
      </x:c>
      <x:c r="AK48" s="11" t="n">
        <x:v>5.87</x:v>
      </x:c>
      <x:c r="AL48" s="13" t="n">
        <x:v>0</x:v>
      </x:c>
      <x:c r="AM48" s="9" t="str"/>
      <x:c r="AN48" s="9" t="str"/>
      <x:c r="AO48" s="9" t="str">
        <x:v>https://www.ebi.ac.uk/chembl/api/data/activity/16670404.json</x:v>
      </x:c>
      <x:c r="AP48" s="9" t="str">
        <x:v>Cn1c(SCCCN2CCC3(CC3c3ccc(C(F)(F)F)cc3)C2)nnc1-c1cccnc1</x:v>
      </x:c>
      <x:c r="AQ48" s="9" t="str">
        <x:v>c1ccc(C2CC23CCN(CCCSc2nnc(-c4cccnc4)[nH]2)C3)cc1</x:v>
      </x:c>
      <x:c r="AR48" s="11" t="n">
        <x:v>473.5680000000001</x:v>
      </x:c>
      <x:c r="AS48" s="11" t="n">
        <x:v>5.257700000000005</x:v>
      </x:c>
      <x:c r="AT48" s="11" t="n">
        <x:v>46.84</x:v>
      </x:c>
      <x:c r="AU48" s="13" t="n">
        <x:v>0</x:v>
      </x:c>
      <x:c r="AV48" s="13" t="n">
        <x:v>5</x:v>
      </x:c>
      <x:c r="AW48" s="9" t="str">
        <x:v>train</x:v>
      </x:c>
    </x:row>
    <x:row r="49" ht="36" customHeight="1">
      <x:c r="A49" s="14" t="str">
        <x:v>ZDHMFNGMBGJLNF-OFNKIYASSA-N</x:v>
      </x:c>
      <x:c r="B49" s="14" t="str">
        <x:v>CHEMBL3938107</x:v>
      </x:c>
      <x:c r="C49" s="14" t="str">
        <x:v>CHEMBL3938107</x:v>
      </x:c>
      <x:c r="D49" s="14" t="str">
        <x:v>16670405</x:v>
      </x:c>
      <x:c r="E49" s="14" t="str">
        <x:v>16670405</x:v>
      </x:c>
      <x:c r="F49" s="14" t="str">
        <x:v>CHEMBL3855278</x:v>
      </x:c>
      <x:c r="G49" s="14" t="str">
        <x:v>CHEMBL217</x:v>
      </x:c>
      <x:c r="H49" s="14" t="str">
        <x:v>CHEMBL3853329</x:v>
      </x:c>
      <x:c r="I49" s="14" t="str">
        <x:v>Cn1c(SCCCN2CC[C@]3(C[C@@H]3c3ccc(C(F)(F)F)cc3)C2)nnc1-c1cccnc1</x:v>
      </x:c>
      <x:c r="J49" s="14" t="str">
        <x:v>Cn1c(SCCCN2CC[C@]3(C[C@@H]3c3ccc(C(F)(F)F)cc3)C2)nnc1-c1cccnc1</x:v>
      </x:c>
      <x:c r="K49" s="14" t="str">
        <x:v>source_reported_pKi</x:v>
      </x:c>
      <x:c r="L49" s="15" t="n">
        <x:v>6.05</x:v>
      </x:c>
      <x:c r="M49" s="15" t="n">
        <x:v>891.2509381337459</x:v>
      </x:c>
      <x:c r="N49" s="15" t="n">
        <x:v>891.25</x:v>
      </x:c>
      <x:c r="O49" s="15" t="n">
        <x:v>6.050000457140078</x:v>
      </x:c>
      <x:c r="P49" s="16" t="n">
        <x:v>4.571400777919621e-7</x:v>
      </x:c>
      <x:c r="Q49" s="16" t="n">
        <x:v>-0.0009381337458762573</x:v>
      </x:c>
      <x:c r="R49" s="15" t="n">
        <x:v>0.00501</x:v>
      </x:c>
      <x:c r="S49" s="14" t="str">
        <x:v>Cn1c(SCCCN2CC[C@]3(C[C@@H]3c3ccc(C(F)(F)F)cc3)C2)nnc1-c1cccnc1</x:v>
      </x:c>
      <x:c r="T49" s="14" t="str">
        <x:v>Cn1c(SCCCN2CC[C@]3(C[C@@H]3c3ccc(C(F)(F)F)cc3)C2)nnc1-c1cccnc1</x:v>
      </x:c>
      <x:c r="U49" s="14" t="str">
        <x:v>ZDHMFNGMBGJLNF-OFNKIYASSA-N</x:v>
      </x:c>
      <x:c r="V49" s="14" t="str">
        <x:v>Cn1c(SCCCN2CCC3(CC3c3ccc(C(F)(F)F)cc3)C2)nnc1-c1cccnc1</x:v>
      </x:c>
      <x:c r="W49" s="14" t="str">
        <x:v>87c0c996e232691977260b40109235ecd04862f1f26c3b32addaaa4ba5c4e385</x:v>
      </x:c>
      <x:c r="X49" s="14" t="str">
        <x:v>c1ccc(C2CC23CCN(CCCSc2nnc(-c4cccnc4)[nH]2)C3)cc1</x:v>
      </x:c>
      <x:c r="Y49" s="14" t="str">
        <x:v>False</x:v>
      </x:c>
      <x:c r="Z49" s="17" t="n">
        <x:v>1</x:v>
      </x:c>
      <x:c r="AA49" s="14" t="str">
        <x:v>include</x:v>
      </x:c>
      <x:c r="AB49" s="14" t="str"/>
      <x:c r="AC49" s="14" t="str">
        <x:v>pKi</x:v>
      </x:c>
      <x:c r="AD49" s="14" t="str">
        <x:v>6.05</x:v>
      </x:c>
      <x:c r="AE49" s="14" t="str"/>
      <x:c r="AF49" s="14" t="str">
        <x:v>=</x:v>
      </x:c>
      <x:c r="AG49" s="14" t="str">
        <x:v>Ki</x:v>
      </x:c>
      <x:c r="AH49" s="15" t="n">
        <x:v>891.25</x:v>
      </x:c>
      <x:c r="AI49" s="14" t="str">
        <x:v>nM</x:v>
      </x:c>
      <x:c r="AJ49" s="14" t="str">
        <x:v>=</x:v>
      </x:c>
      <x:c r="AK49" s="15" t="n">
        <x:v>6.05</x:v>
      </x:c>
      <x:c r="AL49" s="17" t="n">
        <x:v>0</x:v>
      </x:c>
      <x:c r="AM49" s="14" t="str"/>
      <x:c r="AN49" s="14" t="str"/>
      <x:c r="AO49" s="14" t="str">
        <x:v>https://www.ebi.ac.uk/chembl/api/data/activity/16670405.json</x:v>
      </x:c>
      <x:c r="AP49" s="14" t="str">
        <x:v>Cn1c(SCCCN2CCC3(CC3c3ccc(C(F)(F)F)cc3)C2)nnc1-c1cccnc1</x:v>
      </x:c>
      <x:c r="AQ49" s="14" t="str">
        <x:v>c1ccc(C2CC23CCN(CCCSc2nnc(-c4cccnc4)[nH]2)C3)cc1</x:v>
      </x:c>
      <x:c r="AR49" s="15" t="n">
        <x:v>473.5680000000001</x:v>
      </x:c>
      <x:c r="AS49" s="15" t="n">
        <x:v>5.257700000000005</x:v>
      </x:c>
      <x:c r="AT49" s="15" t="n">
        <x:v>46.84</x:v>
      </x:c>
      <x:c r="AU49" s="17" t="n">
        <x:v>0</x:v>
      </x:c>
      <x:c r="AV49" s="17" t="n">
        <x:v>5</x:v>
      </x:c>
      <x:c r="AW49" s="14" t="str">
        <x:v>train</x:v>
      </x:c>
    </x:row>
    <x:row r="50" ht="36" customHeight="1">
      <x:c r="A50" s="9" t="str">
        <x:v>BGJXBVUWLFEJNM-CVDCTZTESA-N</x:v>
      </x:c>
      <x:c r="B50" s="9" t="str">
        <x:v>CHEMBL3967683</x:v>
      </x:c>
      <x:c r="C50" s="9" t="str">
        <x:v>CHEMBL3967683</x:v>
      </x:c>
      <x:c r="D50" s="9" t="str">
        <x:v>16670406</x:v>
      </x:c>
      <x:c r="E50" s="9" t="str">
        <x:v>16670406</x:v>
      </x:c>
      <x:c r="F50" s="9" t="str">
        <x:v>CHEMBL3855278</x:v>
      </x:c>
      <x:c r="G50" s="9" t="str">
        <x:v>CHEMBL217</x:v>
      </x:c>
      <x:c r="H50" s="9" t="str">
        <x:v>CHEMBL3853329</x:v>
      </x:c>
      <x:c r="I50" s="9" t="str">
        <x:v>Cn1c(SCCCN2CC[C@]3(C[C@H]3c3ccc(C(F)(F)F)cc3)C2)nnc1-c1ccccn1</x:v>
      </x:c>
      <x:c r="J50" s="9" t="str">
        <x:v>Cn1c(SCCCN2CC[C@]3(C[C@H]3c3ccc(C(F)(F)F)cc3)C2)nnc1-c1ccccn1</x:v>
      </x:c>
      <x:c r="K50" s="9" t="str">
        <x:v>source_reported_pKi</x:v>
      </x:c>
      <x:c r="L50" s="11" t="n">
        <x:v>6.2</x:v>
      </x:c>
      <x:c r="M50" s="11" t="n">
        <x:v>630.957344480193</x:v>
      </x:c>
      <x:c r="N50" s="11" t="n">
        <x:v>630.96</x:v>
      </x:c>
      <x:c r="O50" s="11" t="n">
        <x:v>6.199998172182031</x:v>
      </x:c>
      <x:c r="P50" s="12" t="n">
        <x:v>-0.0000018278179689801277</x:v>
      </x:c>
      <x:c r="Q50" s="12" t="n">
        <x:v>0.002655519807035489</x:v>
      </x:c>
      <x:c r="R50" s="11" t="n">
        <x:v>0.00501</x:v>
      </x:c>
      <x:c r="S50" s="9" t="str">
        <x:v>Cn1c(SCCCN2CC[C@]3(C[C@H]3c3ccc(C(F)(F)F)cc3)C2)nnc1-c1ccccn1</x:v>
      </x:c>
      <x:c r="T50" s="9" t="str">
        <x:v>Cn1c(SCCCN2CC[C@]3(C[C@H]3c3ccc(C(F)(F)F)cc3)C2)nnc1-c1ccccn1</x:v>
      </x:c>
      <x:c r="U50" s="9" t="str">
        <x:v>BGJXBVUWLFEJNM-CVDCTZTESA-N</x:v>
      </x:c>
      <x:c r="V50" s="9" t="str">
        <x:v>Cn1c(SCCCN2CCC3(CC3c3ccc(C(F)(F)F)cc3)C2)nnc1-c1ccccn1</x:v>
      </x:c>
      <x:c r="W50" s="9" t="str">
        <x:v>f95ba44392a179a9568ecf385183c5f7270a941463f51ea3b9510151b7e68e02</x:v>
      </x:c>
      <x:c r="X50" s="9" t="str">
        <x:v>c1ccc(C2CC23CCN(CCCSc2nnc(-c4ccccn4)[nH]2)C3)cc1</x:v>
      </x:c>
      <x:c r="Y50" s="9" t="str">
        <x:v>False</x:v>
      </x:c>
      <x:c r="Z50" s="13" t="n">
        <x:v>1</x:v>
      </x:c>
      <x:c r="AA50" s="9" t="str">
        <x:v>include</x:v>
      </x:c>
      <x:c r="AB50" s="9" t="str"/>
      <x:c r="AC50" s="9" t="str">
        <x:v>pKi</x:v>
      </x:c>
      <x:c r="AD50" s="9" t="str">
        <x:v>6.2</x:v>
      </x:c>
      <x:c r="AE50" s="9" t="str"/>
      <x:c r="AF50" s="9" t="str">
        <x:v>=</x:v>
      </x:c>
      <x:c r="AG50" s="9" t="str">
        <x:v>Ki</x:v>
      </x:c>
      <x:c r="AH50" s="11" t="n">
        <x:v>630.96</x:v>
      </x:c>
      <x:c r="AI50" s="9" t="str">
        <x:v>nM</x:v>
      </x:c>
      <x:c r="AJ50" s="9" t="str">
        <x:v>=</x:v>
      </x:c>
      <x:c r="AK50" s="11" t="n">
        <x:v>6.2</x:v>
      </x:c>
      <x:c r="AL50" s="13" t="n">
        <x:v>0</x:v>
      </x:c>
      <x:c r="AM50" s="9" t="str"/>
      <x:c r="AN50" s="9" t="str"/>
      <x:c r="AO50" s="9" t="str">
        <x:v>https://www.ebi.ac.uk/chembl/api/data/activity/16670406.json</x:v>
      </x:c>
      <x:c r="AP50" s="9" t="str">
        <x:v>Cn1c(SCCCN2CCC3(CC3c3ccc(C(F)(F)F)cc3)C2)nnc1-c1ccccn1</x:v>
      </x:c>
      <x:c r="AQ50" s="9" t="str">
        <x:v>c1ccc(C2CC23CCN(CCCSc2nnc(-c4ccccn4)[nH]2)C3)cc1</x:v>
      </x:c>
      <x:c r="AR50" s="11" t="n">
        <x:v>473.5680000000001</x:v>
      </x:c>
      <x:c r="AS50" s="11" t="n">
        <x:v>5.257700000000005</x:v>
      </x:c>
      <x:c r="AT50" s="11" t="n">
        <x:v>46.84</x:v>
      </x:c>
      <x:c r="AU50" s="13" t="n">
        <x:v>0</x:v>
      </x:c>
      <x:c r="AV50" s="13" t="n">
        <x:v>5</x:v>
      </x:c>
      <x:c r="AW50" s="9" t="str">
        <x:v>train</x:v>
      </x:c>
    </x:row>
    <x:row r="51" ht="36" customHeight="1">
      <x:c r="A51" s="14" t="str">
        <x:v>BGJXBVUWLFEJNM-XXBNENTESA-N</x:v>
      </x:c>
      <x:c r="B51" s="14" t="str">
        <x:v>CHEMBL3946901</x:v>
      </x:c>
      <x:c r="C51" s="14" t="str">
        <x:v>CHEMBL3946901</x:v>
      </x:c>
      <x:c r="D51" s="14" t="str">
        <x:v>16670407</x:v>
      </x:c>
      <x:c r="E51" s="14" t="str">
        <x:v>16670407</x:v>
      </x:c>
      <x:c r="F51" s="14" t="str">
        <x:v>CHEMBL3855278</x:v>
      </x:c>
      <x:c r="G51" s="14" t="str">
        <x:v>CHEMBL217</x:v>
      </x:c>
      <x:c r="H51" s="14" t="str">
        <x:v>CHEMBL3853329</x:v>
      </x:c>
      <x:c r="I51" s="14" t="str">
        <x:v>Cn1c(SCCCN2CC[C@]3(C[C@@H]3c3ccc(C(F)(F)F)cc3)C2)nnc1-c1ccccn1</x:v>
      </x:c>
      <x:c r="J51" s="14" t="str">
        <x:v>Cn1c(SCCCN2CC[C@]3(C[C@@H]3c3ccc(C(F)(F)F)cc3)C2)nnc1-c1ccccn1</x:v>
      </x:c>
      <x:c r="K51" s="14" t="str">
        <x:v>source_reported_pKi</x:v>
      </x:c>
      <x:c r="L51" s="15" t="n">
        <x:v>6.28</x:v>
      </x:c>
      <x:c r="M51" s="15" t="n">
        <x:v>524.8074602497722</x:v>
      </x:c>
      <x:c r="N51" s="15" t="n">
        <x:v>524.81</x:v>
      </x:c>
      <x:c r="O51" s="15" t="n">
        <x:v>6.279997898282849</x:v>
      </x:c>
      <x:c r="P51" s="16" t="n">
        <x:v>-0.0000021017171514259303</x:v>
      </x:c>
      <x:c r="Q51" s="16" t="n">
        <x:v>0.0025397502276973682</x:v>
      </x:c>
      <x:c r="R51" s="15" t="n">
        <x:v>0.00501</x:v>
      </x:c>
      <x:c r="S51" s="14" t="str">
        <x:v>Cn1c(SCCCN2CC[C@]3(C[C@@H]3c3ccc(C(F)(F)F)cc3)C2)nnc1-c1ccccn1</x:v>
      </x:c>
      <x:c r="T51" s="14" t="str">
        <x:v>Cn1c(SCCCN2CC[C@]3(C[C@@H]3c3ccc(C(F)(F)F)cc3)C2)nnc1-c1ccccn1</x:v>
      </x:c>
      <x:c r="U51" s="14" t="str">
        <x:v>BGJXBVUWLFEJNM-XXBNENTESA-N</x:v>
      </x:c>
      <x:c r="V51" s="14" t="str">
        <x:v>Cn1c(SCCCN2CCC3(CC3c3ccc(C(F)(F)F)cc3)C2)nnc1-c1ccccn1</x:v>
      </x:c>
      <x:c r="W51" s="14" t="str">
        <x:v>f95ba44392a179a9568ecf385183c5f7270a941463f51ea3b9510151b7e68e02</x:v>
      </x:c>
      <x:c r="X51" s="14" t="str">
        <x:v>c1ccc(C2CC23CCN(CCCSc2nnc(-c4ccccn4)[nH]2)C3)cc1</x:v>
      </x:c>
      <x:c r="Y51" s="14" t="str">
        <x:v>False</x:v>
      </x:c>
      <x:c r="Z51" s="17" t="n">
        <x:v>1</x:v>
      </x:c>
      <x:c r="AA51" s="14" t="str">
        <x:v>include</x:v>
      </x:c>
      <x:c r="AB51" s="14" t="str"/>
      <x:c r="AC51" s="14" t="str">
        <x:v>pKi</x:v>
      </x:c>
      <x:c r="AD51" s="14" t="str">
        <x:v>6.28</x:v>
      </x:c>
      <x:c r="AE51" s="14" t="str"/>
      <x:c r="AF51" s="14" t="str">
        <x:v>=</x:v>
      </x:c>
      <x:c r="AG51" s="14" t="str">
        <x:v>Ki</x:v>
      </x:c>
      <x:c r="AH51" s="15" t="n">
        <x:v>524.81</x:v>
      </x:c>
      <x:c r="AI51" s="14" t="str">
        <x:v>nM</x:v>
      </x:c>
      <x:c r="AJ51" s="14" t="str">
        <x:v>=</x:v>
      </x:c>
      <x:c r="AK51" s="15" t="n">
        <x:v>6.28</x:v>
      </x:c>
      <x:c r="AL51" s="17" t="n">
        <x:v>0</x:v>
      </x:c>
      <x:c r="AM51" s="14" t="str"/>
      <x:c r="AN51" s="14" t="str"/>
      <x:c r="AO51" s="14" t="str">
        <x:v>https://www.ebi.ac.uk/chembl/api/data/activity/16670407.json</x:v>
      </x:c>
      <x:c r="AP51" s="14" t="str">
        <x:v>Cn1c(SCCCN2CCC3(CC3c3ccc(C(F)(F)F)cc3)C2)nnc1-c1ccccn1</x:v>
      </x:c>
      <x:c r="AQ51" s="14" t="str">
        <x:v>c1ccc(C2CC23CCN(CCCSc2nnc(-c4ccccn4)[nH]2)C3)cc1</x:v>
      </x:c>
      <x:c r="AR51" s="15" t="n">
        <x:v>473.5680000000001</x:v>
      </x:c>
      <x:c r="AS51" s="15" t="n">
        <x:v>5.257700000000005</x:v>
      </x:c>
      <x:c r="AT51" s="15" t="n">
        <x:v>46.84</x:v>
      </x:c>
      <x:c r="AU51" s="17" t="n">
        <x:v>0</x:v>
      </x:c>
      <x:c r="AV51" s="17" t="n">
        <x:v>5</x:v>
      </x:c>
      <x:c r="AW51" s="14" t="str">
        <x:v>train</x:v>
      </x:c>
    </x:row>
    <x:row r="52" ht="36" customHeight="1">
      <x:c r="A52" s="9" t="str">
        <x:v>GPDZHKOGLHALQL-AVRDEDQJSA-N</x:v>
      </x:c>
      <x:c r="B52" s="9" t="str">
        <x:v>CHEMBL3976192</x:v>
      </x:c>
      <x:c r="C52" s="9" t="str">
        <x:v>CHEMBL3976192</x:v>
      </x:c>
      <x:c r="D52" s="9" t="str">
        <x:v>16670408</x:v>
      </x:c>
      <x:c r="E52" s="9" t="str">
        <x:v>16670408</x:v>
      </x:c>
      <x:c r="F52" s="9" t="str">
        <x:v>CHEMBL3855278</x:v>
      </x:c>
      <x:c r="G52" s="9" t="str">
        <x:v>CHEMBL217</x:v>
      </x:c>
      <x:c r="H52" s="9" t="str">
        <x:v>CHEMBL3853329</x:v>
      </x:c>
      <x:c r="I52" s="9" t="str">
        <x:v>Cn1c(SCCCN2CC[C@]3(C[C@H]3c3ccc(C(F)(F)F)cc3)C2)nnc1-c1cnccn1</x:v>
      </x:c>
      <x:c r="J52" s="9" t="str">
        <x:v>Cn1c(SCCCN2CC[C@]3(C[C@H]3c3ccc(C(F)(F)F)cc3)C2)nnc1-c1cnccn1</x:v>
      </x:c>
      <x:c r="K52" s="9" t="str">
        <x:v>source_reported_pKi</x:v>
      </x:c>
      <x:c r="L52" s="11" t="n">
        <x:v>5.84</x:v>
      </x:c>
      <x:c r="M52" s="11" t="n">
        <x:v>1445.439770745928</x:v>
      </x:c>
      <x:c r="N52" s="11" t="n">
        <x:v>1445.44</x:v>
      </x:c>
      <x:c r="O52" s="11" t="n">
        <x:v>5.839999931118699</x:v>
      </x:c>
      <x:c r="P52" s="12" t="n">
        <x:v>-6.888130066329268e-8</x:v>
      </x:c>
      <x:c r="Q52" s="12" t="n">
        <x:v>0.00022925407211005222</x:v>
      </x:c>
      <x:c r="R52" s="11" t="n">
        <x:v>0.00501</x:v>
      </x:c>
      <x:c r="S52" s="9" t="str">
        <x:v>Cn1c(SCCCN2CC[C@]3(C[C@H]3c3ccc(C(F)(F)F)cc3)C2)nnc1-c1cnccn1</x:v>
      </x:c>
      <x:c r="T52" s="9" t="str">
        <x:v>Cn1c(SCCCN2CC[C@]3(C[C@H]3c3ccc(C(F)(F)F)cc3)C2)nnc1-c1cnccn1</x:v>
      </x:c>
      <x:c r="U52" s="9" t="str">
        <x:v>GPDZHKOGLHALQL-AVRDEDQJSA-N</x:v>
      </x:c>
      <x:c r="V52" s="9" t="str">
        <x:v>Cn1c(SCCCN2CCC3(CC3c3ccc(C(F)(F)F)cc3)C2)nnc1-c1cnccn1</x:v>
      </x:c>
      <x:c r="W52" s="9" t="str">
        <x:v>bf8c337e163c734818a73277dfa77802c4776f2aeee9aac72227f5c033905c48</x:v>
      </x:c>
      <x:c r="X52" s="9" t="str">
        <x:v>c1ccc(C2CC23CCN(CCCSc2nnc(-c4cnccn4)[nH]2)C3)cc1</x:v>
      </x:c>
      <x:c r="Y52" s="9" t="str">
        <x:v>False</x:v>
      </x:c>
      <x:c r="Z52" s="13" t="n">
        <x:v>1</x:v>
      </x:c>
      <x:c r="AA52" s="9" t="str">
        <x:v>include</x:v>
      </x:c>
      <x:c r="AB52" s="9" t="str"/>
      <x:c r="AC52" s="9" t="str">
        <x:v>pKi</x:v>
      </x:c>
      <x:c r="AD52" s="9" t="str">
        <x:v>5.84</x:v>
      </x:c>
      <x:c r="AE52" s="9" t="str"/>
      <x:c r="AF52" s="9" t="str">
        <x:v>=</x:v>
      </x:c>
      <x:c r="AG52" s="9" t="str">
        <x:v>Ki</x:v>
      </x:c>
      <x:c r="AH52" s="11" t="n">
        <x:v>1445.44</x:v>
      </x:c>
      <x:c r="AI52" s="9" t="str">
        <x:v>nM</x:v>
      </x:c>
      <x:c r="AJ52" s="9" t="str">
        <x:v>=</x:v>
      </x:c>
      <x:c r="AK52" s="11" t="n">
        <x:v>5.84</x:v>
      </x:c>
      <x:c r="AL52" s="13" t="n">
        <x:v>0</x:v>
      </x:c>
      <x:c r="AM52" s="9" t="str"/>
      <x:c r="AN52" s="9" t="str"/>
      <x:c r="AO52" s="9" t="str">
        <x:v>https://www.ebi.ac.uk/chembl/api/data/activity/16670408.json</x:v>
      </x:c>
      <x:c r="AP52" s="9" t="str">
        <x:v>Cn1c(SCCCN2CCC3(CC3c3ccc(C(F)(F)F)cc3)C2)nnc1-c1cnccn1</x:v>
      </x:c>
      <x:c r="AQ52" s="9" t="str">
        <x:v>c1ccc(C2CC23CCN(CCCSc2nnc(-c4cnccn4)[nH]2)C3)cc1</x:v>
      </x:c>
      <x:c r="AR52" s="11" t="n">
        <x:v>474.5560000000001</x:v>
      </x:c>
      <x:c r="AS52" s="11" t="n">
        <x:v>4.652700000000004</x:v>
      </x:c>
      <x:c r="AT52" s="11" t="n">
        <x:v>59.730000000000004</x:v>
      </x:c>
      <x:c r="AU52" s="13" t="n">
        <x:v>0</x:v>
      </x:c>
      <x:c r="AV52" s="13" t="n">
        <x:v>6</x:v>
      </x:c>
      <x:c r="AW52" s="9" t="str">
        <x:v>train</x:v>
      </x:c>
    </x:row>
    <x:row r="53" ht="36" customHeight="1">
      <x:c r="A53" s="14" t="str">
        <x:v>GPDZHKOGLHALQL-GCJKJVERSA-N</x:v>
      </x:c>
      <x:c r="B53" s="14" t="str">
        <x:v>CHEMBL3955608</x:v>
      </x:c>
      <x:c r="C53" s="14" t="str">
        <x:v>CHEMBL3955608</x:v>
      </x:c>
      <x:c r="D53" s="14" t="str">
        <x:v>16670409</x:v>
      </x:c>
      <x:c r="E53" s="14" t="str">
        <x:v>16670409</x:v>
      </x:c>
      <x:c r="F53" s="14" t="str">
        <x:v>CHEMBL3855278</x:v>
      </x:c>
      <x:c r="G53" s="14" t="str">
        <x:v>CHEMBL217</x:v>
      </x:c>
      <x:c r="H53" s="14" t="str">
        <x:v>CHEMBL3853329</x:v>
      </x:c>
      <x:c r="I53" s="14" t="str">
        <x:v>Cn1c(SCCCN2CC[C@]3(C[C@@H]3c3ccc(C(F)(F)F)cc3)C2)nnc1-c1cnccn1</x:v>
      </x:c>
      <x:c r="J53" s="14" t="str">
        <x:v>Cn1c(SCCCN2CC[C@]3(C[C@@H]3c3ccc(C(F)(F)F)cc3)C2)nnc1-c1cnccn1</x:v>
      </x:c>
      <x:c r="K53" s="14" t="str">
        <x:v>source_reported_pKi</x:v>
      </x:c>
      <x:c r="L53" s="15" t="n">
        <x:v>6.33</x:v>
      </x:c>
      <x:c r="M53" s="15" t="n">
        <x:v>467.73514128719813</x:v>
      </x:c>
      <x:c r="N53" s="15" t="n">
        <x:v>467.74</x:v>
      </x:c>
      <x:c r="O53" s="15" t="n">
        <x:v>6.329995488683631</x:v>
      </x:c>
      <x:c r="P53" s="16" t="n">
        <x:v>-0.0000045113163693599745</x:v>
      </x:c>
      <x:c r="Q53" s="16" t="n">
        <x:v>0.0048587128018766634</x:v>
      </x:c>
      <x:c r="R53" s="15" t="n">
        <x:v>0.00501</x:v>
      </x:c>
      <x:c r="S53" s="14" t="str">
        <x:v>Cn1c(SCCCN2CC[C@]3(C[C@@H]3c3ccc(C(F)(F)F)cc3)C2)nnc1-c1cnccn1</x:v>
      </x:c>
      <x:c r="T53" s="14" t="str">
        <x:v>Cn1c(SCCCN2CC[C@]3(C[C@@H]3c3ccc(C(F)(F)F)cc3)C2)nnc1-c1cnccn1</x:v>
      </x:c>
      <x:c r="U53" s="14" t="str">
        <x:v>GPDZHKOGLHALQL-GCJKJVERSA-N</x:v>
      </x:c>
      <x:c r="V53" s="14" t="str">
        <x:v>Cn1c(SCCCN2CCC3(CC3c3ccc(C(F)(F)F)cc3)C2)nnc1-c1cnccn1</x:v>
      </x:c>
      <x:c r="W53" s="14" t="str">
        <x:v>bf8c337e163c734818a73277dfa77802c4776f2aeee9aac72227f5c033905c48</x:v>
      </x:c>
      <x:c r="X53" s="14" t="str">
        <x:v>c1ccc(C2CC23CCN(CCCSc2nnc(-c4cnccn4)[nH]2)C3)cc1</x:v>
      </x:c>
      <x:c r="Y53" s="14" t="str">
        <x:v>False</x:v>
      </x:c>
      <x:c r="Z53" s="17" t="n">
        <x:v>1</x:v>
      </x:c>
      <x:c r="AA53" s="14" t="str">
        <x:v>include</x:v>
      </x:c>
      <x:c r="AB53" s="14" t="str"/>
      <x:c r="AC53" s="14" t="str">
        <x:v>pKi</x:v>
      </x:c>
      <x:c r="AD53" s="14" t="str">
        <x:v>6.33</x:v>
      </x:c>
      <x:c r="AE53" s="14" t="str"/>
      <x:c r="AF53" s="14" t="str">
        <x:v>=</x:v>
      </x:c>
      <x:c r="AG53" s="14" t="str">
        <x:v>Ki</x:v>
      </x:c>
      <x:c r="AH53" s="15" t="n">
        <x:v>467.74</x:v>
      </x:c>
      <x:c r="AI53" s="14" t="str">
        <x:v>nM</x:v>
      </x:c>
      <x:c r="AJ53" s="14" t="str">
        <x:v>=</x:v>
      </x:c>
      <x:c r="AK53" s="15" t="n">
        <x:v>6.33</x:v>
      </x:c>
      <x:c r="AL53" s="17" t="n">
        <x:v>0</x:v>
      </x:c>
      <x:c r="AM53" s="14" t="str"/>
      <x:c r="AN53" s="14" t="str"/>
      <x:c r="AO53" s="14" t="str">
        <x:v>https://www.ebi.ac.uk/chembl/api/data/activity/16670409.json</x:v>
      </x:c>
      <x:c r="AP53" s="14" t="str">
        <x:v>Cn1c(SCCCN2CCC3(CC3c3ccc(C(F)(F)F)cc3)C2)nnc1-c1cnccn1</x:v>
      </x:c>
      <x:c r="AQ53" s="14" t="str">
        <x:v>c1ccc(C2CC23CCN(CCCSc2nnc(-c4cnccn4)[nH]2)C3)cc1</x:v>
      </x:c>
      <x:c r="AR53" s="15" t="n">
        <x:v>474.5560000000001</x:v>
      </x:c>
      <x:c r="AS53" s="15" t="n">
        <x:v>4.652700000000004</x:v>
      </x:c>
      <x:c r="AT53" s="15" t="n">
        <x:v>59.730000000000004</x:v>
      </x:c>
      <x:c r="AU53" s="17" t="n">
        <x:v>0</x:v>
      </x:c>
      <x:c r="AV53" s="17" t="n">
        <x:v>6</x:v>
      </x:c>
      <x:c r="AW53" s="14" t="str">
        <x:v>train</x:v>
      </x:c>
    </x:row>
    <x:row r="54" ht="36" customHeight="1">
      <x:c r="A54" s="9" t="str">
        <x:v>LKIZJVWLCHAZTJ-AVRDEDQJSA-N</x:v>
      </x:c>
      <x:c r="B54" s="9" t="str">
        <x:v>CHEMBL3984236</x:v>
      </x:c>
      <x:c r="C54" s="9" t="str">
        <x:v>CHEMBL3984236</x:v>
      </x:c>
      <x:c r="D54" s="9" t="str">
        <x:v>16670410</x:v>
      </x:c>
      <x:c r="E54" s="9" t="str">
        <x:v>16670410</x:v>
      </x:c>
      <x:c r="F54" s="9" t="str">
        <x:v>CHEMBL3855278</x:v>
      </x:c>
      <x:c r="G54" s="9" t="str">
        <x:v>CHEMBL217</x:v>
      </x:c>
      <x:c r="H54" s="9" t="str">
        <x:v>CHEMBL3853329</x:v>
      </x:c>
      <x:c r="I54" s="9" t="str">
        <x:v>Cn1c(SCCCN2CC[C@]3(C[C@H]3c3ccc(C(F)(F)F)cc3)C2)nnc1-c1ccncn1</x:v>
      </x:c>
      <x:c r="J54" s="9" t="str">
        <x:v>Cn1c(SCCCN2CC[C@]3(C[C@H]3c3ccc(C(F)(F)F)cc3)C2)nnc1-c1ccncn1</x:v>
      </x:c>
      <x:c r="K54" s="9" t="str">
        <x:v>source_reported_pKi</x:v>
      </x:c>
      <x:c r="L54" s="11" t="n">
        <x:v>6.36</x:v>
      </x:c>
      <x:c r="M54" s="11" t="n">
        <x:v>436.51583224016565</x:v>
      </x:c>
      <x:c r="N54" s="11" t="n">
        <x:v>436.52</x:v>
      </x:c>
      <x:c r="O54" s="11" t="n">
        <x:v>6.35999585346894</x:v>
      </x:c>
      <x:c r="P54" s="12" t="n">
        <x:v>-0.000004146531060733594</x:v>
      </x:c>
      <x:c r="Q54" s="12" t="n">
        <x:v>0.004167759834331264</x:v>
      </x:c>
      <x:c r="R54" s="11" t="n">
        <x:v>0.00501</x:v>
      </x:c>
      <x:c r="S54" s="9" t="str">
        <x:v>Cn1c(SCCCN2CC[C@]3(C[C@H]3c3ccc(C(F)(F)F)cc3)C2)nnc1-c1ccncn1</x:v>
      </x:c>
      <x:c r="T54" s="9" t="str">
        <x:v>Cn1c(SCCCN2CC[C@]3(C[C@H]3c3ccc(C(F)(F)F)cc3)C2)nnc1-c1ccncn1</x:v>
      </x:c>
      <x:c r="U54" s="9" t="str">
        <x:v>LKIZJVWLCHAZTJ-AVRDEDQJSA-N</x:v>
      </x:c>
      <x:c r="V54" s="9" t="str">
        <x:v>Cn1c(SCCCN2CCC3(CC3c3ccc(C(F)(F)F)cc3)C2)nnc1-c1ccncn1</x:v>
      </x:c>
      <x:c r="W54" s="9" t="str">
        <x:v>2e58078d38ef706dda1dd5c2ffc7a8906a06379b0de3f8a8e062e721b5075132</x:v>
      </x:c>
      <x:c r="X54" s="9" t="str">
        <x:v>c1ccc(C2CC23CCN(CCCSc2nnc(-c4ccncn4)[nH]2)C3)cc1</x:v>
      </x:c>
      <x:c r="Y54" s="9" t="str">
        <x:v>False</x:v>
      </x:c>
      <x:c r="Z54" s="13" t="n">
        <x:v>1</x:v>
      </x:c>
      <x:c r="AA54" s="9" t="str">
        <x:v>include</x:v>
      </x:c>
      <x:c r="AB54" s="9" t="str"/>
      <x:c r="AC54" s="9" t="str">
        <x:v>pKi</x:v>
      </x:c>
      <x:c r="AD54" s="9" t="str">
        <x:v>6.36</x:v>
      </x:c>
      <x:c r="AE54" s="9" t="str"/>
      <x:c r="AF54" s="9" t="str">
        <x:v>=</x:v>
      </x:c>
      <x:c r="AG54" s="9" t="str">
        <x:v>Ki</x:v>
      </x:c>
      <x:c r="AH54" s="11" t="n">
        <x:v>436.52</x:v>
      </x:c>
      <x:c r="AI54" s="9" t="str">
        <x:v>nM</x:v>
      </x:c>
      <x:c r="AJ54" s="9" t="str">
        <x:v>=</x:v>
      </x:c>
      <x:c r="AK54" s="11" t="n">
        <x:v>6.36</x:v>
      </x:c>
      <x:c r="AL54" s="13" t="n">
        <x:v>0</x:v>
      </x:c>
      <x:c r="AM54" s="9" t="str"/>
      <x:c r="AN54" s="9" t="str"/>
      <x:c r="AO54" s="9" t="str">
        <x:v>https://www.ebi.ac.uk/chembl/api/data/activity/16670410.json</x:v>
      </x:c>
      <x:c r="AP54" s="9" t="str">
        <x:v>Cn1c(SCCCN2CCC3(CC3c3ccc(C(F)(F)F)cc3)C2)nnc1-c1ccncn1</x:v>
      </x:c>
      <x:c r="AQ54" s="9" t="str">
        <x:v>c1ccc(C2CC23CCN(CCCSc2nnc(-c4ccncn4)[nH]2)C3)cc1</x:v>
      </x:c>
      <x:c r="AR54" s="11" t="n">
        <x:v>474.5560000000001</x:v>
      </x:c>
      <x:c r="AS54" s="11" t="n">
        <x:v>4.652700000000004</x:v>
      </x:c>
      <x:c r="AT54" s="11" t="n">
        <x:v>59.730000000000004</x:v>
      </x:c>
      <x:c r="AU54" s="13" t="n">
        <x:v>0</x:v>
      </x:c>
      <x:c r="AV54" s="13" t="n">
        <x:v>6</x:v>
      </x:c>
      <x:c r="AW54" s="9" t="str">
        <x:v>train</x:v>
      </x:c>
    </x:row>
    <x:row r="55" ht="36" customHeight="1">
      <x:c r="A55" s="14" t="str">
        <x:v>LKIZJVWLCHAZTJ-GCJKJVERSA-N</x:v>
      </x:c>
      <x:c r="B55" s="14" t="str">
        <x:v>CHEMBL3958309</x:v>
      </x:c>
      <x:c r="C55" s="14" t="str">
        <x:v>CHEMBL3958309</x:v>
      </x:c>
      <x:c r="D55" s="14" t="str">
        <x:v>16670411</x:v>
      </x:c>
      <x:c r="E55" s="14" t="str">
        <x:v>16670411</x:v>
      </x:c>
      <x:c r="F55" s="14" t="str">
        <x:v>CHEMBL3855278</x:v>
      </x:c>
      <x:c r="G55" s="14" t="str">
        <x:v>CHEMBL217</x:v>
      </x:c>
      <x:c r="H55" s="14" t="str">
        <x:v>CHEMBL3853329</x:v>
      </x:c>
      <x:c r="I55" s="14" t="str">
        <x:v>Cn1c(SCCCN2CC[C@]3(C[C@@H]3c3ccc(C(F)(F)F)cc3)C2)nnc1-c1ccncn1</x:v>
      </x:c>
      <x:c r="J55" s="14" t="str">
        <x:v>Cn1c(SCCCN2CC[C@]3(C[C@@H]3c3ccc(C(F)(F)F)cc3)C2)nnc1-c1ccncn1</x:v>
      </x:c>
      <x:c r="K55" s="14" t="str">
        <x:v>source_reported_pKi</x:v>
      </x:c>
      <x:c r="L55" s="15" t="n">
        <x:v>6.53</x:v>
      </x:c>
      <x:c r="M55" s="15" t="n">
        <x:v>295.1209226666384</x:v>
      </x:c>
      <x:c r="N55" s="15" t="n">
        <x:v>295.12</x:v>
      </x:c>
      <x:c r="O55" s="15" t="n">
        <x:v>6.530001357781253</x:v>
      </x:c>
      <x:c r="P55" s="16" t="n">
        <x:v>0.0000013577812527643118</x:v>
      </x:c>
      <x:c r="Q55" s="16" t="n">
        <x:v>-0.0009226666384165583</x:v>
      </x:c>
      <x:c r="R55" s="15" t="n">
        <x:v>0.00501</x:v>
      </x:c>
      <x:c r="S55" s="14" t="str">
        <x:v>Cn1c(SCCCN2CC[C@]3(C[C@@H]3c3ccc(C(F)(F)F)cc3)C2)nnc1-c1ccncn1</x:v>
      </x:c>
      <x:c r="T55" s="14" t="str">
        <x:v>Cn1c(SCCCN2CC[C@]3(C[C@@H]3c3ccc(C(F)(F)F)cc3)C2)nnc1-c1ccncn1</x:v>
      </x:c>
      <x:c r="U55" s="14" t="str">
        <x:v>LKIZJVWLCHAZTJ-GCJKJVERSA-N</x:v>
      </x:c>
      <x:c r="V55" s="14" t="str">
        <x:v>Cn1c(SCCCN2CCC3(CC3c3ccc(C(F)(F)F)cc3)C2)nnc1-c1ccncn1</x:v>
      </x:c>
      <x:c r="W55" s="14" t="str">
        <x:v>2e58078d38ef706dda1dd5c2ffc7a8906a06379b0de3f8a8e062e721b5075132</x:v>
      </x:c>
      <x:c r="X55" s="14" t="str">
        <x:v>c1ccc(C2CC23CCN(CCCSc2nnc(-c4ccncn4)[nH]2)C3)cc1</x:v>
      </x:c>
      <x:c r="Y55" s="14" t="str">
        <x:v>False</x:v>
      </x:c>
      <x:c r="Z55" s="17" t="n">
        <x:v>1</x:v>
      </x:c>
      <x:c r="AA55" s="14" t="str">
        <x:v>include</x:v>
      </x:c>
      <x:c r="AB55" s="14" t="str"/>
      <x:c r="AC55" s="14" t="str">
        <x:v>pKi</x:v>
      </x:c>
      <x:c r="AD55" s="14" t="str">
        <x:v>6.53</x:v>
      </x:c>
      <x:c r="AE55" s="14" t="str"/>
      <x:c r="AF55" s="14" t="str">
        <x:v>=</x:v>
      </x:c>
      <x:c r="AG55" s="14" t="str">
        <x:v>Ki</x:v>
      </x:c>
      <x:c r="AH55" s="15" t="n">
        <x:v>295.12</x:v>
      </x:c>
      <x:c r="AI55" s="14" t="str">
        <x:v>nM</x:v>
      </x:c>
      <x:c r="AJ55" s="14" t="str">
        <x:v>=</x:v>
      </x:c>
      <x:c r="AK55" s="15" t="n">
        <x:v>6.53</x:v>
      </x:c>
      <x:c r="AL55" s="17" t="n">
        <x:v>0</x:v>
      </x:c>
      <x:c r="AM55" s="14" t="str"/>
      <x:c r="AN55" s="14" t="str"/>
      <x:c r="AO55" s="14" t="str">
        <x:v>https://www.ebi.ac.uk/chembl/api/data/activity/16670411.json</x:v>
      </x:c>
      <x:c r="AP55" s="14" t="str">
        <x:v>Cn1c(SCCCN2CCC3(CC3c3ccc(C(F)(F)F)cc3)C2)nnc1-c1ccncn1</x:v>
      </x:c>
      <x:c r="AQ55" s="14" t="str">
        <x:v>c1ccc(C2CC23CCN(CCCSc2nnc(-c4ccncn4)[nH]2)C3)cc1</x:v>
      </x:c>
      <x:c r="AR55" s="15" t="n">
        <x:v>474.5560000000001</x:v>
      </x:c>
      <x:c r="AS55" s="15" t="n">
        <x:v>4.652700000000004</x:v>
      </x:c>
      <x:c r="AT55" s="15" t="n">
        <x:v>59.730000000000004</x:v>
      </x:c>
      <x:c r="AU55" s="17" t="n">
        <x:v>0</x:v>
      </x:c>
      <x:c r="AV55" s="17" t="n">
        <x:v>6</x:v>
      </x:c>
      <x:c r="AW55" s="14" t="str">
        <x:v>train</x:v>
      </x:c>
    </x:row>
    <x:row r="56" ht="36" customHeight="1">
      <x:c r="A56" s="9" t="str">
        <x:v>USSJQLOQXQBGTM-AVRDEDQJSA-N</x:v>
      </x:c>
      <x:c r="B56" s="9" t="str">
        <x:v>CHEMBL3930825</x:v>
      </x:c>
      <x:c r="C56" s="9" t="str">
        <x:v>CHEMBL3930825</x:v>
      </x:c>
      <x:c r="D56" s="9" t="str">
        <x:v>16670412</x:v>
      </x:c>
      <x:c r="E56" s="9" t="str">
        <x:v>16670412</x:v>
      </x:c>
      <x:c r="F56" s="9" t="str">
        <x:v>CHEMBL3855278</x:v>
      </x:c>
      <x:c r="G56" s="9" t="str">
        <x:v>CHEMBL217</x:v>
      </x:c>
      <x:c r="H56" s="9" t="str">
        <x:v>CHEMBL3853329</x:v>
      </x:c>
      <x:c r="I56" s="9" t="str">
        <x:v>Cn1c(SCCCN2CC[C@]3(C[C@H]3c3ccc(C(F)(F)F)cc3)C2)nnc1-c1cccnn1</x:v>
      </x:c>
      <x:c r="J56" s="9" t="str">
        <x:v>Cn1c(SCCCN2CC[C@]3(C[C@H]3c3ccc(C(F)(F)F)cc3)C2)nnc1-c1cccnn1</x:v>
      </x:c>
      <x:c r="K56" s="9" t="str">
        <x:v>source_reported_pKi</x:v>
      </x:c>
      <x:c r="L56" s="11" t="n">
        <x:v>5.75</x:v>
      </x:c>
      <x:c r="M56" s="11" t="n">
        <x:v>1778.2794100389228</x:v>
      </x:c>
      <x:c r="N56" s="11" t="n">
        <x:v>1778.28</x:v>
      </x:c>
      <x:c r="O56" s="11" t="n">
        <x:v>5.749999855918706</x:v>
      </x:c>
      <x:c r="P56" s="12" t="n">
        <x:v>-1.4408129356269228e-7</x:v>
      </x:c>
      <x:c r="Q56" s="12" t="n">
        <x:v>0.0005899610771393782</x:v>
      </x:c>
      <x:c r="R56" s="11" t="n">
        <x:v>0.00501</x:v>
      </x:c>
      <x:c r="S56" s="9" t="str">
        <x:v>Cn1c(SCCCN2CC[C@]3(C[C@H]3c3ccc(C(F)(F)F)cc3)C2)nnc1-c1cccnn1</x:v>
      </x:c>
      <x:c r="T56" s="9" t="str">
        <x:v>Cn1c(SCCCN2CC[C@]3(C[C@H]3c3ccc(C(F)(F)F)cc3)C2)nnc1-c1cccnn1</x:v>
      </x:c>
      <x:c r="U56" s="9" t="str">
        <x:v>USSJQLOQXQBGTM-AVRDEDQJSA-N</x:v>
      </x:c>
      <x:c r="V56" s="9" t="str">
        <x:v>Cn1c(SCCCN2CCC3(CC3c3ccc(C(F)(F)F)cc3)C2)nnc1-c1cccnn1</x:v>
      </x:c>
      <x:c r="W56" s="9" t="str">
        <x:v>356b794ceb6c6f7983e56fd1052b5fe303cb17c1c8052cc68a7c9c5de14d7d47</x:v>
      </x:c>
      <x:c r="X56" s="9" t="str">
        <x:v>c1ccc(C2CC23CCN(CCCSc2nnc(-c4cccnn4)[nH]2)C3)cc1</x:v>
      </x:c>
      <x:c r="Y56" s="9" t="str">
        <x:v>False</x:v>
      </x:c>
      <x:c r="Z56" s="13" t="n">
        <x:v>1</x:v>
      </x:c>
      <x:c r="AA56" s="9" t="str">
        <x:v>include</x:v>
      </x:c>
      <x:c r="AB56" s="9" t="str"/>
      <x:c r="AC56" s="9" t="str">
        <x:v>pKi</x:v>
      </x:c>
      <x:c r="AD56" s="9" t="str">
        <x:v>5.75</x:v>
      </x:c>
      <x:c r="AE56" s="9" t="str"/>
      <x:c r="AF56" s="9" t="str">
        <x:v>=</x:v>
      </x:c>
      <x:c r="AG56" s="9" t="str">
        <x:v>Ki</x:v>
      </x:c>
      <x:c r="AH56" s="11" t="n">
        <x:v>1778.28</x:v>
      </x:c>
      <x:c r="AI56" s="9" t="str">
        <x:v>nM</x:v>
      </x:c>
      <x:c r="AJ56" s="9" t="str">
        <x:v>=</x:v>
      </x:c>
      <x:c r="AK56" s="11" t="n">
        <x:v>5.75</x:v>
      </x:c>
      <x:c r="AL56" s="13" t="n">
        <x:v>0</x:v>
      </x:c>
      <x:c r="AM56" s="9" t="str"/>
      <x:c r="AN56" s="9" t="str"/>
      <x:c r="AO56" s="9" t="str">
        <x:v>https://www.ebi.ac.uk/chembl/api/data/activity/16670412.json</x:v>
      </x:c>
      <x:c r="AP56" s="9" t="str">
        <x:v>Cn1c(SCCCN2CCC3(CC3c3ccc(C(F)(F)F)cc3)C2)nnc1-c1cccnn1</x:v>
      </x:c>
      <x:c r="AQ56" s="9" t="str">
        <x:v>c1ccc(C2CC23CCN(CCCSc2nnc(-c4cccnn4)[nH]2)C3)cc1</x:v>
      </x:c>
      <x:c r="AR56" s="11" t="n">
        <x:v>474.5560000000001</x:v>
      </x:c>
      <x:c r="AS56" s="11" t="n">
        <x:v>4.652700000000004</x:v>
      </x:c>
      <x:c r="AT56" s="11" t="n">
        <x:v>59.730000000000004</x:v>
      </x:c>
      <x:c r="AU56" s="13" t="n">
        <x:v>0</x:v>
      </x:c>
      <x:c r="AV56" s="13" t="n">
        <x:v>6</x:v>
      </x:c>
      <x:c r="AW56" s="9" t="str">
        <x:v>train</x:v>
      </x:c>
    </x:row>
    <x:row r="57" ht="36" customHeight="1">
      <x:c r="A57" s="14" t="str">
        <x:v>USSJQLOQXQBGTM-GCJKJVERSA-N</x:v>
      </x:c>
      <x:c r="B57" s="14" t="str">
        <x:v>CHEMBL3969386</x:v>
      </x:c>
      <x:c r="C57" s="14" t="str">
        <x:v>CHEMBL3969386</x:v>
      </x:c>
      <x:c r="D57" s="14" t="str">
        <x:v>16670413</x:v>
      </x:c>
      <x:c r="E57" s="14" t="str">
        <x:v>16670413</x:v>
      </x:c>
      <x:c r="F57" s="14" t="str">
        <x:v>CHEMBL3855278</x:v>
      </x:c>
      <x:c r="G57" s="14" t="str">
        <x:v>CHEMBL217</x:v>
      </x:c>
      <x:c r="H57" s="14" t="str">
        <x:v>CHEMBL3853329</x:v>
      </x:c>
      <x:c r="I57" s="14" t="str">
        <x:v>Cn1c(SCCCN2CC[C@]3(C[C@@H]3c3ccc(C(F)(F)F)cc3)C2)nnc1-c1cccnn1</x:v>
      </x:c>
      <x:c r="J57" s="14" t="str">
        <x:v>Cn1c(SCCCN2CC[C@]3(C[C@@H]3c3ccc(C(F)(F)F)cc3)C2)nnc1-c1cccnn1</x:v>
      </x:c>
      <x:c r="K57" s="14" t="str">
        <x:v>source_reported_pKi</x:v>
      </x:c>
      <x:c r="L57" s="15" t="n">
        <x:v>5.86</x:v>
      </x:c>
      <x:c r="M57" s="15" t="n">
        <x:v>1380.3842646028838</x:v>
      </x:c>
      <x:c r="N57" s="15" t="n">
        <x:v>1380.38</x:v>
      </x:c>
      <x:c r="O57" s="15" t="n">
        <x:v>5.860001341725205</x:v>
      </x:c>
      <x:c r="P57" s="16" t="n">
        <x:v>0.0000013417252047176476</x:v>
      </x:c>
      <x:c r="Q57" s="16" t="n">
        <x:v>-0.004264602883722546</x:v>
      </x:c>
      <x:c r="R57" s="15" t="n">
        <x:v>0.00501</x:v>
      </x:c>
      <x:c r="S57" s="14" t="str">
        <x:v>Cn1c(SCCCN2CC[C@]3(C[C@@H]3c3ccc(C(F)(F)F)cc3)C2)nnc1-c1cccnn1</x:v>
      </x:c>
      <x:c r="T57" s="14" t="str">
        <x:v>Cn1c(SCCCN2CC[C@]3(C[C@@H]3c3ccc(C(F)(F)F)cc3)C2)nnc1-c1cccnn1</x:v>
      </x:c>
      <x:c r="U57" s="14" t="str">
        <x:v>USSJQLOQXQBGTM-GCJKJVERSA-N</x:v>
      </x:c>
      <x:c r="V57" s="14" t="str">
        <x:v>Cn1c(SCCCN2CCC3(CC3c3ccc(C(F)(F)F)cc3)C2)nnc1-c1cccnn1</x:v>
      </x:c>
      <x:c r="W57" s="14" t="str">
        <x:v>356b794ceb6c6f7983e56fd1052b5fe303cb17c1c8052cc68a7c9c5de14d7d47</x:v>
      </x:c>
      <x:c r="X57" s="14" t="str">
        <x:v>c1ccc(C2CC23CCN(CCCSc2nnc(-c4cccnn4)[nH]2)C3)cc1</x:v>
      </x:c>
      <x:c r="Y57" s="14" t="str">
        <x:v>False</x:v>
      </x:c>
      <x:c r="Z57" s="17" t="n">
        <x:v>1</x:v>
      </x:c>
      <x:c r="AA57" s="14" t="str">
        <x:v>include</x:v>
      </x:c>
      <x:c r="AB57" s="14" t="str"/>
      <x:c r="AC57" s="14" t="str">
        <x:v>pKi</x:v>
      </x:c>
      <x:c r="AD57" s="14" t="str">
        <x:v>5.86</x:v>
      </x:c>
      <x:c r="AE57" s="14" t="str"/>
      <x:c r="AF57" s="14" t="str">
        <x:v>=</x:v>
      </x:c>
      <x:c r="AG57" s="14" t="str">
        <x:v>Ki</x:v>
      </x:c>
      <x:c r="AH57" s="15" t="n">
        <x:v>1380.38</x:v>
      </x:c>
      <x:c r="AI57" s="14" t="str">
        <x:v>nM</x:v>
      </x:c>
      <x:c r="AJ57" s="14" t="str">
        <x:v>=</x:v>
      </x:c>
      <x:c r="AK57" s="15" t="n">
        <x:v>5.86</x:v>
      </x:c>
      <x:c r="AL57" s="17" t="n">
        <x:v>0</x:v>
      </x:c>
      <x:c r="AM57" s="14" t="str"/>
      <x:c r="AN57" s="14" t="str"/>
      <x:c r="AO57" s="14" t="str">
        <x:v>https://www.ebi.ac.uk/chembl/api/data/activity/16670413.json</x:v>
      </x:c>
      <x:c r="AP57" s="14" t="str">
        <x:v>Cn1c(SCCCN2CCC3(CC3c3ccc(C(F)(F)F)cc3)C2)nnc1-c1cccnn1</x:v>
      </x:c>
      <x:c r="AQ57" s="14" t="str">
        <x:v>c1ccc(C2CC23CCN(CCCSc2nnc(-c4cccnn4)[nH]2)C3)cc1</x:v>
      </x:c>
      <x:c r="AR57" s="15" t="n">
        <x:v>474.5560000000001</x:v>
      </x:c>
      <x:c r="AS57" s="15" t="n">
        <x:v>4.652700000000004</x:v>
      </x:c>
      <x:c r="AT57" s="15" t="n">
        <x:v>59.730000000000004</x:v>
      </x:c>
      <x:c r="AU57" s="17" t="n">
        <x:v>0</x:v>
      </x:c>
      <x:c r="AV57" s="17" t="n">
        <x:v>6</x:v>
      </x:c>
      <x:c r="AW57" s="14" t="str">
        <x:v>train</x:v>
      </x:c>
    </x:row>
    <x:row r="58" ht="36" customHeight="1">
      <x:c r="A58" s="9" t="str">
        <x:v>ACKJXZGTUCARLB-UGKGYDQZSA-N</x:v>
      </x:c>
      <x:c r="B58" s="9" t="str">
        <x:v>CHEMBL3939830</x:v>
      </x:c>
      <x:c r="C58" s="9" t="str">
        <x:v>CHEMBL3939830</x:v>
      </x:c>
      <x:c r="D58" s="9" t="str">
        <x:v>16670414</x:v>
      </x:c>
      <x:c r="E58" s="9" t="str">
        <x:v>16670414</x:v>
      </x:c>
      <x:c r="F58" s="9" t="str">
        <x:v>CHEMBL3855278</x:v>
      </x:c>
      <x:c r="G58" s="9" t="str">
        <x:v>CHEMBL217</x:v>
      </x:c>
      <x:c r="H58" s="9" t="str">
        <x:v>CHEMBL3853329</x:v>
      </x:c>
      <x:c r="I58" s="9" t="str">
        <x:v>Cn1c(SCCCN2CC[C@]3(C[C@H]3c3ccc(C(F)(F)F)cc3)C2)nnc1-c1ccnnc1</x:v>
      </x:c>
      <x:c r="J58" s="9" t="str">
        <x:v>Cn1c(SCCCN2CC[C@]3(C[C@H]3c3ccc(C(F)(F)F)cc3)C2)nnc1-c1ccnnc1</x:v>
      </x:c>
      <x:c r="K58" s="9" t="str">
        <x:v>source_reported_pKi</x:v>
      </x:c>
      <x:c r="L58" s="11" t="n">
        <x:v>5.59</x:v>
      </x:c>
      <x:c r="M58" s="11" t="n">
        <x:v>2570.3957827688646</x:v>
      </x:c>
      <x:c r="N58" s="11" t="n">
        <x:v>2570.4</x:v>
      </x:c>
      <x:c r="O58" s="11" t="n">
        <x:v>5.589999287456538</x:v>
      </x:c>
      <x:c r="P58" s="12" t="n">
        <x:v>-7.125434615673498e-7</x:v>
      </x:c>
      <x:c r="Q58" s="12" t="n">
        <x:v>0.004217231135498878</x:v>
      </x:c>
      <x:c r="R58" s="11" t="n">
        <x:v>0.00501</x:v>
      </x:c>
      <x:c r="S58" s="9" t="str">
        <x:v>Cn1c(SCCCN2CC[C@]3(C[C@H]3c3ccc(C(F)(F)F)cc3)C2)nnc1-c1ccnnc1</x:v>
      </x:c>
      <x:c r="T58" s="9" t="str">
        <x:v>Cn1c(SCCCN2CC[C@]3(C[C@H]3c3ccc(C(F)(F)F)cc3)C2)nnc1-c1ccnnc1</x:v>
      </x:c>
      <x:c r="U58" s="9" t="str">
        <x:v>ACKJXZGTUCARLB-UGKGYDQZSA-N</x:v>
      </x:c>
      <x:c r="V58" s="9" t="str">
        <x:v>Cn1c(SCCCN2CCC3(CC3c3ccc(C(F)(F)F)cc3)C2)nnc1-c1ccnnc1</x:v>
      </x:c>
      <x:c r="W58" s="9" t="str">
        <x:v>21122fd737b5488cc124d930b16b7e37c6e78e3ebc8d468bc844d995bc045290</x:v>
      </x:c>
      <x:c r="X58" s="9" t="str">
        <x:v>c1ccc(C2CC23CCN(CCCSc2nnc(-c4ccnnc4)[nH]2)C3)cc1</x:v>
      </x:c>
      <x:c r="Y58" s="9" t="str">
        <x:v>False</x:v>
      </x:c>
      <x:c r="Z58" s="13" t="n">
        <x:v>1</x:v>
      </x:c>
      <x:c r="AA58" s="9" t="str">
        <x:v>include</x:v>
      </x:c>
      <x:c r="AB58" s="9" t="str"/>
      <x:c r="AC58" s="9" t="str">
        <x:v>pKi</x:v>
      </x:c>
      <x:c r="AD58" s="9" t="str">
        <x:v>5.59</x:v>
      </x:c>
      <x:c r="AE58" s="9" t="str"/>
      <x:c r="AF58" s="9" t="str">
        <x:v>=</x:v>
      </x:c>
      <x:c r="AG58" s="9" t="str">
        <x:v>Ki</x:v>
      </x:c>
      <x:c r="AH58" s="11" t="n">
        <x:v>2570.4</x:v>
      </x:c>
      <x:c r="AI58" s="9" t="str">
        <x:v>nM</x:v>
      </x:c>
      <x:c r="AJ58" s="9" t="str">
        <x:v>=</x:v>
      </x:c>
      <x:c r="AK58" s="11" t="n">
        <x:v>5.59</x:v>
      </x:c>
      <x:c r="AL58" s="13" t="n">
        <x:v>0</x:v>
      </x:c>
      <x:c r="AM58" s="9" t="str"/>
      <x:c r="AN58" s="9" t="str"/>
      <x:c r="AO58" s="9" t="str">
        <x:v>https://www.ebi.ac.uk/chembl/api/data/activity/16670414.json</x:v>
      </x:c>
      <x:c r="AP58" s="9" t="str">
        <x:v>Cn1c(SCCCN2CCC3(CC3c3ccc(C(F)(F)F)cc3)C2)nnc1-c1ccnnc1</x:v>
      </x:c>
      <x:c r="AQ58" s="9" t="str">
        <x:v>c1ccc(C2CC23CCN(CCCSc2nnc(-c4ccnnc4)[nH]2)C3)cc1</x:v>
      </x:c>
      <x:c r="AR58" s="11" t="n">
        <x:v>474.5560000000001</x:v>
      </x:c>
      <x:c r="AS58" s="11" t="n">
        <x:v>4.652700000000004</x:v>
      </x:c>
      <x:c r="AT58" s="11" t="n">
        <x:v>59.730000000000004</x:v>
      </x:c>
      <x:c r="AU58" s="13" t="n">
        <x:v>0</x:v>
      </x:c>
      <x:c r="AV58" s="13" t="n">
        <x:v>6</x:v>
      </x:c>
      <x:c r="AW58" s="9" t="str">
        <x:v>train</x:v>
      </x:c>
    </x:row>
    <x:row r="59" ht="36" customHeight="1">
      <x:c r="A59" s="14" t="str">
        <x:v>ACKJXZGTUCARLB-KNQAVFIVSA-N</x:v>
      </x:c>
      <x:c r="B59" s="14" t="str">
        <x:v>CHEMBL3940897</x:v>
      </x:c>
      <x:c r="C59" s="14" t="str">
        <x:v>CHEMBL3940897</x:v>
      </x:c>
      <x:c r="D59" s="14" t="str">
        <x:v>16670415</x:v>
      </x:c>
      <x:c r="E59" s="14" t="str">
        <x:v>16670415</x:v>
      </x:c>
      <x:c r="F59" s="14" t="str">
        <x:v>CHEMBL3855278</x:v>
      </x:c>
      <x:c r="G59" s="14" t="str">
        <x:v>CHEMBL217</x:v>
      </x:c>
      <x:c r="H59" s="14" t="str">
        <x:v>CHEMBL3853329</x:v>
      </x:c>
      <x:c r="I59" s="14" t="str">
        <x:v>Cn1c(SCCCN2CC[C@]3(C[C@@H]3c3ccc(C(F)(F)F)cc3)C2)nnc1-c1ccnnc1</x:v>
      </x:c>
      <x:c r="J59" s="14" t="str">
        <x:v>Cn1c(SCCCN2CC[C@]3(C[C@@H]3c3ccc(C(F)(F)F)cc3)C2)nnc1-c1ccnnc1</x:v>
      </x:c>
      <x:c r="K59" s="14" t="str">
        <x:v>source_reported_pKi</x:v>
      </x:c>
      <x:c r="L59" s="15" t="n">
        <x:v>5.81</x:v>
      </x:c>
      <x:c r="M59" s="15" t="n">
        <x:v>1548.8166189124827</x:v>
      </x:c>
      <x:c r="N59" s="15" t="n">
        <x:v>1548.82</x:v>
      </x:c>
      <x:c r="O59" s="15" t="n">
        <x:v>5.809999051930337</x:v>
      </x:c>
      <x:c r="P59" s="16" t="n">
        <x:v>-9.480696627761631e-7</x:v>
      </x:c>
      <x:c r="Q59" s="16" t="n">
        <x:v>0.003381087517254855</x:v>
      </x:c>
      <x:c r="R59" s="15" t="n">
        <x:v>0.00501</x:v>
      </x:c>
      <x:c r="S59" s="14" t="str">
        <x:v>Cn1c(SCCCN2CC[C@]3(C[C@@H]3c3ccc(C(F)(F)F)cc3)C2)nnc1-c1ccnnc1</x:v>
      </x:c>
      <x:c r="T59" s="14" t="str">
        <x:v>Cn1c(SCCCN2CC[C@]3(C[C@@H]3c3ccc(C(F)(F)F)cc3)C2)nnc1-c1ccnnc1</x:v>
      </x:c>
      <x:c r="U59" s="14" t="str">
        <x:v>ACKJXZGTUCARLB-KNQAVFIVSA-N</x:v>
      </x:c>
      <x:c r="V59" s="14" t="str">
        <x:v>Cn1c(SCCCN2CCC3(CC3c3ccc(C(F)(F)F)cc3)C2)nnc1-c1ccnnc1</x:v>
      </x:c>
      <x:c r="W59" s="14" t="str">
        <x:v>21122fd737b5488cc124d930b16b7e37c6e78e3ebc8d468bc844d995bc045290</x:v>
      </x:c>
      <x:c r="X59" s="14" t="str">
        <x:v>c1ccc(C2CC23CCN(CCCSc2nnc(-c4ccnnc4)[nH]2)C3)cc1</x:v>
      </x:c>
      <x:c r="Y59" s="14" t="str">
        <x:v>False</x:v>
      </x:c>
      <x:c r="Z59" s="17" t="n">
        <x:v>1</x:v>
      </x:c>
      <x:c r="AA59" s="14" t="str">
        <x:v>include</x:v>
      </x:c>
      <x:c r="AB59" s="14" t="str"/>
      <x:c r="AC59" s="14" t="str">
        <x:v>pKi</x:v>
      </x:c>
      <x:c r="AD59" s="14" t="str">
        <x:v>5.81</x:v>
      </x:c>
      <x:c r="AE59" s="14" t="str"/>
      <x:c r="AF59" s="14" t="str">
        <x:v>=</x:v>
      </x:c>
      <x:c r="AG59" s="14" t="str">
        <x:v>Ki</x:v>
      </x:c>
      <x:c r="AH59" s="15" t="n">
        <x:v>1548.82</x:v>
      </x:c>
      <x:c r="AI59" s="14" t="str">
        <x:v>nM</x:v>
      </x:c>
      <x:c r="AJ59" s="14" t="str">
        <x:v>=</x:v>
      </x:c>
      <x:c r="AK59" s="15" t="n">
        <x:v>5.81</x:v>
      </x:c>
      <x:c r="AL59" s="17" t="n">
        <x:v>0</x:v>
      </x:c>
      <x:c r="AM59" s="14" t="str"/>
      <x:c r="AN59" s="14" t="str"/>
      <x:c r="AO59" s="14" t="str">
        <x:v>https://www.ebi.ac.uk/chembl/api/data/activity/16670415.json</x:v>
      </x:c>
      <x:c r="AP59" s="14" t="str">
        <x:v>Cn1c(SCCCN2CCC3(CC3c3ccc(C(F)(F)F)cc3)C2)nnc1-c1ccnnc1</x:v>
      </x:c>
      <x:c r="AQ59" s="14" t="str">
        <x:v>c1ccc(C2CC23CCN(CCCSc2nnc(-c4ccnnc4)[nH]2)C3)cc1</x:v>
      </x:c>
      <x:c r="AR59" s="15" t="n">
        <x:v>474.5560000000001</x:v>
      </x:c>
      <x:c r="AS59" s="15" t="n">
        <x:v>4.652700000000004</x:v>
      </x:c>
      <x:c r="AT59" s="15" t="n">
        <x:v>59.730000000000004</x:v>
      </x:c>
      <x:c r="AU59" s="17" t="n">
        <x:v>0</x:v>
      </x:c>
      <x:c r="AV59" s="17" t="n">
        <x:v>6</x:v>
      </x:c>
      <x:c r="AW59" s="14" t="str">
        <x:v>train</x:v>
      </x:c>
    </x:row>
    <x:row r="60" ht="36" customHeight="1">
      <x:c r="A60" s="9" t="str">
        <x:v>WURHPBCTBQAVRU-OFNKIYASSA-N</x:v>
      </x:c>
      <x:c r="B60" s="9" t="str">
        <x:v>CHEMBL3912897</x:v>
      </x:c>
      <x:c r="C60" s="9" t="str">
        <x:v>CHEMBL3912897</x:v>
      </x:c>
      <x:c r="D60" s="9" t="str">
        <x:v>16670416</x:v>
      </x:c>
      <x:c r="E60" s="9" t="str">
        <x:v>16670416</x:v>
      </x:c>
      <x:c r="F60" s="9" t="str">
        <x:v>CHEMBL3855278</x:v>
      </x:c>
      <x:c r="G60" s="9" t="str">
        <x:v>CHEMBL217</x:v>
      </x:c>
      <x:c r="H60" s="9" t="str">
        <x:v>CHEMBL3853329</x:v>
      </x:c>
      <x:c r="I60" s="9" t="str">
        <x:v>Cn1c(SCCCN2CC[C@]3(C[C@@H]3c3ccccc3)C2)nnc1-c1cccnc1</x:v>
      </x:c>
      <x:c r="J60" s="9" t="str">
        <x:v>Cn1c(SCCCN2CC[C@]3(C[C@@H]3c3ccccc3)C2)nnc1-c1cccnc1</x:v>
      </x:c>
      <x:c r="K60" s="9" t="str">
        <x:v>source_reported_pKi</x:v>
      </x:c>
      <x:c r="L60" s="11" t="n">
        <x:v>5.48</x:v>
      </x:c>
      <x:c r="M60" s="11" t="n">
        <x:v>3311.311214825908</x:v>
      </x:c>
      <x:c r="N60" s="11" t="n">
        <x:v>3311.31</x:v>
      </x:c>
      <x:c r="O60" s="11" t="n">
        <x:v>5.480000159330324</x:v>
      </x:c>
      <x:c r="P60" s="12" t="n">
        <x:v>1.5933032315729179e-7</x:v>
      </x:c>
      <x:c r="Q60" s="12" t="n">
        <x:v>-0.0012148259079367563</x:v>
      </x:c>
      <x:c r="R60" s="11" t="n">
        <x:v>0.00501</x:v>
      </x:c>
      <x:c r="S60" s="9" t="str">
        <x:v>Cn1c(SCCCN2CC[C@]3(C[C@@H]3c3ccccc3)C2)nnc1-c1cccnc1</x:v>
      </x:c>
      <x:c r="T60" s="9" t="str">
        <x:v>Cn1c(SCCCN2CC[C@]3(C[C@@H]3c3ccccc3)C2)nnc1-c1cccnc1</x:v>
      </x:c>
      <x:c r="U60" s="9" t="str">
        <x:v>WURHPBCTBQAVRU-OFNKIYASSA-N</x:v>
      </x:c>
      <x:c r="V60" s="9" t="str">
        <x:v>Cn1c(SCCCN2CCC3(CC3c3ccccc3)C2)nnc1-c1cccnc1</x:v>
      </x:c>
      <x:c r="W60" s="9" t="str">
        <x:v>e51c76363bb99063c3db629d65f9071a32b70abadd9980e0f879ecb664ae2208</x:v>
      </x:c>
      <x:c r="X60" s="9" t="str">
        <x:v>c1ccc(C2CC23CCN(CCCSc2nnc(-c4cccnc4)[nH]2)C3)cc1</x:v>
      </x:c>
      <x:c r="Y60" s="9" t="str">
        <x:v>False</x:v>
      </x:c>
      <x:c r="Z60" s="13" t="n">
        <x:v>1</x:v>
      </x:c>
      <x:c r="AA60" s="9" t="str">
        <x:v>include</x:v>
      </x:c>
      <x:c r="AB60" s="9" t="str"/>
      <x:c r="AC60" s="9" t="str">
        <x:v>pKi</x:v>
      </x:c>
      <x:c r="AD60" s="9" t="str">
        <x:v>5.48</x:v>
      </x:c>
      <x:c r="AE60" s="9" t="str"/>
      <x:c r="AF60" s="9" t="str">
        <x:v>=</x:v>
      </x:c>
      <x:c r="AG60" s="9" t="str">
        <x:v>Ki</x:v>
      </x:c>
      <x:c r="AH60" s="11" t="n">
        <x:v>3311.31</x:v>
      </x:c>
      <x:c r="AI60" s="9" t="str">
        <x:v>nM</x:v>
      </x:c>
      <x:c r="AJ60" s="9" t="str">
        <x:v>=</x:v>
      </x:c>
      <x:c r="AK60" s="11" t="n">
        <x:v>5.48</x:v>
      </x:c>
      <x:c r="AL60" s="13" t="n">
        <x:v>0</x:v>
      </x:c>
      <x:c r="AM60" s="9" t="str"/>
      <x:c r="AN60" s="9" t="str"/>
      <x:c r="AO60" s="9" t="str">
        <x:v>https://www.ebi.ac.uk/chembl/api/data/activity/16670416.json</x:v>
      </x:c>
      <x:c r="AP60" s="9" t="str">
        <x:v>Cn1c(SCCCN2CCC3(CC3c3ccccc3)C2)nnc1-c1cccnc1</x:v>
      </x:c>
      <x:c r="AQ60" s="9" t="str">
        <x:v>c1ccc(C2CC23CCN(CCCSc2nnc(-c4cccnc4)[nH]2)C3)cc1</x:v>
      </x:c>
      <x:c r="AR60" s="11" t="n">
        <x:v>405.5710000000001</x:v>
      </x:c>
      <x:c r="AS60" s="11" t="n">
        <x:v>4.238900000000004</x:v>
      </x:c>
      <x:c r="AT60" s="11" t="n">
        <x:v>46.84</x:v>
      </x:c>
      <x:c r="AU60" s="13" t="n">
        <x:v>0</x:v>
      </x:c>
      <x:c r="AV60" s="13" t="n">
        <x:v>5</x:v>
      </x:c>
      <x:c r="AW60" s="9" t="str">
        <x:v>train</x:v>
      </x:c>
    </x:row>
    <x:row r="61" ht="36" customHeight="1">
      <x:c r="A61" s="14" t="str">
        <x:v>JZCCFPRFOOIKRY-XXBNENTESA-N</x:v>
      </x:c>
      <x:c r="B61" s="14" t="str">
        <x:v>CHEMBL3949662</x:v>
      </x:c>
      <x:c r="C61" s="14" t="str">
        <x:v>CHEMBL3949662</x:v>
      </x:c>
      <x:c r="D61" s="14" t="str">
        <x:v>16670417</x:v>
      </x:c>
      <x:c r="E61" s="14" t="str">
        <x:v>16670417</x:v>
      </x:c>
      <x:c r="F61" s="14" t="str">
        <x:v>CHEMBL3855278</x:v>
      </x:c>
      <x:c r="G61" s="14" t="str">
        <x:v>CHEMBL217</x:v>
      </x:c>
      <x:c r="H61" s="14" t="str">
        <x:v>CHEMBL3853329</x:v>
      </x:c>
      <x:c r="I61" s="14" t="str">
        <x:v>Cn1c(SCCCN2CC[C@]3(C[C@@H]3c3ccc(C(F)(F)F)cc3F)C2)nnc1-c1cccnc1</x:v>
      </x:c>
      <x:c r="J61" s="14" t="str">
        <x:v>Cn1c(SCCCN2CC[C@]3(C[C@@H]3c3ccc(C(F)(F)F)cc3F)C2)nnc1-c1cccnc1</x:v>
      </x:c>
      <x:c r="K61" s="14" t="str">
        <x:v>source_reported_pKi</x:v>
      </x:c>
      <x:c r="L61" s="15" t="n">
        <x:v>6.14</x:v>
      </x:c>
      <x:c r="M61" s="15" t="n">
        <x:v>724.4359600749906</x:v>
      </x:c>
      <x:c r="N61" s="15" t="n">
        <x:v>724.44</x:v>
      </x:c>
      <x:c r="O61" s="15" t="n">
        <x:v>6.139997578098902</x:v>
      </x:c>
      <x:c r="P61" s="16" t="n">
        <x:v>-0.0000024219010974491084</x:v>
      </x:c>
      <x:c r="Q61" s="16" t="n">
        <x:v>0.004039925009465151</x:v>
      </x:c>
      <x:c r="R61" s="15" t="n">
        <x:v>0.00501</x:v>
      </x:c>
      <x:c r="S61" s="14" t="str">
        <x:v>Cn1c(SCCCN2CC[C@]3(C[C@@H]3c3ccc(C(F)(F)F)cc3F)C2)nnc1-c1cccnc1</x:v>
      </x:c>
      <x:c r="T61" s="14" t="str">
        <x:v>Cn1c(SCCCN2CC[C@]3(C[C@@H]3c3ccc(C(F)(F)F)cc3F)C2)nnc1-c1cccnc1</x:v>
      </x:c>
      <x:c r="U61" s="14" t="str">
        <x:v>JZCCFPRFOOIKRY-XXBNENTESA-N</x:v>
      </x:c>
      <x:c r="V61" s="14" t="str">
        <x:v>Cn1c(SCCCN2CCC3(CC3c3ccc(C(F)(F)F)cc3F)C2)nnc1-c1cccnc1</x:v>
      </x:c>
      <x:c r="W61" s="14" t="str">
        <x:v>7312a5eb6c36851ab2eae6e069f6f6e14d9aa45b43b157482ebb4f0c2c6d160e</x:v>
      </x:c>
      <x:c r="X61" s="14" t="str">
        <x:v>c1ccc(C2CC23CCN(CCCSc2nnc(-c4cccnc4)[nH]2)C3)cc1</x:v>
      </x:c>
      <x:c r="Y61" s="14" t="str">
        <x:v>False</x:v>
      </x:c>
      <x:c r="Z61" s="17" t="n">
        <x:v>1</x:v>
      </x:c>
      <x:c r="AA61" s="14" t="str">
        <x:v>include</x:v>
      </x:c>
      <x:c r="AB61" s="14" t="str"/>
      <x:c r="AC61" s="14" t="str">
        <x:v>pKi</x:v>
      </x:c>
      <x:c r="AD61" s="14" t="str">
        <x:v>6.14</x:v>
      </x:c>
      <x:c r="AE61" s="14" t="str"/>
      <x:c r="AF61" s="14" t="str">
        <x:v>=</x:v>
      </x:c>
      <x:c r="AG61" s="14" t="str">
        <x:v>Ki</x:v>
      </x:c>
      <x:c r="AH61" s="15" t="n">
        <x:v>724.44</x:v>
      </x:c>
      <x:c r="AI61" s="14" t="str">
        <x:v>nM</x:v>
      </x:c>
      <x:c r="AJ61" s="14" t="str">
        <x:v>=</x:v>
      </x:c>
      <x:c r="AK61" s="15" t="n">
        <x:v>6.14</x:v>
      </x:c>
      <x:c r="AL61" s="17" t="n">
        <x:v>0</x:v>
      </x:c>
      <x:c r="AM61" s="14" t="str"/>
      <x:c r="AN61" s="14" t="str"/>
      <x:c r="AO61" s="14" t="str">
        <x:v>https://www.ebi.ac.uk/chembl/api/data/activity/16670417.json</x:v>
      </x:c>
      <x:c r="AP61" s="14" t="str">
        <x:v>Cn1c(SCCCN2CCC3(CC3c3ccc(C(F)(F)F)cc3F)C2)nnc1-c1cccnc1</x:v>
      </x:c>
      <x:c r="AQ61" s="14" t="str">
        <x:v>c1ccc(C2CC23CCN(CCCSc2nnc(-c4cccnc4)[nH]2)C3)cc1</x:v>
      </x:c>
      <x:c r="AR61" s="15" t="n">
        <x:v>491.5580000000001</x:v>
      </x:c>
      <x:c r="AS61" s="15" t="n">
        <x:v>5.396800000000006</x:v>
      </x:c>
      <x:c r="AT61" s="15" t="n">
        <x:v>46.84</x:v>
      </x:c>
      <x:c r="AU61" s="17" t="n">
        <x:v>0</x:v>
      </x:c>
      <x:c r="AV61" s="17" t="n">
        <x:v>5</x:v>
      </x:c>
      <x:c r="AW61" s="14" t="str">
        <x:v>train</x:v>
      </x:c>
    </x:row>
    <x:row r="62" ht="36" customHeight="1">
      <x:c r="A62" s="9" t="str">
        <x:v>IKSPSLCLHNNQFS-XXBNENTESA-N</x:v>
      </x:c>
      <x:c r="B62" s="9" t="str">
        <x:v>CHEMBL3921885</x:v>
      </x:c>
      <x:c r="C62" s="9" t="str">
        <x:v>CHEMBL3921885</x:v>
      </x:c>
      <x:c r="D62" s="9" t="str">
        <x:v>16670418</x:v>
      </x:c>
      <x:c r="E62" s="9" t="str">
        <x:v>16670418</x:v>
      </x:c>
      <x:c r="F62" s="9" t="str">
        <x:v>CHEMBL3855278</x:v>
      </x:c>
      <x:c r="G62" s="9" t="str">
        <x:v>CHEMBL217</x:v>
      </x:c>
      <x:c r="H62" s="9" t="str">
        <x:v>CHEMBL3853329</x:v>
      </x:c>
      <x:c r="I62" s="9" t="str">
        <x:v>Cn1c(SCCCN2CC[C@]3(C[C@@H]3c3ccc(F)cc3F)C2)nnc1-c1cccnc1</x:v>
      </x:c>
      <x:c r="J62" s="9" t="str">
        <x:v>Cn1c(SCCCN2CC[C@]3(C[C@@H]3c3ccc(F)cc3F)C2)nnc1-c1cccnc1</x:v>
      </x:c>
      <x:c r="K62" s="9" t="str">
        <x:v>source_reported_pKi</x:v>
      </x:c>
      <x:c r="L62" s="11" t="n">
        <x:v>6.28</x:v>
      </x:c>
      <x:c r="M62" s="11" t="n">
        <x:v>524.8074602497722</x:v>
      </x:c>
      <x:c r="N62" s="11" t="n">
        <x:v>524.81</x:v>
      </x:c>
      <x:c r="O62" s="11" t="n">
        <x:v>6.279997898282849</x:v>
      </x:c>
      <x:c r="P62" s="12" t="n">
        <x:v>-0.0000021017171514259303</x:v>
      </x:c>
      <x:c r="Q62" s="12" t="n">
        <x:v>0.0025397502276973682</x:v>
      </x:c>
      <x:c r="R62" s="11" t="n">
        <x:v>0.00501</x:v>
      </x:c>
      <x:c r="S62" s="9" t="str">
        <x:v>Cn1c(SCCCN2CC[C@]3(C[C@@H]3c3ccc(F)cc3F)C2)nnc1-c1cccnc1</x:v>
      </x:c>
      <x:c r="T62" s="9" t="str">
        <x:v>Cn1c(SCCCN2CC[C@]3(C[C@@H]3c3ccc(F)cc3F)C2)nnc1-c1cccnc1</x:v>
      </x:c>
      <x:c r="U62" s="9" t="str">
        <x:v>IKSPSLCLHNNQFS-XXBNENTESA-N</x:v>
      </x:c>
      <x:c r="V62" s="9" t="str">
        <x:v>Cn1c(SCCCN2CCC3(CC3c3ccc(F)cc3F)C2)nnc1-c1cccnc1</x:v>
      </x:c>
      <x:c r="W62" s="9" t="str">
        <x:v>3d45ebd612f33e174b22d058850dc4a21cb03efca4b5a6b8dc59edff9dbfb926</x:v>
      </x:c>
      <x:c r="X62" s="9" t="str">
        <x:v>c1ccc(C2CC23CCN(CCCSc2nnc(-c4cccnc4)[nH]2)C3)cc1</x:v>
      </x:c>
      <x:c r="Y62" s="9" t="str">
        <x:v>False</x:v>
      </x:c>
      <x:c r="Z62" s="13" t="n">
        <x:v>1</x:v>
      </x:c>
      <x:c r="AA62" s="9" t="str">
        <x:v>include</x:v>
      </x:c>
      <x:c r="AB62" s="9" t="str"/>
      <x:c r="AC62" s="9" t="str">
        <x:v>pKi</x:v>
      </x:c>
      <x:c r="AD62" s="9" t="str">
        <x:v>6.28</x:v>
      </x:c>
      <x:c r="AE62" s="9" t="str"/>
      <x:c r="AF62" s="9" t="str">
        <x:v>=</x:v>
      </x:c>
      <x:c r="AG62" s="9" t="str">
        <x:v>Ki</x:v>
      </x:c>
      <x:c r="AH62" s="11" t="n">
        <x:v>524.81</x:v>
      </x:c>
      <x:c r="AI62" s="9" t="str">
        <x:v>nM</x:v>
      </x:c>
      <x:c r="AJ62" s="9" t="str">
        <x:v>=</x:v>
      </x:c>
      <x:c r="AK62" s="11" t="n">
        <x:v>6.28</x:v>
      </x:c>
      <x:c r="AL62" s="13" t="n">
        <x:v>0</x:v>
      </x:c>
      <x:c r="AM62" s="9" t="str"/>
      <x:c r="AN62" s="9" t="str"/>
      <x:c r="AO62" s="9" t="str">
        <x:v>https://www.ebi.ac.uk/chembl/api/data/activity/16670418.json</x:v>
      </x:c>
      <x:c r="AP62" s="9" t="str">
        <x:v>Cn1c(SCCCN2CCC3(CC3c3ccc(F)cc3F)C2)nnc1-c1cccnc1</x:v>
      </x:c>
      <x:c r="AQ62" s="9" t="str">
        <x:v>c1ccc(C2CC23CCN(CCCSc2nnc(-c4cccnc4)[nH]2)C3)cc1</x:v>
      </x:c>
      <x:c r="AR62" s="11" t="n">
        <x:v>441.5510000000001</x:v>
      </x:c>
      <x:c r="AS62" s="11" t="n">
        <x:v>4.517100000000004</x:v>
      </x:c>
      <x:c r="AT62" s="11" t="n">
        <x:v>46.84</x:v>
      </x:c>
      <x:c r="AU62" s="13" t="n">
        <x:v>0</x:v>
      </x:c>
      <x:c r="AV62" s="13" t="n">
        <x:v>5</x:v>
      </x:c>
      <x:c r="AW62" s="9" t="str">
        <x:v>train</x:v>
      </x:c>
    </x:row>
    <x:row r="63" ht="36" customHeight="1">
      <x:c r="A63" s="14" t="str">
        <x:v>JGGOHKJHMHHQML-OFNKIYASSA-N</x:v>
      </x:c>
      <x:c r="B63" s="14" t="str">
        <x:v>CHEMBL3897134</x:v>
      </x:c>
      <x:c r="C63" s="14" t="str">
        <x:v>CHEMBL3897134</x:v>
      </x:c>
      <x:c r="D63" s="14" t="str">
        <x:v>16670419</x:v>
      </x:c>
      <x:c r="E63" s="14" t="str">
        <x:v>16670419</x:v>
      </x:c>
      <x:c r="F63" s="14" t="str">
        <x:v>CHEMBL3855278</x:v>
      </x:c>
      <x:c r="G63" s="14" t="str">
        <x:v>CHEMBL217</x:v>
      </x:c>
      <x:c r="H63" s="14" t="str">
        <x:v>CHEMBL3853329</x:v>
      </x:c>
      <x:c r="I63" s="14" t="str">
        <x:v>Cn1c(SCCCN2CC[C@]3(C[C@@H]3c3ccc(F)cc3)C2)nnc1-c1cccnc1</x:v>
      </x:c>
      <x:c r="J63" s="14" t="str">
        <x:v>Cn1c(SCCCN2CC[C@]3(C[C@@H]3c3ccc(F)cc3)C2)nnc1-c1cccnc1</x:v>
      </x:c>
      <x:c r="K63" s="14" t="str">
        <x:v>source_reported_pKi</x:v>
      </x:c>
      <x:c r="L63" s="15" t="n">
        <x:v>6.18</x:v>
      </x:c>
      <x:c r="M63" s="15" t="n">
        <x:v>660.6934480075964</x:v>
      </x:c>
      <x:c r="N63" s="15" t="n">
        <x:v>660.69</x:v>
      </x:c>
      <x:c r="O63" s="15" t="n">
        <x:v>6.180002266489224</x:v>
      </x:c>
      <x:c r="P63" s="16" t="n">
        <x:v>0.000002266489223856638</x:v>
      </x:c>
      <x:c r="Q63" s="16" t="n">
        <x:v>-0.0034480075963756462</x:v>
      </x:c>
      <x:c r="R63" s="15" t="n">
        <x:v>0.00501</x:v>
      </x:c>
      <x:c r="S63" s="14" t="str">
        <x:v>Cn1c(SCCCN2CC[C@]3(C[C@@H]3c3ccc(F)cc3)C2)nnc1-c1cccnc1</x:v>
      </x:c>
      <x:c r="T63" s="14" t="str">
        <x:v>Cn1c(SCCCN2CC[C@]3(C[C@@H]3c3ccc(F)cc3)C2)nnc1-c1cccnc1</x:v>
      </x:c>
      <x:c r="U63" s="14" t="str">
        <x:v>JGGOHKJHMHHQML-OFNKIYASSA-N</x:v>
      </x:c>
      <x:c r="V63" s="14" t="str">
        <x:v>Cn1c(SCCCN2CCC3(CC3c3ccc(F)cc3)C2)nnc1-c1cccnc1</x:v>
      </x:c>
      <x:c r="W63" s="14" t="str">
        <x:v>67837bf3b25973cd5602161e89589fe221722a55869bb467bb83aaf744d079f5</x:v>
      </x:c>
      <x:c r="X63" s="14" t="str">
        <x:v>c1ccc(C2CC23CCN(CCCSc2nnc(-c4cccnc4)[nH]2)C3)cc1</x:v>
      </x:c>
      <x:c r="Y63" s="14" t="str">
        <x:v>False</x:v>
      </x:c>
      <x:c r="Z63" s="17" t="n">
        <x:v>1</x:v>
      </x:c>
      <x:c r="AA63" s="14" t="str">
        <x:v>include</x:v>
      </x:c>
      <x:c r="AB63" s="14" t="str"/>
      <x:c r="AC63" s="14" t="str">
        <x:v>pKi</x:v>
      </x:c>
      <x:c r="AD63" s="14" t="str">
        <x:v>6.18</x:v>
      </x:c>
      <x:c r="AE63" s="14" t="str"/>
      <x:c r="AF63" s="14" t="str">
        <x:v>=</x:v>
      </x:c>
      <x:c r="AG63" s="14" t="str">
        <x:v>Ki</x:v>
      </x:c>
      <x:c r="AH63" s="15" t="n">
        <x:v>660.69</x:v>
      </x:c>
      <x:c r="AI63" s="14" t="str">
        <x:v>nM</x:v>
      </x:c>
      <x:c r="AJ63" s="14" t="str">
        <x:v>=</x:v>
      </x:c>
      <x:c r="AK63" s="15" t="n">
        <x:v>6.18</x:v>
      </x:c>
      <x:c r="AL63" s="17" t="n">
        <x:v>0</x:v>
      </x:c>
      <x:c r="AM63" s="14" t="str"/>
      <x:c r="AN63" s="14" t="str"/>
      <x:c r="AO63" s="14" t="str">
        <x:v>https://www.ebi.ac.uk/chembl/api/data/activity/16670419.json</x:v>
      </x:c>
      <x:c r="AP63" s="14" t="str">
        <x:v>Cn1c(SCCCN2CCC3(CC3c3ccc(F)cc3)C2)nnc1-c1cccnc1</x:v>
      </x:c>
      <x:c r="AQ63" s="14" t="str">
        <x:v>c1ccc(C2CC23CCN(CCCSc2nnc(-c4cccnc4)[nH]2)C3)cc1</x:v>
      </x:c>
      <x:c r="AR63" s="15" t="n">
        <x:v>423.5610000000001</x:v>
      </x:c>
      <x:c r="AS63" s="15" t="n">
        <x:v>4.378000000000004</x:v>
      </x:c>
      <x:c r="AT63" s="15" t="n">
        <x:v>46.84</x:v>
      </x:c>
      <x:c r="AU63" s="17" t="n">
        <x:v>0</x:v>
      </x:c>
      <x:c r="AV63" s="17" t="n">
        <x:v>5</x:v>
      </x:c>
      <x:c r="AW63" s="14" t="str">
        <x:v>train</x:v>
      </x:c>
    </x:row>
    <x:row r="64" ht="36" customHeight="1">
      <x:c r="A64" s="9" t="str">
        <x:v>MJUZYNLBBPDZMI-QPPBQGQZSA-N</x:v>
      </x:c>
      <x:c r="B64" s="9" t="str">
        <x:v>CHEMBL3968272</x:v>
      </x:c>
      <x:c r="C64" s="9" t="str">
        <x:v>CHEMBL3968272</x:v>
      </x:c>
      <x:c r="D64" s="9" t="str">
        <x:v>16670420</x:v>
      </x:c>
      <x:c r="E64" s="9" t="str">
        <x:v>16670420</x:v>
      </x:c>
      <x:c r="F64" s="9" t="str">
        <x:v>CHEMBL3855278</x:v>
      </x:c>
      <x:c r="G64" s="9" t="str">
        <x:v>CHEMBL217</x:v>
      </x:c>
      <x:c r="H64" s="9" t="str">
        <x:v>CHEMBL3853329</x:v>
      </x:c>
      <x:c r="I64" s="9" t="str">
        <x:v>Cc1ncccc1-c1nnc(SCCCN2CC[C@]3(C[C@@H]3c3ccc(C(F)(F)F)cc3)C2)n1C</x:v>
      </x:c>
      <x:c r="J64" s="9" t="str">
        <x:v>Cc1ncccc1-c1nnc(SCCCN2CC[C@]3(C[C@@H]3c3ccc(C(F)(F)F)cc3)C2)n1C</x:v>
      </x:c>
      <x:c r="K64" s="9" t="str">
        <x:v>source_reported_pKi</x:v>
      </x:c>
      <x:c r="L64" s="11" t="n">
        <x:v>5.83</x:v>
      </x:c>
      <x:c r="M64" s="11" t="n">
        <x:v>1479.1083881682073</x:v>
      </x:c>
      <x:c r="N64" s="11" t="n">
        <x:v>1479.11</x:v>
      </x:c>
      <x:c r="O64" s="11" t="n">
        <x:v>5.829999526735649</x:v>
      </x:c>
      <x:c r="P64" s="12" t="n">
        <x:v>-4.732643512639356e-7</x:v>
      </x:c>
      <x:c r="Q64" s="12" t="n">
        <x:v>0.0016118317926157033</x:v>
      </x:c>
      <x:c r="R64" s="11" t="n">
        <x:v>0.00501</x:v>
      </x:c>
      <x:c r="S64" s="9" t="str">
        <x:v>Cc1ncccc1-c1nnc(SCCCN2CC[C@]3(C[C@@H]3c3ccc(C(F)(F)F)cc3)C2)n1C</x:v>
      </x:c>
      <x:c r="T64" s="9" t="str">
        <x:v>Cc1ncccc1-c1nnc(SCCCN2CC[C@]3(C[C@@H]3c3ccc(C(F)(F)F)cc3)C2)n1C</x:v>
      </x:c>
      <x:c r="U64" s="9" t="str">
        <x:v>MJUZYNLBBPDZMI-QPPBQGQZSA-N</x:v>
      </x:c>
      <x:c r="V64" s="9" t="str">
        <x:v>Cc1ncccc1-c1nnc(SCCCN2CCC3(CC3c3ccc(C(F)(F)F)cc3)C2)n1C</x:v>
      </x:c>
      <x:c r="W64" s="9" t="str">
        <x:v>1a5ed4d9d841c21bac7a48325ccf00f87a738505af583a447183c940dafec8af</x:v>
      </x:c>
      <x:c r="X64" s="9" t="str">
        <x:v>c1ccc(C2CC23CCN(CCCSc2nnc(-c4cccnc4)[nH]2)C3)cc1</x:v>
      </x:c>
      <x:c r="Y64" s="9" t="str">
        <x:v>False</x:v>
      </x:c>
      <x:c r="Z64" s="13" t="n">
        <x:v>1</x:v>
      </x:c>
      <x:c r="AA64" s="9" t="str">
        <x:v>include</x:v>
      </x:c>
      <x:c r="AB64" s="9" t="str"/>
      <x:c r="AC64" s="9" t="str">
        <x:v>pKi</x:v>
      </x:c>
      <x:c r="AD64" s="9" t="str">
        <x:v>5.83</x:v>
      </x:c>
      <x:c r="AE64" s="9" t="str"/>
      <x:c r="AF64" s="9" t="str">
        <x:v>=</x:v>
      </x:c>
      <x:c r="AG64" s="9" t="str">
        <x:v>Ki</x:v>
      </x:c>
      <x:c r="AH64" s="11" t="n">
        <x:v>1479.11</x:v>
      </x:c>
      <x:c r="AI64" s="9" t="str">
        <x:v>nM</x:v>
      </x:c>
      <x:c r="AJ64" s="9" t="str">
        <x:v>=</x:v>
      </x:c>
      <x:c r="AK64" s="11" t="n">
        <x:v>5.83</x:v>
      </x:c>
      <x:c r="AL64" s="13" t="n">
        <x:v>0</x:v>
      </x:c>
      <x:c r="AM64" s="9" t="str"/>
      <x:c r="AN64" s="9" t="str"/>
      <x:c r="AO64" s="9" t="str">
        <x:v>https://www.ebi.ac.uk/chembl/api/data/activity/16670420.json</x:v>
      </x:c>
      <x:c r="AP64" s="9" t="str">
        <x:v>Cc1ncccc1-c1nnc(SCCCN2CCC3(CC3c3ccc(C(F)(F)F)cc3)C2)n1C</x:v>
      </x:c>
      <x:c r="AQ64" s="9" t="str">
        <x:v>c1ccc(C2CC23CCN(CCCSc2nnc(-c4cccnc4)[nH]2)C3)cc1</x:v>
      </x:c>
      <x:c r="AR64" s="11" t="n">
        <x:v>487.5950000000002</x:v>
      </x:c>
      <x:c r="AS64" s="11" t="n">
        <x:v>5.566120000000006</x:v>
      </x:c>
      <x:c r="AT64" s="11" t="n">
        <x:v>46.84</x:v>
      </x:c>
      <x:c r="AU64" s="13" t="n">
        <x:v>0</x:v>
      </x:c>
      <x:c r="AV64" s="13" t="n">
        <x:v>5</x:v>
      </x:c>
      <x:c r="AW64" s="9" t="str">
        <x:v>train</x:v>
      </x:c>
    </x:row>
    <x:row r="65" ht="36" customHeight="1">
      <x:c r="A65" s="14" t="str">
        <x:v>DVUOLXOWKHDIAV-XXBNENTESA-N</x:v>
      </x:c>
      <x:c r="B65" s="14" t="str">
        <x:v>CHEMBL3946313</x:v>
      </x:c>
      <x:c r="C65" s="14" t="str">
        <x:v>CHEMBL3946313</x:v>
      </x:c>
      <x:c r="D65" s="14" t="str">
        <x:v>16670421</x:v>
      </x:c>
      <x:c r="E65" s="14" t="str">
        <x:v>16670421</x:v>
      </x:c>
      <x:c r="F65" s="14" t="str">
        <x:v>CHEMBL3855278</x:v>
      </x:c>
      <x:c r="G65" s="14" t="str">
        <x:v>CHEMBL217</x:v>
      </x:c>
      <x:c r="H65" s="14" t="str">
        <x:v>CHEMBL3853329</x:v>
      </x:c>
      <x:c r="I65" s="14" t="str">
        <x:v>Cn1c(SCCCN2CC[C@]3(C[C@@H]3c3ccc(C(F)(F)F)cc3)C2)nnc1-c1cccnc1C(F)(F)F</x:v>
      </x:c>
      <x:c r="J65" s="14" t="str">
        <x:v>Cn1c(SCCCN2CC[C@]3(C[C@@H]3c3ccc(C(F)(F)F)cc3)C2)nnc1-c1cccnc1C(F)(F)F</x:v>
      </x:c>
      <x:c r="K65" s="14" t="str">
        <x:v>source_reported_pKi</x:v>
      </x:c>
      <x:c r="L65" s="15" t="n">
        <x:v>6.02</x:v>
      </x:c>
      <x:c r="M65" s="15" t="n">
        <x:v>954.9925860214369</x:v>
      </x:c>
      <x:c r="N65" s="15" t="n">
        <x:v>954.99</x:v>
      </x:c>
      <x:c r="O65" s="15" t="n">
        <x:v>6.020001176026261</x:v>
      </x:c>
      <x:c r="P65" s="16" t="n">
        <x:v>0.0000011760262612625638</x:v>
      </x:c>
      <x:c r="Q65" s="16" t="n">
        <x:v>-0.002586021436854935</x:v>
      </x:c>
      <x:c r="R65" s="15" t="n">
        <x:v>0.00501</x:v>
      </x:c>
      <x:c r="S65" s="14" t="str">
        <x:v>Cn1c(SCCCN2CC[C@]3(C[C@@H]3c3ccc(C(F)(F)F)cc3)C2)nnc1-c1cccnc1C(F)(F)F</x:v>
      </x:c>
      <x:c r="T65" s="14" t="str">
        <x:v>Cn1c(SCCCN2CC[C@]3(C[C@@H]3c3ccc(C(F)(F)F)cc3)C2)nnc1-c1cccnc1C(F)(F)F</x:v>
      </x:c>
      <x:c r="U65" s="14" t="str">
        <x:v>DVUOLXOWKHDIAV-XXBNENTESA-N</x:v>
      </x:c>
      <x:c r="V65" s="14" t="str">
        <x:v>Cn1c(SCCCN2CCC3(CC3c3ccc(C(F)(F)F)cc3)C2)nnc1-c1cccnc1C(F)(F)F</x:v>
      </x:c>
      <x:c r="W65" s="14" t="str">
        <x:v>ffdc93482f2936e0c3a7c58e3bc1aeafd646d94c723107a9edf3f59445d01a06</x:v>
      </x:c>
      <x:c r="X65" s="14" t="str">
        <x:v>c1ccc(C2CC23CCN(CCCSc2nnc(-c4cccnc4)[nH]2)C3)cc1</x:v>
      </x:c>
      <x:c r="Y65" s="14" t="str">
        <x:v>False</x:v>
      </x:c>
      <x:c r="Z65" s="17" t="n">
        <x:v>1</x:v>
      </x:c>
      <x:c r="AA65" s="14" t="str">
        <x:v>include</x:v>
      </x:c>
      <x:c r="AB65" s="14" t="str"/>
      <x:c r="AC65" s="14" t="str">
        <x:v>pKi</x:v>
      </x:c>
      <x:c r="AD65" s="14" t="str">
        <x:v>6.02</x:v>
      </x:c>
      <x:c r="AE65" s="14" t="str"/>
      <x:c r="AF65" s="14" t="str">
        <x:v>=</x:v>
      </x:c>
      <x:c r="AG65" s="14" t="str">
        <x:v>Ki</x:v>
      </x:c>
      <x:c r="AH65" s="15" t="n">
        <x:v>954.99</x:v>
      </x:c>
      <x:c r="AI65" s="14" t="str">
        <x:v>nM</x:v>
      </x:c>
      <x:c r="AJ65" s="14" t="str">
        <x:v>=</x:v>
      </x:c>
      <x:c r="AK65" s="15" t="n">
        <x:v>6.02</x:v>
      </x:c>
      <x:c r="AL65" s="17" t="n">
        <x:v>0</x:v>
      </x:c>
      <x:c r="AM65" s="14" t="str"/>
      <x:c r="AN65" s="14" t="str"/>
      <x:c r="AO65" s="14" t="str">
        <x:v>https://www.ebi.ac.uk/chembl/api/data/activity/16670421.json</x:v>
      </x:c>
      <x:c r="AP65" s="14" t="str">
        <x:v>Cn1c(SCCCN2CCC3(CC3c3ccc(C(F)(F)F)cc3)C2)nnc1-c1cccnc1C(F)(F)F</x:v>
      </x:c>
      <x:c r="AQ65" s="14" t="str">
        <x:v>c1ccc(C2CC23CCN(CCCSc2nnc(-c4cccnc4)[nH]2)C3)cc1</x:v>
      </x:c>
      <x:c r="AR65" s="15" t="n">
        <x:v>541.5650000000002</x:v>
      </x:c>
      <x:c r="AS65" s="15" t="n">
        <x:v>6.276500000000005</x:v>
      </x:c>
      <x:c r="AT65" s="15" t="n">
        <x:v>46.84</x:v>
      </x:c>
      <x:c r="AU65" s="17" t="n">
        <x:v>0</x:v>
      </x:c>
      <x:c r="AV65" s="17" t="n">
        <x:v>5</x:v>
      </x:c>
      <x:c r="AW65" s="14" t="str">
        <x:v>train</x:v>
      </x:c>
    </x:row>
    <x:row r="66" ht="36" customHeight="1">
      <x:c r="A66" s="9" t="str">
        <x:v>DOTLHOVQYVFUDB-YKSBVNFPSA-N</x:v>
      </x:c>
      <x:c r="B66" s="9" t="str">
        <x:v>CHEMBL3958949</x:v>
      </x:c>
      <x:c r="C66" s="9" t="str">
        <x:v>CHEMBL3958949</x:v>
      </x:c>
      <x:c r="D66" s="9" t="str">
        <x:v>16670422</x:v>
      </x:c>
      <x:c r="E66" s="9" t="str">
        <x:v>16670422</x:v>
      </x:c>
      <x:c r="F66" s="9" t="str">
        <x:v>CHEMBL3855278</x:v>
      </x:c>
      <x:c r="G66" s="9" t="str">
        <x:v>CHEMBL217</x:v>
      </x:c>
      <x:c r="H66" s="9" t="str">
        <x:v>CHEMBL3853329</x:v>
      </x:c>
      <x:c r="I66" s="9" t="str">
        <x:v>COc1ncccc1-c1nnc(SCCCN2CC[C@]3(C[C@@H]3c3ccc(C(F)(F)F)cc3)C2)n1C</x:v>
      </x:c>
      <x:c r="J66" s="9" t="str">
        <x:v>COc1ncccc1-c1nnc(SCCCN2CC[C@]3(C[C@@H]3c3ccc(C(F)(F)F)cc3)C2)n1C</x:v>
      </x:c>
      <x:c r="K66" s="9" t="str">
        <x:v>source_reported_pKi</x:v>
      </x:c>
      <x:c r="L66" s="11" t="n">
        <x:v>5.94</x:v>
      </x:c>
      <x:c r="M66" s="11" t="n">
        <x:v>1148.1536214968817</x:v>
      </x:c>
      <x:c r="N66" s="11" t="n">
        <x:v>1148.15</x:v>
      </x:c>
      <x:c r="O66" s="11" t="n">
        <x:v>5.940001369850309</x:v>
      </x:c>
      <x:c r="P66" s="12" t="n">
        <x:v>0.0000013698503087411495</x:v>
      </x:c>
      <x:c r="Q66" s="12" t="n">
        <x:v>-0.003621496881578423</x:v>
      </x:c>
      <x:c r="R66" s="11" t="n">
        <x:v>0.00501</x:v>
      </x:c>
      <x:c r="S66" s="9" t="str">
        <x:v>COc1ncccc1-c1nnc(SCCCN2CC[C@]3(C[C@@H]3c3ccc(C(F)(F)F)cc3)C2)n1C</x:v>
      </x:c>
      <x:c r="T66" s="9" t="str">
        <x:v>COc1ncccc1-c1nnc(SCCCN2CC[C@]3(C[C@@H]3c3ccc(C(F)(F)F)cc3)C2)n1C</x:v>
      </x:c>
      <x:c r="U66" s="9" t="str">
        <x:v>DOTLHOVQYVFUDB-YKSBVNFPSA-N</x:v>
      </x:c>
      <x:c r="V66" s="9" t="str">
        <x:v>COc1ncccc1-c1nnc(SCCCN2CCC3(CC3c3ccc(C(F)(F)F)cc3)C2)n1C</x:v>
      </x:c>
      <x:c r="W66" s="9" t="str">
        <x:v>898e3ec18bfe6c9b712320cd4ede2563247385e5e14072511fcd5548497ca00b</x:v>
      </x:c>
      <x:c r="X66" s="9" t="str">
        <x:v>c1ccc(C2CC23CCN(CCCSc2nnc(-c4cccnc4)[nH]2)C3)cc1</x:v>
      </x:c>
      <x:c r="Y66" s="9" t="str">
        <x:v>False</x:v>
      </x:c>
      <x:c r="Z66" s="13" t="n">
        <x:v>1</x:v>
      </x:c>
      <x:c r="AA66" s="9" t="str">
        <x:v>include</x:v>
      </x:c>
      <x:c r="AB66" s="9" t="str"/>
      <x:c r="AC66" s="9" t="str">
        <x:v>pKi</x:v>
      </x:c>
      <x:c r="AD66" s="9" t="str">
        <x:v>5.94</x:v>
      </x:c>
      <x:c r="AE66" s="9" t="str"/>
      <x:c r="AF66" s="9" t="str">
        <x:v>=</x:v>
      </x:c>
      <x:c r="AG66" s="9" t="str">
        <x:v>Ki</x:v>
      </x:c>
      <x:c r="AH66" s="11" t="n">
        <x:v>1148.15</x:v>
      </x:c>
      <x:c r="AI66" s="9" t="str">
        <x:v>nM</x:v>
      </x:c>
      <x:c r="AJ66" s="9" t="str">
        <x:v>=</x:v>
      </x:c>
      <x:c r="AK66" s="11" t="n">
        <x:v>5.94</x:v>
      </x:c>
      <x:c r="AL66" s="13" t="n">
        <x:v>0</x:v>
      </x:c>
      <x:c r="AM66" s="9" t="str"/>
      <x:c r="AN66" s="9" t="str"/>
      <x:c r="AO66" s="9" t="str">
        <x:v>https://www.ebi.ac.uk/chembl/api/data/activity/16670422.json</x:v>
      </x:c>
      <x:c r="AP66" s="9" t="str">
        <x:v>COc1ncccc1-c1nnc(SCCCN2CCC3(CC3c3ccc(C(F)(F)F)cc3)C2)n1C</x:v>
      </x:c>
      <x:c r="AQ66" s="9" t="str">
        <x:v>c1ccc(C2CC23CCN(CCCSc2nnc(-c4cccnc4)[nH]2)C3)cc1</x:v>
      </x:c>
      <x:c r="AR66" s="11" t="n">
        <x:v>503.5940000000002</x:v>
      </x:c>
      <x:c r="AS66" s="11" t="n">
        <x:v>5.2663000000000055</x:v>
      </x:c>
      <x:c r="AT66" s="11" t="n">
        <x:v>56.07000000000001</x:v>
      </x:c>
      <x:c r="AU66" s="13" t="n">
        <x:v>0</x:v>
      </x:c>
      <x:c r="AV66" s="13" t="n">
        <x:v>6</x:v>
      </x:c>
      <x:c r="AW66" s="9" t="str">
        <x:v>train</x:v>
      </x:c>
    </x:row>
    <x:row r="67" ht="36" customHeight="1">
      <x:c r="A67" s="14" t="str">
        <x:v>LMYXDMLXVWZVJJ-QPPBQGQZSA-N</x:v>
      </x:c>
      <x:c r="B67" s="14" t="str">
        <x:v>CHEMBL3922535</x:v>
      </x:c>
      <x:c r="C67" s="14" t="str">
        <x:v>CHEMBL3922535</x:v>
      </x:c>
      <x:c r="D67" s="14" t="str">
        <x:v>16670423</x:v>
      </x:c>
      <x:c r="E67" s="14" t="str">
        <x:v>16670423</x:v>
      </x:c>
      <x:c r="F67" s="14" t="str">
        <x:v>CHEMBL3855278</x:v>
      </x:c>
      <x:c r="G67" s="14" t="str">
        <x:v>CHEMBL217</x:v>
      </x:c>
      <x:c r="H67" s="14" t="str">
        <x:v>CHEMBL3853329</x:v>
      </x:c>
      <x:c r="I67" s="14" t="str">
        <x:v>Cn1c(SCCCN2CC[C@]3(C[C@@H]3c3ccc(C(F)(F)F)cc3)C2)nnc1-c1ccc(C#N)nc1</x:v>
      </x:c>
      <x:c r="J67" s="14" t="str">
        <x:v>Cn1c(SCCCN2CC[C@]3(C[C@@H]3c3ccc(C(F)(F)F)cc3)C2)nnc1-c1ccc(C#N)nc1</x:v>
      </x:c>
      <x:c r="K67" s="14" t="str">
        <x:v>source_reported_pKi</x:v>
      </x:c>
      <x:c r="L67" s="15" t="n">
        <x:v>6.16</x:v>
      </x:c>
      <x:c r="M67" s="15" t="n">
        <x:v>691.8309709189363</x:v>
      </x:c>
      <x:c r="N67" s="15" t="n">
        <x:v>691.83</x:v>
      </x:c>
      <x:c r="O67" s="15" t="n">
        <x:v>6.160000609491408</x:v>
      </x:c>
      <x:c r="P67" s="16" t="n">
        <x:v>6.09491407566054e-7</x:v>
      </x:c>
      <x:c r="Q67" s="16" t="n">
        <x:v>-0.0009709189362183679</x:v>
      </x:c>
      <x:c r="R67" s="15" t="n">
        <x:v>0.00501</x:v>
      </x:c>
      <x:c r="S67" s="14" t="str">
        <x:v>Cn1c(SCCCN2CC[C@]3(C[C@@H]3c3ccc(C(F)(F)F)cc3)C2)nnc1-c1ccc(C#N)nc1</x:v>
      </x:c>
      <x:c r="T67" s="14" t="str">
        <x:v>Cn1c(SCCCN2CC[C@]3(C[C@@H]3c3ccc(C(F)(F)F)cc3)C2)nnc1-c1ccc(C#N)nc1</x:v>
      </x:c>
      <x:c r="U67" s="14" t="str">
        <x:v>LMYXDMLXVWZVJJ-QPPBQGQZSA-N</x:v>
      </x:c>
      <x:c r="V67" s="14" t="str">
        <x:v>Cn1c(SCCCN2CCC3(CC3c3ccc(C(F)(F)F)cc3)C2)nnc1-c1ccc(C#N)nc1</x:v>
      </x:c>
      <x:c r="W67" s="14" t="str">
        <x:v>15eb3b2aa897ffa440e733f4aaed728d6c6664311005d7c0dc4fc2a5cec3b99d</x:v>
      </x:c>
      <x:c r="X67" s="14" t="str">
        <x:v>c1ccc(C2CC23CCN(CCCSc2nnc(-c4cccnc4)[nH]2)C3)cc1</x:v>
      </x:c>
      <x:c r="Y67" s="14" t="str">
        <x:v>False</x:v>
      </x:c>
      <x:c r="Z67" s="17" t="n">
        <x:v>1</x:v>
      </x:c>
      <x:c r="AA67" s="14" t="str">
        <x:v>include</x:v>
      </x:c>
      <x:c r="AB67" s="14" t="str"/>
      <x:c r="AC67" s="14" t="str">
        <x:v>pKi</x:v>
      </x:c>
      <x:c r="AD67" s="14" t="str">
        <x:v>6.16</x:v>
      </x:c>
      <x:c r="AE67" s="14" t="str"/>
      <x:c r="AF67" s="14" t="str">
        <x:v>=</x:v>
      </x:c>
      <x:c r="AG67" s="14" t="str">
        <x:v>Ki</x:v>
      </x:c>
      <x:c r="AH67" s="15" t="n">
        <x:v>691.83</x:v>
      </x:c>
      <x:c r="AI67" s="14" t="str">
        <x:v>nM</x:v>
      </x:c>
      <x:c r="AJ67" s="14" t="str">
        <x:v>=</x:v>
      </x:c>
      <x:c r="AK67" s="15" t="n">
        <x:v>6.16</x:v>
      </x:c>
      <x:c r="AL67" s="17" t="n">
        <x:v>0</x:v>
      </x:c>
      <x:c r="AM67" s="14" t="str"/>
      <x:c r="AN67" s="14" t="str"/>
      <x:c r="AO67" s="14" t="str">
        <x:v>https://www.ebi.ac.uk/chembl/api/data/activity/16670423.json</x:v>
      </x:c>
      <x:c r="AP67" s="14" t="str">
        <x:v>Cn1c(SCCCN2CCC3(CC3c3ccc(C(F)(F)F)cc3)C2)nnc1-c1ccc(C#N)nc1</x:v>
      </x:c>
      <x:c r="AQ67" s="14" t="str">
        <x:v>c1ccc(C2CC23CCN(CCCSc2nnc(-c4cccnc4)[nH]2)C3)cc1</x:v>
      </x:c>
      <x:c r="AR67" s="15" t="n">
        <x:v>498.57800000000015</x:v>
      </x:c>
      <x:c r="AS67" s="15" t="n">
        <x:v>5.129380000000006</x:v>
      </x:c>
      <x:c r="AT67" s="15" t="n">
        <x:v>70.63</x:v>
      </x:c>
      <x:c r="AU67" s="17" t="n">
        <x:v>0</x:v>
      </x:c>
      <x:c r="AV67" s="17" t="n">
        <x:v>6</x:v>
      </x:c>
      <x:c r="AW67" s="14" t="str">
        <x:v>train</x:v>
      </x:c>
    </x:row>
    <x:row r="68" ht="36" customHeight="1">
      <x:c r="A68" s="9" t="str">
        <x:v>PQHIRTDXFUZNBI-DVECYGJZSA-N</x:v>
      </x:c>
      <x:c r="B68" s="9" t="str">
        <x:v>CHEMBL3950254</x:v>
      </x:c>
      <x:c r="C68" s="9" t="str">
        <x:v>CHEMBL3950254</x:v>
      </x:c>
      <x:c r="D68" s="9" t="str">
        <x:v>16670424</x:v>
      </x:c>
      <x:c r="E68" s="9" t="str">
        <x:v>16670424</x:v>
      </x:c>
      <x:c r="F68" s="9" t="str">
        <x:v>CHEMBL3855278</x:v>
      </x:c>
      <x:c r="G68" s="9" t="str">
        <x:v>CHEMBL217</x:v>
      </x:c>
      <x:c r="H68" s="9" t="str">
        <x:v>CHEMBL3853329</x:v>
      </x:c>
      <x:c r="I68" s="9" t="str">
        <x:v>Cn1c(SCCCN2CC[C@]3(C[C@@H]3c3ccc(C(F)(F)F)cc3)C2)nnc1-c1ccc(C(N)=O)nc1</x:v>
      </x:c>
      <x:c r="J68" s="9" t="str">
        <x:v>Cn1c(SCCCN2CC[C@]3(C[C@@H]3c3ccc(C(F)(F)F)cc3)C2)nnc1-c1ccc(C(N)=O)nc1</x:v>
      </x:c>
      <x:c r="K68" s="9" t="str">
        <x:v>source_reported_pKi</x:v>
      </x:c>
      <x:c r="L68" s="11" t="n">
        <x:v>6.26</x:v>
      </x:c>
      <x:c r="M68" s="11" t="n">
        <x:v>549.5408738576248</x:v>
      </x:c>
      <x:c r="N68" s="11" t="n">
        <x:v>549.54</x:v>
      </x:c>
      <x:c r="O68" s="11" t="n">
        <x:v>6.260000690598032</x:v>
      </x:c>
      <x:c r="P68" s="12" t="n">
        <x:v>6.905980320937033e-7</x:v>
      </x:c>
      <x:c r="Q68" s="12" t="n">
        <x:v>-0.0008738576248106256</x:v>
      </x:c>
      <x:c r="R68" s="11" t="n">
        <x:v>0.00501</x:v>
      </x:c>
      <x:c r="S68" s="9" t="str">
        <x:v>Cn1c(SCCCN2CC[C@]3(C[C@@H]3c3ccc(C(F)(F)F)cc3)C2)nnc1-c1ccc(C(N)=O)nc1</x:v>
      </x:c>
      <x:c r="T68" s="9" t="str">
        <x:v>Cn1c(SCCCN2CC[C@]3(C[C@@H]3c3ccc(C(F)(F)F)cc3)C2)nnc1-c1ccc(C(N)=O)nc1</x:v>
      </x:c>
      <x:c r="U68" s="9" t="str">
        <x:v>PQHIRTDXFUZNBI-DVECYGJZSA-N</x:v>
      </x:c>
      <x:c r="V68" s="9" t="str">
        <x:v>Cn1c(SCCCN2CCC3(CC3c3ccc(C(F)(F)F)cc3)C2)nnc1-c1ccc(C(N)=O)nc1</x:v>
      </x:c>
      <x:c r="W68" s="9" t="str">
        <x:v>3759f11dd2859c5a76b5a0e2ec5ee3716c4670d2d7b27d70e83309cd2089062e</x:v>
      </x:c>
      <x:c r="X68" s="9" t="str">
        <x:v>c1ccc(C2CC23CCN(CCCSc2nnc(-c4cccnc4)[nH]2)C3)cc1</x:v>
      </x:c>
      <x:c r="Y68" s="9" t="str">
        <x:v>False</x:v>
      </x:c>
      <x:c r="Z68" s="13" t="n">
        <x:v>1</x:v>
      </x:c>
      <x:c r="AA68" s="9" t="str">
        <x:v>include</x:v>
      </x:c>
      <x:c r="AB68" s="9" t="str"/>
      <x:c r="AC68" s="9" t="str">
        <x:v>pKi</x:v>
      </x:c>
      <x:c r="AD68" s="9" t="str">
        <x:v>6.26</x:v>
      </x:c>
      <x:c r="AE68" s="9" t="str"/>
      <x:c r="AF68" s="9" t="str">
        <x:v>=</x:v>
      </x:c>
      <x:c r="AG68" s="9" t="str">
        <x:v>Ki</x:v>
      </x:c>
      <x:c r="AH68" s="11" t="n">
        <x:v>549.54</x:v>
      </x:c>
      <x:c r="AI68" s="9" t="str">
        <x:v>nM</x:v>
      </x:c>
      <x:c r="AJ68" s="9" t="str">
        <x:v>=</x:v>
      </x:c>
      <x:c r="AK68" s="11" t="n">
        <x:v>6.26</x:v>
      </x:c>
      <x:c r="AL68" s="13" t="n">
        <x:v>0</x:v>
      </x:c>
      <x:c r="AM68" s="9" t="str"/>
      <x:c r="AN68" s="9" t="str"/>
      <x:c r="AO68" s="9" t="str">
        <x:v>https://www.ebi.ac.uk/chembl/api/data/activity/16670424.json</x:v>
      </x:c>
      <x:c r="AP68" s="9" t="str">
        <x:v>Cn1c(SCCCN2CCC3(CC3c3ccc(C(F)(F)F)cc3)C2)nnc1-c1ccc(C(N)=O)nc1</x:v>
      </x:c>
      <x:c r="AQ68" s="9" t="str">
        <x:v>c1ccc(C2CC23CCN(CCCSc2nnc(-c4cccnc4)[nH]2)C3)cc1</x:v>
      </x:c>
      <x:c r="AR68" s="11" t="n">
        <x:v>516.5930000000002</x:v>
      </x:c>
      <x:c r="AS68" s="11" t="n">
        <x:v>4.356600000000003</x:v>
      </x:c>
      <x:c r="AT68" s="11" t="n">
        <x:v>89.92999999999999</x:v>
      </x:c>
      <x:c r="AU68" s="13" t="n">
        <x:v>1</x:v>
      </x:c>
      <x:c r="AV68" s="13" t="n">
        <x:v>6</x:v>
      </x:c>
      <x:c r="AW68" s="9" t="str">
        <x:v>train</x:v>
      </x:c>
    </x:row>
    <x:row r="69" ht="36" customHeight="1">
      <x:c r="A69" s="14" t="str">
        <x:v>MRFLPGUUAPCTFB-RDGATRHJSA-N</x:v>
      </x:c>
      <x:c r="B69" s="14" t="str">
        <x:v>CHEMBL3913542</x:v>
      </x:c>
      <x:c r="C69" s="14" t="str">
        <x:v>CHEMBL3913542</x:v>
      </x:c>
      <x:c r="D69" s="14" t="str">
        <x:v>16670425</x:v>
      </x:c>
      <x:c r="E69" s="14" t="str">
        <x:v>16670425</x:v>
      </x:c>
      <x:c r="F69" s="14" t="str">
        <x:v>CHEMBL3855278</x:v>
      </x:c>
      <x:c r="G69" s="14" t="str">
        <x:v>CHEMBL217</x:v>
      </x:c>
      <x:c r="H69" s="14" t="str">
        <x:v>CHEMBL3853329</x:v>
      </x:c>
      <x:c r="I69" s="14" t="str">
        <x:v>Cc1ccc(-c2nnc(SCCCN3CC[C@]4(C[C@@H]4c4ccc(C(F)(F)F)cc4)C3)n2C)c(C)n1</x:v>
      </x:c>
      <x:c r="J69" s="14" t="str">
        <x:v>Cc1ccc(-c2nnc(SCCCN3CC[C@]4(C[C@@H]4c4ccc(C(F)(F)F)cc4)C3)n2C)c(C)n1</x:v>
      </x:c>
      <x:c r="K69" s="14" t="str">
        <x:v>source_reported_pKi</x:v>
      </x:c>
      <x:c r="L69" s="15" t="n">
        <x:v>5.91</x:v>
      </x:c>
      <x:c r="M69" s="15" t="n">
        <x:v>1230.268770812381</x:v>
      </x:c>
      <x:c r="N69" s="15" t="n">
        <x:v>1230.27</x:v>
      </x:c>
      <x:c r="O69" s="15" t="n">
        <x:v>5.90999956608739</x:v>
      </x:c>
      <x:c r="P69" s="16" t="n">
        <x:v>-4.3391260984293467e-7</x:v>
      </x:c>
      <x:c r="Q69" s="16" t="n">
        <x:v>0.0012291876189465256</x:v>
      </x:c>
      <x:c r="R69" s="15" t="n">
        <x:v>0.00501</x:v>
      </x:c>
      <x:c r="S69" s="14" t="str">
        <x:v>Cc1ccc(-c2nnc(SCCCN3CC[C@]4(C[C@@H]4c4ccc(C(F)(F)F)cc4)C3)n2C)c(C)n1</x:v>
      </x:c>
      <x:c r="T69" s="14" t="str">
        <x:v>Cc1ccc(-c2nnc(SCCCN3CC[C@]4(C[C@@H]4c4ccc(C(F)(F)F)cc4)C3)n2C)c(C)n1</x:v>
      </x:c>
      <x:c r="U69" s="14" t="str">
        <x:v>MRFLPGUUAPCTFB-RDGATRHJSA-N</x:v>
      </x:c>
      <x:c r="V69" s="14" t="str">
        <x:v>Cc1ccc(-c2nnc(SCCCN3CCC4(CC4c4ccc(C(F)(F)F)cc4)C3)n2C)c(C)n1</x:v>
      </x:c>
      <x:c r="W69" s="14" t="str">
        <x:v>27731b4561e40a6f17d05d05646acdb71b9ff87b8c22691cad4b66faf1aeecac</x:v>
      </x:c>
      <x:c r="X69" s="14" t="str">
        <x:v>c1ccc(C2CC23CCN(CCCSc2nnc(-c4cccnc4)[nH]2)C3)cc1</x:v>
      </x:c>
      <x:c r="Y69" s="14" t="str">
        <x:v>False</x:v>
      </x:c>
      <x:c r="Z69" s="17" t="n">
        <x:v>1</x:v>
      </x:c>
      <x:c r="AA69" s="14" t="str">
        <x:v>include</x:v>
      </x:c>
      <x:c r="AB69" s="14" t="str"/>
      <x:c r="AC69" s="14" t="str">
        <x:v>pKi</x:v>
      </x:c>
      <x:c r="AD69" s="14" t="str">
        <x:v>5.91</x:v>
      </x:c>
      <x:c r="AE69" s="14" t="str"/>
      <x:c r="AF69" s="14" t="str">
        <x:v>=</x:v>
      </x:c>
      <x:c r="AG69" s="14" t="str">
        <x:v>Ki</x:v>
      </x:c>
      <x:c r="AH69" s="15" t="n">
        <x:v>1230.27</x:v>
      </x:c>
      <x:c r="AI69" s="14" t="str">
        <x:v>nM</x:v>
      </x:c>
      <x:c r="AJ69" s="14" t="str">
        <x:v>=</x:v>
      </x:c>
      <x:c r="AK69" s="15" t="n">
        <x:v>5.91</x:v>
      </x:c>
      <x:c r="AL69" s="17" t="n">
        <x:v>0</x:v>
      </x:c>
      <x:c r="AM69" s="14" t="str"/>
      <x:c r="AN69" s="14" t="str"/>
      <x:c r="AO69" s="14" t="str">
        <x:v>https://www.ebi.ac.uk/chembl/api/data/activity/16670425.json</x:v>
      </x:c>
      <x:c r="AP69" s="14" t="str">
        <x:v>Cc1ccc(-c2nnc(SCCCN3CCC4(CC4c4ccc(C(F)(F)F)cc4)C3)n2C)c(C)n1</x:v>
      </x:c>
      <x:c r="AQ69" s="14" t="str">
        <x:v>c1ccc(C2CC23CCN(CCCSc2nnc(-c4cccnc4)[nH]2)C3)cc1</x:v>
      </x:c>
      <x:c r="AR69" s="15" t="n">
        <x:v>501.6220000000002</x:v>
      </x:c>
      <x:c r="AS69" s="15" t="n">
        <x:v>5.874540000000006</x:v>
      </x:c>
      <x:c r="AT69" s="15" t="n">
        <x:v>46.84</x:v>
      </x:c>
      <x:c r="AU69" s="17" t="n">
        <x:v>0</x:v>
      </x:c>
      <x:c r="AV69" s="17" t="n">
        <x:v>5</x:v>
      </x:c>
      <x:c r="AW69" s="14" t="str">
        <x:v>train</x:v>
      </x:c>
    </x:row>
    <x:row r="70" ht="36" customHeight="1">
      <x:c r="A70" s="9" t="str">
        <x:v>WEEBXSDEOQNZPK-NLFFAJNJSA-N</x:v>
      </x:c>
      <x:c r="B70" s="9" t="str">
        <x:v>CHEMBL3941520</x:v>
      </x:c>
      <x:c r="C70" s="9" t="str">
        <x:v>CHEMBL3941520</x:v>
      </x:c>
      <x:c r="D70" s="9" t="str">
        <x:v>16670426</x:v>
      </x:c>
      <x:c r="E70" s="9" t="str">
        <x:v>16670426</x:v>
      </x:c>
      <x:c r="F70" s="9" t="str">
        <x:v>CHEMBL3855278</x:v>
      </x:c>
      <x:c r="G70" s="9" t="str">
        <x:v>CHEMBL217</x:v>
      </x:c>
      <x:c r="H70" s="9" t="str">
        <x:v>CHEMBL3853329</x:v>
      </x:c>
      <x:c r="I70" s="9" t="str">
        <x:v>Cc1nc(C(N)=O)ccc1-c1nnc(SCCCN2CC[C@]3(C[C@@H]3c3ccc(C(F)(F)F)cc3)C2)n1C</x:v>
      </x:c>
      <x:c r="J70" s="9" t="str">
        <x:v>Cc1nc(C(N)=O)ccc1-c1nnc(SCCCN2CC[C@]3(C[C@@H]3c3ccc(C(F)(F)F)cc3)C2)n1C</x:v>
      </x:c>
      <x:c r="K70" s="9" t="str">
        <x:v>source_reported_pKi</x:v>
      </x:c>
      <x:c r="L70" s="11" t="n">
        <x:v>5.94</x:v>
      </x:c>
      <x:c r="M70" s="11" t="n">
        <x:v>1148.1536214968817</x:v>
      </x:c>
      <x:c r="N70" s="11" t="n">
        <x:v>1148.15</x:v>
      </x:c>
      <x:c r="O70" s="11" t="n">
        <x:v>5.940001369850309</x:v>
      </x:c>
      <x:c r="P70" s="12" t="n">
        <x:v>0.0000013698503087411495</x:v>
      </x:c>
      <x:c r="Q70" s="12" t="n">
        <x:v>-0.003621496881578423</x:v>
      </x:c>
      <x:c r="R70" s="11" t="n">
        <x:v>0.00501</x:v>
      </x:c>
      <x:c r="S70" s="9" t="str">
        <x:v>Cc1nc(C(N)=O)ccc1-c1nnc(SCCCN2CC[C@]3(C[C@@H]3c3ccc(C(F)(F)F)cc3)C2)n1C</x:v>
      </x:c>
      <x:c r="T70" s="9" t="str">
        <x:v>Cc1nc(C(N)=O)ccc1-c1nnc(SCCCN2CC[C@]3(C[C@@H]3c3ccc(C(F)(F)F)cc3)C2)n1C</x:v>
      </x:c>
      <x:c r="U70" s="9" t="str">
        <x:v>WEEBXSDEOQNZPK-NLFFAJNJSA-N</x:v>
      </x:c>
      <x:c r="V70" s="9" t="str">
        <x:v>Cc1nc(C(N)=O)ccc1-c1nnc(SCCCN2CCC3(CC3c3ccc(C(F)(F)F)cc3)C2)n1C</x:v>
      </x:c>
      <x:c r="W70" s="9" t="str">
        <x:v>c4ff51d877a5ad4bdaf2d344461b6e2e0e5c9e902f4eb61f1ae1b6a28ec0009e</x:v>
      </x:c>
      <x:c r="X70" s="9" t="str">
        <x:v>c1ccc(C2CC23CCN(CCCSc2nnc(-c4cccnc4)[nH]2)C3)cc1</x:v>
      </x:c>
      <x:c r="Y70" s="9" t="str">
        <x:v>False</x:v>
      </x:c>
      <x:c r="Z70" s="13" t="n">
        <x:v>1</x:v>
      </x:c>
      <x:c r="AA70" s="9" t="str">
        <x:v>include</x:v>
      </x:c>
      <x:c r="AB70" s="9" t="str"/>
      <x:c r="AC70" s="9" t="str">
        <x:v>pKi</x:v>
      </x:c>
      <x:c r="AD70" s="9" t="str">
        <x:v>5.94</x:v>
      </x:c>
      <x:c r="AE70" s="9" t="str"/>
      <x:c r="AF70" s="9" t="str">
        <x:v>=</x:v>
      </x:c>
      <x:c r="AG70" s="9" t="str">
        <x:v>Ki</x:v>
      </x:c>
      <x:c r="AH70" s="11" t="n">
        <x:v>1148.15</x:v>
      </x:c>
      <x:c r="AI70" s="9" t="str">
        <x:v>nM</x:v>
      </x:c>
      <x:c r="AJ70" s="9" t="str">
        <x:v>=</x:v>
      </x:c>
      <x:c r="AK70" s="11" t="n">
        <x:v>5.94</x:v>
      </x:c>
      <x:c r="AL70" s="13" t="n">
        <x:v>0</x:v>
      </x:c>
      <x:c r="AM70" s="9" t="str"/>
      <x:c r="AN70" s="9" t="str"/>
      <x:c r="AO70" s="9" t="str">
        <x:v>https://www.ebi.ac.uk/chembl/api/data/activity/16670426.json</x:v>
      </x:c>
      <x:c r="AP70" s="9" t="str">
        <x:v>Cc1nc(C(N)=O)ccc1-c1nnc(SCCCN2CCC3(CC3c3ccc(C(F)(F)F)cc3)C2)n1C</x:v>
      </x:c>
      <x:c r="AQ70" s="9" t="str">
        <x:v>c1ccc(C2CC23CCN(CCCSc2nnc(-c4cccnc4)[nH]2)C3)cc1</x:v>
      </x:c>
      <x:c r="AR70" s="11" t="n">
        <x:v>530.6200000000002</x:v>
      </x:c>
      <x:c r="AS70" s="11" t="n">
        <x:v>4.665020000000005</x:v>
      </x:c>
      <x:c r="AT70" s="11" t="n">
        <x:v>89.93</x:v>
      </x:c>
      <x:c r="AU70" s="13" t="n">
        <x:v>1</x:v>
      </x:c>
      <x:c r="AV70" s="13" t="n">
        <x:v>6</x:v>
      </x:c>
      <x:c r="AW70" s="9" t="str">
        <x:v>train</x:v>
      </x:c>
    </x:row>
    <x:row r="71" ht="36" customHeight="1">
      <x:c r="A71" s="14" t="str">
        <x:v>FXIOLEMXUYMYEG-NLFFAJNJSA-N</x:v>
      </x:c>
      <x:c r="B71" s="14" t="str">
        <x:v>CHEMBL3964649</x:v>
      </x:c>
      <x:c r="C71" s="14" t="str">
        <x:v>CHEMBL3964649</x:v>
      </x:c>
      <x:c r="D71" s="14" t="str">
        <x:v>16670427</x:v>
      </x:c>
      <x:c r="E71" s="14" t="str">
        <x:v>16670427</x:v>
      </x:c>
      <x:c r="F71" s="14" t="str">
        <x:v>CHEMBL3855278</x:v>
      </x:c>
      <x:c r="G71" s="14" t="str">
        <x:v>CHEMBL217</x:v>
      </x:c>
      <x:c r="H71" s="14" t="str">
        <x:v>CHEMBL3853329</x:v>
      </x:c>
      <x:c r="I71" s="14" t="str">
        <x:v>Cc1nc(C(=O)O)ccc1-c1nnc(SCCCN2CC[C@]3(C[C@@H]3c3ccc(C(F)(F)F)cc3)C2)n1C</x:v>
      </x:c>
      <x:c r="J71" s="14" t="str">
        <x:v>Cc1nc(C(=O)O)ccc1-c1nnc(SCCCN2CC[C@]3(C[C@@H]3c3ccc(C(F)(F)F)cc3)C2)n1C</x:v>
      </x:c>
      <x:c r="K71" s="14" t="str">
        <x:v>source_reported_pKi</x:v>
      </x:c>
      <x:c r="L71" s="15" t="n">
        <x:v>5.12</x:v>
      </x:c>
      <x:c r="M71" s="15" t="n">
        <x:v>7585.775750291836</x:v>
      </x:c>
      <x:c r="N71" s="15" t="n">
        <x:v>7585.78</x:v>
      </x:c>
      <x:c r="O71" s="15" t="n">
        <x:v>5.119999756699334</x:v>
      </x:c>
      <x:c r="P71" s="16" t="n">
        <x:v>-2.433006658364434e-7</x:v>
      </x:c>
      <x:c r="Q71" s="16" t="n">
        <x:v>0.0042497081640249235</x:v>
      </x:c>
      <x:c r="R71" s="15" t="n">
        <x:v>0.007585775750291835</x:v>
      </x:c>
      <x:c r="S71" s="14" t="str">
        <x:v>Cc1nc(C(=O)O)ccc1-c1nnc(SCCCN2CC[C@]3(C[C@@H]3c3ccc(C(F)(F)F)cc3)C2)n1C</x:v>
      </x:c>
      <x:c r="T71" s="14" t="str">
        <x:v>Cc1nc(C(=O)O)ccc1-c1nnc(SCCCN2CC[C@]3(C[C@@H]3c3ccc(C(F)(F)F)cc3)C2)n1C</x:v>
      </x:c>
      <x:c r="U71" s="14" t="str">
        <x:v>FXIOLEMXUYMYEG-NLFFAJNJSA-N</x:v>
      </x:c>
      <x:c r="V71" s="14" t="str">
        <x:v>Cc1nc(C(=O)O)ccc1-c1nnc(SCCCN2CCC3(CC3c3ccc(C(F)(F)F)cc3)C2)n1C</x:v>
      </x:c>
      <x:c r="W71" s="14" t="str">
        <x:v>9f519e4703424464cfd09e1c6a9cd0d43fcdaf1febb212b1976d0396d5f37cf7</x:v>
      </x:c>
      <x:c r="X71" s="14" t="str">
        <x:v>c1ccc(C2CC23CCN(CCCSc2nnc(-c4cccnc4)[nH]2)C3)cc1</x:v>
      </x:c>
      <x:c r="Y71" s="14" t="str">
        <x:v>False</x:v>
      </x:c>
      <x:c r="Z71" s="17" t="n">
        <x:v>1</x:v>
      </x:c>
      <x:c r="AA71" s="14" t="str">
        <x:v>include</x:v>
      </x:c>
      <x:c r="AB71" s="14" t="str"/>
      <x:c r="AC71" s="14" t="str">
        <x:v>pKi</x:v>
      </x:c>
      <x:c r="AD71" s="14" t="str">
        <x:v>5.12</x:v>
      </x:c>
      <x:c r="AE71" s="14" t="str"/>
      <x:c r="AF71" s="14" t="str">
        <x:v>=</x:v>
      </x:c>
      <x:c r="AG71" s="14" t="str">
        <x:v>Ki</x:v>
      </x:c>
      <x:c r="AH71" s="15" t="n">
        <x:v>7585.78</x:v>
      </x:c>
      <x:c r="AI71" s="14" t="str">
        <x:v>nM</x:v>
      </x:c>
      <x:c r="AJ71" s="14" t="str">
        <x:v>=</x:v>
      </x:c>
      <x:c r="AK71" s="15" t="n">
        <x:v>5.12</x:v>
      </x:c>
      <x:c r="AL71" s="17" t="n">
        <x:v>0</x:v>
      </x:c>
      <x:c r="AM71" s="14" t="str"/>
      <x:c r="AN71" s="14" t="str"/>
      <x:c r="AO71" s="14" t="str">
        <x:v>https://www.ebi.ac.uk/chembl/api/data/activity/16670427.json</x:v>
      </x:c>
      <x:c r="AP71" s="14" t="str">
        <x:v>Cc1nc(C(=O)O)ccc1-c1nnc(SCCCN2CCC3(CC3c3ccc(C(F)(F)F)cc3)C2)n1C</x:v>
      </x:c>
      <x:c r="AQ71" s="14" t="str">
        <x:v>c1ccc(C2CC23CCN(CCCSc2nnc(-c4cccnc4)[nH]2)C3)cc1</x:v>
      </x:c>
      <x:c r="AR71" s="15" t="n">
        <x:v>531.6040000000002</x:v>
      </x:c>
      <x:c r="AS71" s="15" t="n">
        <x:v>5.264320000000005</x:v>
      </x:c>
      <x:c r="AT71" s="15" t="n">
        <x:v>84.13999999999999</x:v>
      </x:c>
      <x:c r="AU71" s="17" t="n">
        <x:v>1</x:v>
      </x:c>
      <x:c r="AV71" s="17" t="n">
        <x:v>6</x:v>
      </x:c>
      <x:c r="AW71" s="14" t="str">
        <x:v>train</x:v>
      </x:c>
    </x:row>
    <x:row r="72" ht="36" customHeight="1">
      <x:c r="A72" s="9" t="str">
        <x:v>JVGDBVAGMMZAGB-YKSBVNFPSA-N</x:v>
      </x:c>
      <x:c r="B72" s="9" t="str">
        <x:v>CHEMBL3894853</x:v>
      </x:c>
      <x:c r="C72" s="9" t="str">
        <x:v>CHEMBL3894853</x:v>
      </x:c>
      <x:c r="D72" s="9" t="str">
        <x:v>16670459</x:v>
      </x:c>
      <x:c r="E72" s="9" t="str">
        <x:v>16670459</x:v>
      </x:c>
      <x:c r="F72" s="9" t="str">
        <x:v>CHEMBL3855278</x:v>
      </x:c>
      <x:c r="G72" s="9" t="str">
        <x:v>CHEMBL217</x:v>
      </x:c>
      <x:c r="H72" s="9" t="str">
        <x:v>CHEMBL3853329</x:v>
      </x:c>
      <x:c r="I72" s="9" t="str">
        <x:v>Cn1c(SCCCN2CC[C@]3(C[C@@H]3c3ccc(C(F)(F)F)cc3)C2)nnc1-c1ccn(C)c(=O)c1</x:v>
      </x:c>
      <x:c r="J72" s="9" t="str">
        <x:v>Cn1c(SCCCN2CC[C@]3(C[C@@H]3c3ccc(C(F)(F)F)cc3)C2)nnc1-c1ccn(C)c(=O)c1</x:v>
      </x:c>
      <x:c r="K72" s="9" t="str">
        <x:v>source_reported_pKi</x:v>
      </x:c>
      <x:c r="L72" s="11" t="n">
        <x:v>5.65</x:v>
      </x:c>
      <x:c r="M72" s="11" t="n">
        <x:v>2238.7211385683377</x:v>
      </x:c>
      <x:c r="N72" s="11" t="n">
        <x:v>2238.72</x:v>
      </x:c>
      <x:c r="O72" s="11" t="n">
        <x:v>5.650000220873455</x:v>
      </x:c>
      <x:c r="P72" s="12" t="n">
        <x:v>2.2087345463717156e-7</x:v>
      </x:c>
      <x:c r="Q72" s="12" t="n">
        <x:v>-0.0011385683378648537</x:v>
      </x:c>
      <x:c r="R72" s="11" t="n">
        <x:v>0.00501</x:v>
      </x:c>
      <x:c r="S72" s="9" t="str">
        <x:v>Cn1c(SCCCN2CC[C@]3(C[C@@H]3c3ccc(C(F)(F)F)cc3)C2)nnc1-c1ccn(C)c(=O)c1</x:v>
      </x:c>
      <x:c r="T72" s="9" t="str">
        <x:v>Cn1c(SCCCN2CC[C@]3(C[C@@H]3c3ccc(C(F)(F)F)cc3)C2)nnc1-c1ccn(C)c(=O)c1</x:v>
      </x:c>
      <x:c r="U72" s="9" t="str">
        <x:v>JVGDBVAGMMZAGB-YKSBVNFPSA-N</x:v>
      </x:c>
      <x:c r="V72" s="9" t="str">
        <x:v>Cn1c(SCCCN2CCC3(CC3c3ccc(C(F)(F)F)cc3)C2)nnc1-c1ccn(C)c(=O)c1</x:v>
      </x:c>
      <x:c r="W72" s="9" t="str">
        <x:v>6a804ade9c2b1724e4288c3e86a07b335fdf491ad1c5e3249a30015eb625e6de</x:v>
      </x:c>
      <x:c r="X72" s="9" t="str">
        <x:v>O=c1cc(-c2nnc(SCCCN3CCC4(CC4c4ccccc4)C3)[nH]2)cc[nH]1</x:v>
      </x:c>
      <x:c r="Y72" s="9" t="str">
        <x:v>False</x:v>
      </x:c>
      <x:c r="Z72" s="13" t="n">
        <x:v>1</x:v>
      </x:c>
      <x:c r="AA72" s="9" t="str">
        <x:v>include</x:v>
      </x:c>
      <x:c r="AB72" s="9" t="str"/>
      <x:c r="AC72" s="9" t="str">
        <x:v>pKi</x:v>
      </x:c>
      <x:c r="AD72" s="9" t="str">
        <x:v>5.65</x:v>
      </x:c>
      <x:c r="AE72" s="9" t="str"/>
      <x:c r="AF72" s="9" t="str">
        <x:v>=</x:v>
      </x:c>
      <x:c r="AG72" s="9" t="str">
        <x:v>Ki</x:v>
      </x:c>
      <x:c r="AH72" s="11" t="n">
        <x:v>2238.72</x:v>
      </x:c>
      <x:c r="AI72" s="9" t="str">
        <x:v>nM</x:v>
      </x:c>
      <x:c r="AJ72" s="9" t="str">
        <x:v>=</x:v>
      </x:c>
      <x:c r="AK72" s="11" t="n">
        <x:v>5.65</x:v>
      </x:c>
      <x:c r="AL72" s="13" t="n">
        <x:v>0</x:v>
      </x:c>
      <x:c r="AM72" s="9" t="str"/>
      <x:c r="AN72" s="9" t="str"/>
      <x:c r="AO72" s="9" t="str">
        <x:v>https://www.ebi.ac.uk/chembl/api/data/activity/16670459.json</x:v>
      </x:c>
      <x:c r="AP72" s="9" t="str">
        <x:v>Cn1c(SCCCN2CCC3(CC3c3ccc(C(F)(F)F)cc3)C2)nnc1-c1ccn(C)c(=O)c1</x:v>
      </x:c>
      <x:c r="AQ72" s="9" t="str">
        <x:v>O=c1cc(-c2nnc(SCCCN3CCC4(CC4c4ccccc4)C3)[nH]2)cc[nH]1</x:v>
      </x:c>
      <x:c r="AR72" s="11" t="n">
        <x:v>503.59400000000016</x:v>
      </x:c>
      <x:c r="AS72" s="11" t="n">
        <x:v>4.5614000000000035</x:v>
      </x:c>
      <x:c r="AT72" s="11" t="n">
        <x:v>55.95</x:v>
      </x:c>
      <x:c r="AU72" s="13" t="n">
        <x:v>0</x:v>
      </x:c>
      <x:c r="AV72" s="13" t="n">
        <x:v>5</x:v>
      </x:c>
      <x:c r="AW72" s="9" t="str">
        <x:v>train</x:v>
      </x:c>
    </x:row>
    <x:row r="73" ht="36" customHeight="1">
      <x:c r="A73" s="14" t="str">
        <x:v>VQODXNCHOGDXSX-YKSBVNFPSA-N</x:v>
      </x:c>
      <x:c r="B73" s="14" t="str">
        <x:v>CHEMBL3963243</x:v>
      </x:c>
      <x:c r="C73" s="14" t="str">
        <x:v>CHEMBL3963243</x:v>
      </x:c>
      <x:c r="D73" s="14" t="str">
        <x:v>16670460</x:v>
      </x:c>
      <x:c r="E73" s="14" t="str">
        <x:v>16670460</x:v>
      </x:c>
      <x:c r="F73" s="14" t="str">
        <x:v>CHEMBL3855278</x:v>
      </x:c>
      <x:c r="G73" s="14" t="str">
        <x:v>CHEMBL217</x:v>
      </x:c>
      <x:c r="H73" s="14" t="str">
        <x:v>CHEMBL3853329</x:v>
      </x:c>
      <x:c r="I73" s="14" t="str">
        <x:v>Cn1c(SCCCN2CC[C@]3(C[C@@H]3c3ccc(C(F)(F)F)cc3)C2)nnc1C1CCN(C(N)=O)CC1</x:v>
      </x:c>
      <x:c r="J73" s="14" t="str">
        <x:v>Cn1c(SCCCN2CC[C@]3(C[C@@H]3c3ccc(C(F)(F)F)cc3)C2)nnc1C1CCN(C(N)=O)CC1</x:v>
      </x:c>
      <x:c r="K73" s="14" t="str">
        <x:v>source_reported_pKi</x:v>
      </x:c>
      <x:c r="L73" s="15" t="n">
        <x:v>6</x:v>
      </x:c>
      <x:c r="M73" s="15" t="n">
        <x:v>1000</x:v>
      </x:c>
      <x:c r="N73" s="15" t="n">
        <x:v>1000</x:v>
      </x:c>
      <x:c r="O73" s="15" t="n">
        <x:v>6</x:v>
      </x:c>
      <x:c r="P73" s="16" t="n">
        <x:v>0</x:v>
      </x:c>
      <x:c r="Q73" s="16" t="n">
        <x:v>0</x:v>
      </x:c>
      <x:c r="R73" s="15" t="n">
        <x:v>0.00501</x:v>
      </x:c>
      <x:c r="S73" s="14" t="str">
        <x:v>Cn1c(SCCCN2CC[C@]3(C[C@@H]3c3ccc(C(F)(F)F)cc3)C2)nnc1C1CCN(C(N)=O)CC1</x:v>
      </x:c>
      <x:c r="T73" s="14" t="str">
        <x:v>Cn1c(SCCCN2CC[C@]3(C[C@@H]3c3ccc(C(F)(F)F)cc3)C2)nnc1C1CCN(C(N)=O)CC1</x:v>
      </x:c>
      <x:c r="U73" s="14" t="str">
        <x:v>VQODXNCHOGDXSX-YKSBVNFPSA-N</x:v>
      </x:c>
      <x:c r="V73" s="14" t="str">
        <x:v>Cn1c(SCCCN2CCC3(CC3c3ccc(C(F)(F)F)cc3)C2)nnc1C1CCN(C(N)=O)CC1</x:v>
      </x:c>
      <x:c r="W73" s="14" t="str">
        <x:v>6c7a54b6a68cee04940cff96462779f9cad11b0a699b84ba141de624145d0c8f</x:v>
      </x:c>
      <x:c r="X73" s="14" t="str">
        <x:v>c1ccc(C2CC23CCN(CCCSc2nnc(C4CCNCC4)[nH]2)C3)cc1</x:v>
      </x:c>
      <x:c r="Y73" s="14" t="str">
        <x:v>False</x:v>
      </x:c>
      <x:c r="Z73" s="17" t="n">
        <x:v>1</x:v>
      </x:c>
      <x:c r="AA73" s="14" t="str">
        <x:v>include</x:v>
      </x:c>
      <x:c r="AB73" s="14" t="str"/>
      <x:c r="AC73" s="14" t="str">
        <x:v>pKi</x:v>
      </x:c>
      <x:c r="AD73" s="14" t="str">
        <x:v>6.0</x:v>
      </x:c>
      <x:c r="AE73" s="14" t="str"/>
      <x:c r="AF73" s="14" t="str">
        <x:v>=</x:v>
      </x:c>
      <x:c r="AG73" s="14" t="str">
        <x:v>Ki</x:v>
      </x:c>
      <x:c r="AH73" s="15" t="n">
        <x:v>1000</x:v>
      </x:c>
      <x:c r="AI73" s="14" t="str">
        <x:v>nM</x:v>
      </x:c>
      <x:c r="AJ73" s="14" t="str">
        <x:v>=</x:v>
      </x:c>
      <x:c r="AK73" s="15" t="n">
        <x:v>6</x:v>
      </x:c>
      <x:c r="AL73" s="17" t="n">
        <x:v>0</x:v>
      </x:c>
      <x:c r="AM73" s="14" t="str"/>
      <x:c r="AN73" s="14" t="str"/>
      <x:c r="AO73" s="14" t="str">
        <x:v>https://www.ebi.ac.uk/chembl/api/data/activity/16670460.json</x:v>
      </x:c>
      <x:c r="AP73" s="14" t="str">
        <x:v>Cn1c(SCCCN2CCC3(CC3c3ccc(C(F)(F)F)cc3)C2)nnc1C1CCN(C(N)=O)CC1</x:v>
      </x:c>
      <x:c r="AQ73" s="14" t="str">
        <x:v>c1ccc(C2CC23CCN(CCCSc2nnc(C4CCNCC4)[nH]2)C3)cc1</x:v>
      </x:c>
      <x:c r="AR73" s="15" t="n">
        <x:v>522.6410000000002</x:v>
      </x:c>
      <x:c r="AS73" s="15" t="n">
        <x:v>4.453800000000003</x:v>
      </x:c>
      <x:c r="AT73" s="15" t="n">
        <x:v>80.28</x:v>
      </x:c>
      <x:c r="AU73" s="17" t="n">
        <x:v>1</x:v>
      </x:c>
      <x:c r="AV73" s="17" t="n">
        <x:v>5</x:v>
      </x:c>
      <x:c r="AW73" s="14" t="str">
        <x:v>test</x:v>
      </x:c>
    </x:row>
    <x:row r="74" ht="36" customHeight="1">
      <x:c r="A74" s="9" t="str">
        <x:v>PPLSEYBUMZWQHS-OFNKIYASSA-N</x:v>
      </x:c>
      <x:c r="B74" s="9" t="str">
        <x:v>CHEMBL3948167</x:v>
      </x:c>
      <x:c r="C74" s="9" t="str">
        <x:v>CHEMBL3948167</x:v>
      </x:c>
      <x:c r="D74" s="9" t="str">
        <x:v>16670461</x:v>
      </x:c>
      <x:c r="E74" s="9" t="str">
        <x:v>16670461</x:v>
      </x:c>
      <x:c r="F74" s="9" t="str">
        <x:v>CHEMBL3855278</x:v>
      </x:c>
      <x:c r="G74" s="9" t="str">
        <x:v>CHEMBL217</x:v>
      </x:c>
      <x:c r="H74" s="9" t="str">
        <x:v>CHEMBL3853329</x:v>
      </x:c>
      <x:c r="I74" s="9" t="str">
        <x:v>Cn1c(SCCCN2CC[C@]3(C[C@@H]3c3ccc(C(F)(F)F)cc3)C2)nnc1C1CCOCC1</x:v>
      </x:c>
      <x:c r="J74" s="9" t="str">
        <x:v>Cn1c(SCCCN2CC[C@]3(C[C@@H]3c3ccc(C(F)(F)F)cc3)C2)nnc1C1CCOCC1</x:v>
      </x:c>
      <x:c r="K74" s="9" t="str">
        <x:v>source_reported_pKi</x:v>
      </x:c>
      <x:c r="L74" s="11" t="n">
        <x:v>6.09</x:v>
      </x:c>
      <x:c r="M74" s="11" t="n">
        <x:v>812.8305161640995</x:v>
      </x:c>
      <x:c r="N74" s="11" t="n">
        <x:v>812.83</x:v>
      </x:c>
      <x:c r="O74" s="11" t="n">
        <x:v>6.090000275786018</x:v>
      </x:c>
      <x:c r="P74" s="12" t="n">
        <x:v>2.757860180224725e-7</x:v>
      </x:c>
      <x:c r="Q74" s="12" t="n">
        <x:v>-0.0005161640995083872</x:v>
      </x:c>
      <x:c r="R74" s="11" t="n">
        <x:v>0.00501</x:v>
      </x:c>
      <x:c r="S74" s="9" t="str">
        <x:v>Cn1c(SCCCN2CC[C@]3(C[C@@H]3c3ccc(C(F)(F)F)cc3)C2)nnc1C1CCOCC1</x:v>
      </x:c>
      <x:c r="T74" s="9" t="str">
        <x:v>Cn1c(SCCCN2CC[C@]3(C[C@@H]3c3ccc(C(F)(F)F)cc3)C2)nnc1C1CCOCC1</x:v>
      </x:c>
      <x:c r="U74" s="9" t="str">
        <x:v>PPLSEYBUMZWQHS-OFNKIYASSA-N</x:v>
      </x:c>
      <x:c r="V74" s="9" t="str">
        <x:v>Cn1c(SCCCN2CCC3(CC3c3ccc(C(F)(F)F)cc3)C2)nnc1C1CCOCC1</x:v>
      </x:c>
      <x:c r="W74" s="9" t="str">
        <x:v>ef2b5648ef015e2fc73bbbe997731efe7ccd5141787e613b97931af8a4e90427</x:v>
      </x:c>
      <x:c r="X74" s="9" t="str">
        <x:v>c1ccc(C2CC23CCN(CCCSc2nnc(C4CCOCC4)[nH]2)C3)cc1</x:v>
      </x:c>
      <x:c r="Y74" s="9" t="str">
        <x:v>False</x:v>
      </x:c>
      <x:c r="Z74" s="13" t="n">
        <x:v>1</x:v>
      </x:c>
      <x:c r="AA74" s="9" t="str">
        <x:v>include</x:v>
      </x:c>
      <x:c r="AB74" s="9" t="str"/>
      <x:c r="AC74" s="9" t="str">
        <x:v>pKi</x:v>
      </x:c>
      <x:c r="AD74" s="9" t="str">
        <x:v>6.09</x:v>
      </x:c>
      <x:c r="AE74" s="9" t="str"/>
      <x:c r="AF74" s="9" t="str">
        <x:v>=</x:v>
      </x:c>
      <x:c r="AG74" s="9" t="str">
        <x:v>Ki</x:v>
      </x:c>
      <x:c r="AH74" s="11" t="n">
        <x:v>812.83</x:v>
      </x:c>
      <x:c r="AI74" s="9" t="str">
        <x:v>nM</x:v>
      </x:c>
      <x:c r="AJ74" s="9" t="str">
        <x:v>=</x:v>
      </x:c>
      <x:c r="AK74" s="11" t="n">
        <x:v>6.09</x:v>
      </x:c>
      <x:c r="AL74" s="13" t="n">
        <x:v>0</x:v>
      </x:c>
      <x:c r="AM74" s="9" t="str"/>
      <x:c r="AN74" s="9" t="str"/>
      <x:c r="AO74" s="9" t="str">
        <x:v>https://www.ebi.ac.uk/chembl/api/data/activity/16670461.json</x:v>
      </x:c>
      <x:c r="AP74" s="9" t="str">
        <x:v>Cn1c(SCCCN2CCC3(CC3c3ccc(C(F)(F)F)cc3)C2)nnc1C1CCOCC1</x:v>
      </x:c>
      <x:c r="AQ74" s="9" t="str">
        <x:v>c1ccc(C2CC23CCN(CCCSc2nnc(C4CCOCC4)[nH]2)C3)cc1</x:v>
      </x:c>
      <x:c r="AR74" s="11" t="n">
        <x:v>480.60000000000025</x:v>
      </x:c>
      <x:c r="AS74" s="11" t="n">
        <x:v>5.089700000000005</x:v>
      </x:c>
      <x:c r="AT74" s="11" t="n">
        <x:v>43.18000000000001</x:v>
      </x:c>
      <x:c r="AU74" s="13" t="n">
        <x:v>0</x:v>
      </x:c>
      <x:c r="AV74" s="13" t="n">
        <x:v>5</x:v>
      </x:c>
      <x:c r="AW74" s="9" t="str">
        <x:v>test</x:v>
      </x:c>
    </x:row>
    <x:row r="75" ht="36" customHeight="1">
      <x:c r="A75" s="14" t="str">
        <x:v>IQKUCRAAVAKXAF-CEJRHITASA-N</x:v>
      </x:c>
      <x:c r="B75" s="14" t="str">
        <x:v>CHEMBL3903779</x:v>
      </x:c>
      <x:c r="C75" s="14" t="str">
        <x:v>CHEMBL3903779</x:v>
      </x:c>
      <x:c r="D75" s="14" t="str">
        <x:v>16670462</x:v>
      </x:c>
      <x:c r="E75" s="14" t="str">
        <x:v>16670462</x:v>
      </x:c>
      <x:c r="F75" s="14" t="str">
        <x:v>CHEMBL3855278</x:v>
      </x:c>
      <x:c r="G75" s="14" t="str">
        <x:v>CHEMBL217</x:v>
      </x:c>
      <x:c r="H75" s="14" t="str">
        <x:v>CHEMBL3853329</x:v>
      </x:c>
      <x:c r="I75" s="14" t="str">
        <x:v>Cn1c(SCCCN2CC[C@]3(C[C@@H]3c3ccc(C(F)(F)F)cc3)C2)nnc1C1CC2CCC(C1)O2</x:v>
      </x:c>
      <x:c r="J75" s="14" t="str">
        <x:v>Cn1c(SCCCN2CC[C@]3(C[C@@H]3c3ccc(C(F)(F)F)cc3)C2)nnc1C1CC2CCC(C1)O2</x:v>
      </x:c>
      <x:c r="K75" s="14" t="str">
        <x:v>source_reported_pKi</x:v>
      </x:c>
      <x:c r="L75" s="15" t="n">
        <x:v>6.13</x:v>
      </x:c>
      <x:c r="M75" s="15" t="n">
        <x:v>741.3102413009177</x:v>
      </x:c>
      <x:c r="N75" s="15" t="n">
        <x:v>741.31</x:v>
      </x:c>
      <x:c r="O75" s="15" t="n">
        <x:v>6.130000141365475</x:v>
      </x:c>
      <x:c r="P75" s="16" t="n">
        <x:v>1.4136547488163842e-7</x:v>
      </x:c>
      <x:c r="Q75" s="16" t="n">
        <x:v>-0.00024130091776441986</x:v>
      </x:c>
      <x:c r="R75" s="15" t="n">
        <x:v>0.00501</x:v>
      </x:c>
      <x:c r="S75" s="14" t="str">
        <x:v>Cn1c(SCCCN2CC[C@]3(C[C@@H]3c3ccc(C(F)(F)F)cc3)C2)nnc1C1CC2CCC(C1)O2</x:v>
      </x:c>
      <x:c r="T75" s="14" t="str">
        <x:v>Cn1c(SCCCN2CC[C@]3(C[C@@H]3c3ccc(C(F)(F)F)cc3)C2)nnc1C1CC2CCC(C1)O2</x:v>
      </x:c>
      <x:c r="U75" s="14" t="str">
        <x:v>IQKUCRAAVAKXAF-CEJRHITASA-N</x:v>
      </x:c>
      <x:c r="V75" s="14" t="str">
        <x:v>Cn1c(SCCCN2CCC3(CC3c3ccc(C(F)(F)F)cc3)C2)nnc1C1CC2CCC(C1)O2</x:v>
      </x:c>
      <x:c r="W75" s="14" t="str">
        <x:v>bdd5fa7d3781d1987b3a2cb325de6a9253015e989bc479b3ac59f476f4898d09</x:v>
      </x:c>
      <x:c r="X75" s="14" t="str">
        <x:v>c1ccc(C2CC23CCN(CCCSc2nnc(C4CC5CCC(C4)O5)[nH]2)C3)cc1</x:v>
      </x:c>
      <x:c r="Y75" s="14" t="str">
        <x:v>False</x:v>
      </x:c>
      <x:c r="Z75" s="17" t="n">
        <x:v>1</x:v>
      </x:c>
      <x:c r="AA75" s="14" t="str">
        <x:v>include</x:v>
      </x:c>
      <x:c r="AB75" s="14" t="str"/>
      <x:c r="AC75" s="14" t="str">
        <x:v>pKi</x:v>
      </x:c>
      <x:c r="AD75" s="14" t="str">
        <x:v>6.13</x:v>
      </x:c>
      <x:c r="AE75" s="14" t="str"/>
      <x:c r="AF75" s="14" t="str">
        <x:v>=</x:v>
      </x:c>
      <x:c r="AG75" s="14" t="str">
        <x:v>Ki</x:v>
      </x:c>
      <x:c r="AH75" s="15" t="n">
        <x:v>741.31</x:v>
      </x:c>
      <x:c r="AI75" s="14" t="str">
        <x:v>nM</x:v>
      </x:c>
      <x:c r="AJ75" s="14" t="str">
        <x:v>=</x:v>
      </x:c>
      <x:c r="AK75" s="15" t="n">
        <x:v>6.13</x:v>
      </x:c>
      <x:c r="AL75" s="17" t="n">
        <x:v>0</x:v>
      </x:c>
      <x:c r="AM75" s="14" t="str"/>
      <x:c r="AN75" s="14" t="str"/>
      <x:c r="AO75" s="14" t="str">
        <x:v>https://www.ebi.ac.uk/chembl/api/data/activity/16670462.json</x:v>
      </x:c>
      <x:c r="AP75" s="14" t="str">
        <x:v>Cn1c(SCCCN2CCC3(CC3c3ccc(C(F)(F)F)cc3)C2)nnc1C1CC2CCC(C1)O2</x:v>
      </x:c>
      <x:c r="AQ75" s="14" t="str">
        <x:v>c1ccc(C2CC23CCN(CCCSc2nnc(C4CC5CCC(C4)O5)[nH]2)C3)cc1</x:v>
      </x:c>
      <x:c r="AR75" s="15" t="n">
        <x:v>506.63800000000026</x:v>
      </x:c>
      <x:c r="AS75" s="15" t="n">
        <x:v>5.620700000000006</x:v>
      </x:c>
      <x:c r="AT75" s="15" t="n">
        <x:v>43.18000000000001</x:v>
      </x:c>
      <x:c r="AU75" s="17" t="n">
        <x:v>0</x:v>
      </x:c>
      <x:c r="AV75" s="17" t="n">
        <x:v>5</x:v>
      </x:c>
      <x:c r="AW75" s="14" t="str">
        <x:v>train</x:v>
      </x:c>
    </x:row>
    <x:row r="76" ht="36" customHeight="1">
      <x:c r="A76" s="9" t="str">
        <x:v>CTRVTEOXKBMCKO-QPPBQGQZSA-N</x:v>
      </x:c>
      <x:c r="B76" s="9" t="str">
        <x:v>CHEMBL3958201</x:v>
      </x:c>
      <x:c r="C76" s="9" t="str">
        <x:v>CHEMBL3958201</x:v>
      </x:c>
      <x:c r="D76" s="9" t="str">
        <x:v>16670463</x:v>
      </x:c>
      <x:c r="E76" s="9" t="str">
        <x:v>16670463</x:v>
      </x:c>
      <x:c r="F76" s="9" t="str">
        <x:v>CHEMBL3855278</x:v>
      </x:c>
      <x:c r="G76" s="9" t="str">
        <x:v>CHEMBL217</x:v>
      </x:c>
      <x:c r="H76" s="9" t="str">
        <x:v>CHEMBL3853329</x:v>
      </x:c>
      <x:c r="I76" s="9" t="str">
        <x:v>Cn1c(SCCCN2CC[C@]3(C[C@@H]3c3ccc(C(F)(F)F)cc3)C2)nnc1C1CCCCC1</x:v>
      </x:c>
      <x:c r="J76" s="9" t="str">
        <x:v>Cn1c(SCCCN2CC[C@]3(C[C@@H]3c3ccc(C(F)(F)F)cc3)C2)nnc1C1CCCCC1</x:v>
      </x:c>
      <x:c r="K76" s="9" t="str">
        <x:v>source_reported_pKi</x:v>
      </x:c>
      <x:c r="L76" s="11" t="n">
        <x:v>6.23</x:v>
      </x:c>
      <x:c r="M76" s="11" t="n">
        <x:v>588.8436553555883</x:v>
      </x:c>
      <x:c r="N76" s="11" t="n">
        <x:v>588.84</x:v>
      </x:c>
      <x:c r="O76" s="11" t="n">
        <x:v>6.23000269597146</x:v>
      </x:c>
      <x:c r="P76" s="12" t="n">
        <x:v>0.0000026959714594099182</x:v>
      </x:c>
      <x:c r="Q76" s="12" t="n">
        <x:v>-0.0036553555883074296</x:v>
      </x:c>
      <x:c r="R76" s="11" t="n">
        <x:v>0.00501</x:v>
      </x:c>
      <x:c r="S76" s="9" t="str">
        <x:v>Cn1c(SCCCN2CC[C@]3(C[C@@H]3c3ccc(C(F)(F)F)cc3)C2)nnc1C1CCCCC1</x:v>
      </x:c>
      <x:c r="T76" s="9" t="str">
        <x:v>Cn1c(SCCCN2CC[C@]3(C[C@@H]3c3ccc(C(F)(F)F)cc3)C2)nnc1C1CCCCC1</x:v>
      </x:c>
      <x:c r="U76" s="9" t="str">
        <x:v>CTRVTEOXKBMCKO-QPPBQGQZSA-N</x:v>
      </x:c>
      <x:c r="V76" s="9" t="str">
        <x:v>Cn1c(SCCCN2CCC3(CC3c3ccc(C(F)(F)F)cc3)C2)nnc1C1CCCCC1</x:v>
      </x:c>
      <x:c r="W76" s="9" t="str">
        <x:v>cf2f0ebf1c808b5ef998e9f5738b6bf81257897524fbd6b02f5c5df935a83363</x:v>
      </x:c>
      <x:c r="X76" s="9" t="str">
        <x:v>c1ccc(C2CC23CCN(CCCSc2nnc(C4CCCCC4)[nH]2)C3)cc1</x:v>
      </x:c>
      <x:c r="Y76" s="9" t="str">
        <x:v>False</x:v>
      </x:c>
      <x:c r="Z76" s="13" t="n">
        <x:v>1</x:v>
      </x:c>
      <x:c r="AA76" s="9" t="str">
        <x:v>include</x:v>
      </x:c>
      <x:c r="AB76" s="9" t="str"/>
      <x:c r="AC76" s="9" t="str">
        <x:v>pKi</x:v>
      </x:c>
      <x:c r="AD76" s="9" t="str">
        <x:v>6.23</x:v>
      </x:c>
      <x:c r="AE76" s="9" t="str"/>
      <x:c r="AF76" s="9" t="str">
        <x:v>=</x:v>
      </x:c>
      <x:c r="AG76" s="9" t="str">
        <x:v>Ki</x:v>
      </x:c>
      <x:c r="AH76" s="11" t="n">
        <x:v>588.84</x:v>
      </x:c>
      <x:c r="AI76" s="9" t="str">
        <x:v>nM</x:v>
      </x:c>
      <x:c r="AJ76" s="9" t="str">
        <x:v>=</x:v>
      </x:c>
      <x:c r="AK76" s="11" t="n">
        <x:v>6.23</x:v>
      </x:c>
      <x:c r="AL76" s="13" t="n">
        <x:v>0</x:v>
      </x:c>
      <x:c r="AM76" s="9" t="str"/>
      <x:c r="AN76" s="9" t="str"/>
      <x:c r="AO76" s="9" t="str">
        <x:v>https://www.ebi.ac.uk/chembl/api/data/activity/16670463.json</x:v>
      </x:c>
      <x:c r="AP76" s="9" t="str">
        <x:v>Cn1c(SCCCN2CCC3(CC3c3ccc(C(F)(F)F)cc3)C2)nnc1C1CCCCC1</x:v>
      </x:c>
      <x:c r="AQ76" s="9" t="str">
        <x:v>c1ccc(C2CC23CCN(CCCSc2nnc(C4CCCCC4)[nH]2)C3)cc1</x:v>
      </x:c>
      <x:c r="AR76" s="11" t="n">
        <x:v>478.62800000000027</x:v>
      </x:c>
      <x:c r="AS76" s="11" t="n">
        <x:v>6.2434000000000065</x:v>
      </x:c>
      <x:c r="AT76" s="11" t="n">
        <x:v>33.95</x:v>
      </x:c>
      <x:c r="AU76" s="13" t="n">
        <x:v>0</x:v>
      </x:c>
      <x:c r="AV76" s="13" t="n">
        <x:v>4</x:v>
      </x:c>
      <x:c r="AW76" s="9" t="str">
        <x:v>train</x:v>
      </x:c>
    </x:row>
    <x:row r="77" ht="36" customHeight="1">
      <x:c r="A77" s="14" t="str">
        <x:v>OMUDHMBLKINCCX-XXBNENTESA-N</x:v>
      </x:c>
      <x:c r="B77" s="14" t="str">
        <x:v>CHEMBL3897772</x:v>
      </x:c>
      <x:c r="C77" s="14" t="str">
        <x:v>CHEMBL3897772</x:v>
      </x:c>
      <x:c r="D77" s="14" t="str">
        <x:v>16670719</x:v>
      </x:c>
      <x:c r="E77" s="14" t="str">
        <x:v>16670719</x:v>
      </x:c>
      <x:c r="F77" s="14" t="str">
        <x:v>CHEMBL3855278</x:v>
      </x:c>
      <x:c r="G77" s="14" t="str">
        <x:v>CHEMBL217</x:v>
      </x:c>
      <x:c r="H77" s="14" t="str">
        <x:v>CHEMBL3853329</x:v>
      </x:c>
      <x:c r="I77" s="14" t="str">
        <x:v>Cn1c(SCCCN2CC[C@]3(C[C@@H]3c3ccc(C(F)(F)F)cc3)C2)nnc1C1=CC=NC(=O)C1</x:v>
      </x:c>
      <x:c r="J77" s="14" t="str">
        <x:v>Cn1c(SCCCN2CC[C@]3(C[C@@H]3c3ccc(C(F)(F)F)cc3)C2)nnc1C1=CC=NC(=O)C1</x:v>
      </x:c>
      <x:c r="K77" s="14" t="str">
        <x:v>source_reported_pKi</x:v>
      </x:c>
      <x:c r="L77" s="15" t="n">
        <x:v>5.84</x:v>
      </x:c>
      <x:c r="M77" s="15" t="n">
        <x:v>1445.439770745928</x:v>
      </x:c>
      <x:c r="N77" s="15" t="n">
        <x:v>1445.44</x:v>
      </x:c>
      <x:c r="O77" s="15" t="n">
        <x:v>5.839999931118699</x:v>
      </x:c>
      <x:c r="P77" s="16" t="n">
        <x:v>-6.888130066329268e-8</x:v>
      </x:c>
      <x:c r="Q77" s="16" t="n">
        <x:v>0.00022925407211005222</x:v>
      </x:c>
      <x:c r="R77" s="15" t="n">
        <x:v>0.00501</x:v>
      </x:c>
      <x:c r="S77" s="14" t="str">
        <x:v>Cn1c(SCCCN2CC[C@]3(C[C@@H]3c3ccc(C(F)(F)F)cc3)C2)nnc1C1=CC=NC(=O)C1</x:v>
      </x:c>
      <x:c r="T77" s="14" t="str">
        <x:v>Cn1c(SCCCN2CC[C@]3(C[C@@H]3c3ccc(C(F)(F)F)cc3)C2)nnc1C1=CC=NC(=O)C1</x:v>
      </x:c>
      <x:c r="U77" s="14" t="str">
        <x:v>OMUDHMBLKINCCX-XXBNENTESA-N</x:v>
      </x:c>
      <x:c r="V77" s="14" t="str">
        <x:v>Cn1c(SCCCN2CCC3(CC3c3ccc(C(F)(F)F)cc3)C2)nnc1C1=CC=NC(=O)C1</x:v>
      </x:c>
      <x:c r="W77" s="14" t="str">
        <x:v>cccbbf0fae3970d9d17e8de18e7166b8b94d878b82a3c5ad227be7231fd166b3</x:v>
      </x:c>
      <x:c r="X77" s="14" t="str">
        <x:v>O=C1CC(c2nnc(SCCCN3CCC4(CC4c4ccccc4)C3)[nH]2)=CC=N1</x:v>
      </x:c>
      <x:c r="Y77" s="14" t="str">
        <x:v>False</x:v>
      </x:c>
      <x:c r="Z77" s="17" t="n">
        <x:v>1</x:v>
      </x:c>
      <x:c r="AA77" s="14" t="str">
        <x:v>include</x:v>
      </x:c>
      <x:c r="AB77" s="14" t="str"/>
      <x:c r="AC77" s="14" t="str">
        <x:v>pKi</x:v>
      </x:c>
      <x:c r="AD77" s="14" t="str">
        <x:v>5.84</x:v>
      </x:c>
      <x:c r="AE77" s="14" t="str"/>
      <x:c r="AF77" s="14" t="str">
        <x:v>=</x:v>
      </x:c>
      <x:c r="AG77" s="14" t="str">
        <x:v>Ki</x:v>
      </x:c>
      <x:c r="AH77" s="15" t="n">
        <x:v>1445.44</x:v>
      </x:c>
      <x:c r="AI77" s="14" t="str">
        <x:v>nM</x:v>
      </x:c>
      <x:c r="AJ77" s="14" t="str">
        <x:v>=</x:v>
      </x:c>
      <x:c r="AK77" s="15" t="n">
        <x:v>5.84</x:v>
      </x:c>
      <x:c r="AL77" s="17" t="n">
        <x:v>0</x:v>
      </x:c>
      <x:c r="AM77" s="14" t="str"/>
      <x:c r="AN77" s="14" t="str"/>
      <x:c r="AO77" s="14" t="str">
        <x:v>https://www.ebi.ac.uk/chembl/api/data/activity/16670719.json</x:v>
      </x:c>
      <x:c r="AP77" s="14" t="str">
        <x:v>Cn1c(SCCCN2CCC3(CC3c3ccc(C(F)(F)F)cc3)C2)nnc1C1=CC=NC(=O)C1</x:v>
      </x:c>
      <x:c r="AQ77" s="14" t="str">
        <x:v>O=C1CC(c2nnc(SCCCN3CCC4(CC4c4ccccc4)C3)[nH]2)=CC=N1</x:v>
      </x:c>
      <x:c r="AR77" s="15" t="n">
        <x:v>489.5670000000002</x:v>
      </x:c>
      <x:c r="AS77" s="15" t="n">
        <x:v>4.580200000000004</x:v>
      </x:c>
      <x:c r="AT77" s="15" t="n">
        <x:v>63.38</x:v>
      </x:c>
      <x:c r="AU77" s="17" t="n">
        <x:v>0</x:v>
      </x:c>
      <x:c r="AV77" s="17" t="n">
        <x:v>5</x:v>
      </x:c>
      <x:c r="AW77" s="14" t="str">
        <x:v>train</x:v>
      </x:c>
    </x:row>
    <x:row r="78" ht="36" customHeight="1">
      <x:c r="A78" s="9" t="str">
        <x:v>QDBPUGDJXGIOJW-HFYIJGDASA-N</x:v>
      </x:c>
      <x:c r="B78" s="9" t="str">
        <x:v>CHEMBL3912801</x:v>
      </x:c>
      <x:c r="C78" s="9" t="str">
        <x:v>CHEMBL3912801</x:v>
      </x:c>
      <x:c r="D78" s="9" t="str">
        <x:v>16670720</x:v>
      </x:c>
      <x:c r="E78" s="9" t="str">
        <x:v>16670720</x:v>
      </x:c>
      <x:c r="F78" s="9" t="str">
        <x:v>CHEMBL3855278</x:v>
      </x:c>
      <x:c r="G78" s="9" t="str">
        <x:v>CHEMBL217</x:v>
      </x:c>
      <x:c r="H78" s="9" t="str">
        <x:v>CHEMBL3853329</x:v>
      </x:c>
      <x:c r="I78" s="9" t="str">
        <x:v>CC(=O)NC1CCC(c2nnc(SCCCN3CC[C@]4(C[C@@H]4c4ccc(C(F)(F)F)cc4)C3)n2C)CC1</x:v>
      </x:c>
      <x:c r="J78" s="9" t="str">
        <x:v>CC(=O)NC1CCC(c2nnc(SCCCN3CC[C@]4(C[C@@H]4c4ccc(C(F)(F)F)cc4)C3)n2C)CC1</x:v>
      </x:c>
      <x:c r="K78" s="9" t="str">
        <x:v>source_reported_pKi</x:v>
      </x:c>
      <x:c r="L78" s="11" t="n">
        <x:v>6.34</x:v>
      </x:c>
      <x:c r="M78" s="11" t="n">
        <x:v>457.0881896148752</x:v>
      </x:c>
      <x:c r="N78" s="11" t="n">
        <x:v>457.09</x:v>
      </x:c>
      <x:c r="O78" s="11" t="n">
        <x:v>6.339998279897117</x:v>
      </x:c>
      <x:c r="P78" s="12" t="n">
        <x:v>-0.0000017201028832403154</x:v>
      </x:c>
      <x:c r="Q78" s="12" t="n">
        <x:v>0.0018103851247701641</x:v>
      </x:c>
      <x:c r="R78" s="11" t="n">
        <x:v>0.00501</x:v>
      </x:c>
      <x:c r="S78" s="9" t="str">
        <x:v>CC(=O)NC1CCC(c2nnc(SCCCN3CC[C@]4(C[C@@H]4c4ccc(C(F)(F)F)cc4)C3)n2C)CC1</x:v>
      </x:c>
      <x:c r="T78" s="9" t="str">
        <x:v>CC(=O)NC1CCC(c2nnc(SCCCN3CC[C@]4(C[C@@H]4c4ccc(C(F)(F)F)cc4)C3)n2C)CC1</x:v>
      </x:c>
      <x:c r="U78" s="9" t="str">
        <x:v>QDBPUGDJXGIOJW-HFYIJGDASA-N</x:v>
      </x:c>
      <x:c r="V78" s="9" t="str">
        <x:v>CC(=O)NC1CCC(c2nnc(SCCCN3CCC4(CC4c4ccc(C(F)(F)F)cc4)C3)n2C)CC1</x:v>
      </x:c>
      <x:c r="W78" s="9" t="str">
        <x:v>f8c1fa3b8e3e447250d3dcd79e0bd98e79a53dd53ebb646cc1103feba1c01c05</x:v>
      </x:c>
      <x:c r="X78" s="9" t="str">
        <x:v>c1ccc(C2CC23CCN(CCCSc2nnc(C4CCCCC4)[nH]2)C3)cc1</x:v>
      </x:c>
      <x:c r="Y78" s="9" t="str">
        <x:v>False</x:v>
      </x:c>
      <x:c r="Z78" s="13" t="n">
        <x:v>1</x:v>
      </x:c>
      <x:c r="AA78" s="9" t="str">
        <x:v>include</x:v>
      </x:c>
      <x:c r="AB78" s="9" t="str"/>
      <x:c r="AC78" s="9" t="str">
        <x:v>pKi</x:v>
      </x:c>
      <x:c r="AD78" s="9" t="str">
        <x:v>6.34</x:v>
      </x:c>
      <x:c r="AE78" s="9" t="str"/>
      <x:c r="AF78" s="9" t="str">
        <x:v>=</x:v>
      </x:c>
      <x:c r="AG78" s="9" t="str">
        <x:v>Ki</x:v>
      </x:c>
      <x:c r="AH78" s="11" t="n">
        <x:v>457.09</x:v>
      </x:c>
      <x:c r="AI78" s="9" t="str">
        <x:v>nM</x:v>
      </x:c>
      <x:c r="AJ78" s="9" t="str">
        <x:v>=</x:v>
      </x:c>
      <x:c r="AK78" s="11" t="n">
        <x:v>6.34</x:v>
      </x:c>
      <x:c r="AL78" s="13" t="n">
        <x:v>0</x:v>
      </x:c>
      <x:c r="AM78" s="9" t="str"/>
      <x:c r="AN78" s="9" t="str"/>
      <x:c r="AO78" s="9" t="str">
        <x:v>https://www.ebi.ac.uk/chembl/api/data/activity/16670720.json</x:v>
      </x:c>
      <x:c r="AP78" s="9" t="str">
        <x:v>CC(=O)NC1CCC(c2nnc(SCCCN3CCC4(CC4c4ccc(C(F)(F)F)cc4)C3)n2C)CC1</x:v>
      </x:c>
      <x:c r="AQ78" s="9" t="str">
        <x:v>c1ccc(C2CC23CCN(CCCSc2nnc(C4CCCCC4)[nH]2)C3)cc1</x:v>
      </x:c>
      <x:c r="AR78" s="11" t="n">
        <x:v>535.6800000000002</x:v>
      </x:c>
      <x:c r="AS78" s="11" t="n">
        <x:v>5.358000000000005</x:v>
      </x:c>
      <x:c r="AT78" s="11" t="n">
        <x:v>63.050000000000004</x:v>
      </x:c>
      <x:c r="AU78" s="13" t="n">
        <x:v>1</x:v>
      </x:c>
      <x:c r="AV78" s="13" t="n">
        <x:v>5</x:v>
      </x:c>
      <x:c r="AW78" s="9" t="str">
        <x:v>train</x:v>
      </x:c>
    </x:row>
    <x:row r="79" ht="36" customHeight="1">
      <x:c r="A79" s="14" t="str">
        <x:v>DRMNJQDZXRGJRN-YKSBVNFPSA-N</x:v>
      </x:c>
      <x:c r="B79" s="14" t="str">
        <x:v>CHEMBL3922838</x:v>
      </x:c>
      <x:c r="C79" s="14" t="str">
        <x:v>CHEMBL3922838</x:v>
      </x:c>
      <x:c r="D79" s="14" t="str">
        <x:v>16670825</x:v>
      </x:c>
      <x:c r="E79" s="14" t="str">
        <x:v>16670825</x:v>
      </x:c>
      <x:c r="F79" s="14" t="str">
        <x:v>CHEMBL3855278</x:v>
      </x:c>
      <x:c r="G79" s="14" t="str">
        <x:v>CHEMBL217</x:v>
      </x:c>
      <x:c r="H79" s="14" t="str">
        <x:v>CHEMBL3853329</x:v>
      </x:c>
      <x:c r="I79" s="14" t="str">
        <x:v>Cn1c(SCCCN2CC[C@]3(C[C@@H]3c3ccc(C(F)(F)F)cc3)C2)nnc1-c1ccc(=O)n(C)c1</x:v>
      </x:c>
      <x:c r="J79" s="14" t="str">
        <x:v>Cn1c(SCCCN2CC[C@]3(C[C@@H]3c3ccc(C(F)(F)F)cc3)C2)nnc1-c1ccc(=O)n(C)c1</x:v>
      </x:c>
      <x:c r="K79" s="14" t="str">
        <x:v>source_reported_pKi</x:v>
      </x:c>
      <x:c r="L79" s="15" t="n">
        <x:v>6.06</x:v>
      </x:c>
      <x:c r="M79" s="15" t="n">
        <x:v>870.9635899560815</x:v>
      </x:c>
      <x:c r="N79" s="15" t="n">
        <x:v>870.96</x:v>
      </x:c>
      <x:c r="O79" s="15" t="n">
        <x:v>6.060001790087838</x:v>
      </x:c>
      <x:c r="P79" s="16" t="n">
        <x:v>0.000001790087837960641</x:v>
      </x:c>
      <x:c r="Q79" s="16" t="n">
        <x:v>-0.0035899560814414144</x:v>
      </x:c>
      <x:c r="R79" s="15" t="n">
        <x:v>0.00501</x:v>
      </x:c>
      <x:c r="S79" s="14" t="str">
        <x:v>Cn1c(SCCCN2CC[C@]3(C[C@@H]3c3ccc(C(F)(F)F)cc3)C2)nnc1-c1ccc(=O)n(C)c1</x:v>
      </x:c>
      <x:c r="T79" s="14" t="str">
        <x:v>Cn1c(SCCCN2CC[C@]3(C[C@@H]3c3ccc(C(F)(F)F)cc3)C2)nnc1-c1ccc(=O)n(C)c1</x:v>
      </x:c>
      <x:c r="U79" s="14" t="str">
        <x:v>DRMNJQDZXRGJRN-YKSBVNFPSA-N</x:v>
      </x:c>
      <x:c r="V79" s="14" t="str">
        <x:v>Cn1c(SCCCN2CCC3(CC3c3ccc(C(F)(F)F)cc3)C2)nnc1-c1ccc(=O)n(C)c1</x:v>
      </x:c>
      <x:c r="W79" s="14" t="str">
        <x:v>40a3605ec6b3fe54f63d1c7837d2a407e24bf51f60e9de4ed7e8c205962b66ac</x:v>
      </x:c>
      <x:c r="X79" s="14" t="str">
        <x:v>O=c1ccc(-c2nnc(SCCCN3CCC4(CC4c4ccccc4)C3)[nH]2)c[nH]1</x:v>
      </x:c>
      <x:c r="Y79" s="14" t="str">
        <x:v>False</x:v>
      </x:c>
      <x:c r="Z79" s="17" t="n">
        <x:v>1</x:v>
      </x:c>
      <x:c r="AA79" s="14" t="str">
        <x:v>include</x:v>
      </x:c>
      <x:c r="AB79" s="14" t="str"/>
      <x:c r="AC79" s="14" t="str">
        <x:v>pKi</x:v>
      </x:c>
      <x:c r="AD79" s="14" t="str">
        <x:v>6.06</x:v>
      </x:c>
      <x:c r="AE79" s="14" t="str"/>
      <x:c r="AF79" s="14" t="str">
        <x:v>=</x:v>
      </x:c>
      <x:c r="AG79" s="14" t="str">
        <x:v>Ki</x:v>
      </x:c>
      <x:c r="AH79" s="15" t="n">
        <x:v>870.96</x:v>
      </x:c>
      <x:c r="AI79" s="14" t="str">
        <x:v>nM</x:v>
      </x:c>
      <x:c r="AJ79" s="14" t="str">
        <x:v>=</x:v>
      </x:c>
      <x:c r="AK79" s="15" t="n">
        <x:v>6.06</x:v>
      </x:c>
      <x:c r="AL79" s="17" t="n">
        <x:v>0</x:v>
      </x:c>
      <x:c r="AM79" s="14" t="str"/>
      <x:c r="AN79" s="14" t="str"/>
      <x:c r="AO79" s="14" t="str">
        <x:v>https://www.ebi.ac.uk/chembl/api/data/activity/16670825.json</x:v>
      </x:c>
      <x:c r="AP79" s="14" t="str">
        <x:v>Cn1c(SCCCN2CCC3(CC3c3ccc(C(F)(F)F)cc3)C2)nnc1-c1ccc(=O)n(C)c1</x:v>
      </x:c>
      <x:c r="AQ79" s="14" t="str">
        <x:v>O=c1ccc(-c2nnc(SCCCN3CCC4(CC4c4ccccc4)C3)[nH]2)c[nH]1</x:v>
      </x:c>
      <x:c r="AR79" s="15" t="n">
        <x:v>503.59400000000016</x:v>
      </x:c>
      <x:c r="AS79" s="15" t="n">
        <x:v>4.561400000000004</x:v>
      </x:c>
      <x:c r="AT79" s="15" t="n">
        <x:v>55.95</x:v>
      </x:c>
      <x:c r="AU79" s="17" t="n">
        <x:v>0</x:v>
      </x:c>
      <x:c r="AV79" s="17" t="n">
        <x:v>5</x:v>
      </x:c>
      <x:c r="AW79" s="14" t="str">
        <x:v>train</x:v>
      </x:c>
    </x:row>
    <x:row r="80" ht="36" customHeight="1">
      <x:c r="A80" s="9" t="str">
        <x:v>ARSLLTCMIOZESX-PNYWAOBFSA-N</x:v>
      </x:c>
      <x:c r="B80" s="9" t="str">
        <x:v>CHEMBL3913849</x:v>
      </x:c>
      <x:c r="C80" s="9" t="str">
        <x:v>CHEMBL3913849</x:v>
      </x:c>
      <x:c r="D80" s="9" t="str">
        <x:v>16670842</x:v>
      </x:c>
      <x:c r="E80" s="9" t="str">
        <x:v>16670842</x:v>
      </x:c>
      <x:c r="F80" s="9" t="str">
        <x:v>CHEMBL3855278</x:v>
      </x:c>
      <x:c r="G80" s="9" t="str">
        <x:v>CHEMBL217</x:v>
      </x:c>
      <x:c r="H80" s="9" t="str">
        <x:v>CHEMBL3853329</x:v>
      </x:c>
      <x:c r="I80" s="9" t="str">
        <x:v>Cn1c(SCCCN2CC[C@]3(C[C@@H]3c3ccc(C(F)(F)F)cc3)C2)nnc1C1CCNC(=O)C1</x:v>
      </x:c>
      <x:c r="J80" s="9" t="str">
        <x:v>Cn1c(SCCCN2CC[C@]3(C[C@@H]3c3ccc(C(F)(F)F)cc3)C2)nnc1C1CCNC(=O)C1</x:v>
      </x:c>
      <x:c r="K80" s="9" t="str">
        <x:v>source_reported_pKi</x:v>
      </x:c>
      <x:c r="L80" s="11" t="n">
        <x:v>5.87</x:v>
      </x:c>
      <x:c r="M80" s="11" t="n">
        <x:v>1348.9628825916532</x:v>
      </x:c>
      <x:c r="N80" s="11" t="n">
        <x:v>1348.96</x:v>
      </x:c>
      <x:c r="O80" s="11" t="n">
        <x:v>5.8700009280425745</x:v>
      </x:c>
      <x:c r="P80" s="12" t="n">
        <x:v>9.280425743440901e-7</x:v>
      </x:c>
      <x:c r="Q80" s="12" t="n">
        <x:v>-0.002882591653133204</x:v>
      </x:c>
      <x:c r="R80" s="11" t="n">
        <x:v>0.00501</x:v>
      </x:c>
      <x:c r="S80" s="9" t="str">
        <x:v>Cn1c(SCCCN2CC[C@]3(C[C@@H]3c3ccc(C(F)(F)F)cc3)C2)nnc1C1CCNC(=O)C1</x:v>
      </x:c>
      <x:c r="T80" s="9" t="str">
        <x:v>Cn1c(SCCCN2CC[C@]3(C[C@@H]3c3ccc(C(F)(F)F)cc3)C2)nnc1C1CCNC(=O)C1</x:v>
      </x:c>
      <x:c r="U80" s="9" t="str">
        <x:v>ARSLLTCMIOZESX-PNYWAOBFSA-N</x:v>
      </x:c>
      <x:c r="V80" s="9" t="str">
        <x:v>Cn1c(SCCCN2CCC3(CC3c3ccc(C(F)(F)F)cc3)C2)nnc1C1CCNC(=O)C1</x:v>
      </x:c>
      <x:c r="W80" s="9" t="str">
        <x:v>4e25398992b4a0f1cd2ffb850744ec425120da51f697ab458e4135f17c747d8e</x:v>
      </x:c>
      <x:c r="X80" s="9" t="str">
        <x:v>O=C1CC(c2nnc(SCCCN3CCC4(CC4c4ccccc4)C3)[nH]2)CCN1</x:v>
      </x:c>
      <x:c r="Y80" s="9" t="str">
        <x:v>False</x:v>
      </x:c>
      <x:c r="Z80" s="13" t="n">
        <x:v>1</x:v>
      </x:c>
      <x:c r="AA80" s="9" t="str">
        <x:v>include</x:v>
      </x:c>
      <x:c r="AB80" s="9" t="str"/>
      <x:c r="AC80" s="9" t="str">
        <x:v>pKi</x:v>
      </x:c>
      <x:c r="AD80" s="9" t="str">
        <x:v>5.87</x:v>
      </x:c>
      <x:c r="AE80" s="9" t="str"/>
      <x:c r="AF80" s="9" t="str">
        <x:v>=</x:v>
      </x:c>
      <x:c r="AG80" s="9" t="str">
        <x:v>Ki</x:v>
      </x:c>
      <x:c r="AH80" s="11" t="n">
        <x:v>1348.96</x:v>
      </x:c>
      <x:c r="AI80" s="9" t="str">
        <x:v>nM</x:v>
      </x:c>
      <x:c r="AJ80" s="9" t="str">
        <x:v>=</x:v>
      </x:c>
      <x:c r="AK80" s="11" t="n">
        <x:v>5.87</x:v>
      </x:c>
      <x:c r="AL80" s="13" t="n">
        <x:v>0</x:v>
      </x:c>
      <x:c r="AM80" s="9" t="str"/>
      <x:c r="AN80" s="9" t="str"/>
      <x:c r="AO80" s="9" t="str">
        <x:v>https://www.ebi.ac.uk/chembl/api/data/activity/16670842.json</x:v>
      </x:c>
      <x:c r="AP80" s="9" t="str">
        <x:v>Cn1c(SCCCN2CCC3(CC3c3ccc(C(F)(F)F)cc3)C2)nnc1C1CCNC(=O)C1</x:v>
      </x:c>
      <x:c r="AQ80" s="9" t="str">
        <x:v>O=C1CC(c2nnc(SCCCN3CCC4(CC4c4ccccc4)C3)[nH]2)CCN1</x:v>
      </x:c>
      <x:c r="AR80" s="11" t="n">
        <x:v>493.5990000000002</x:v>
      </x:c>
      <x:c r="AS80" s="11" t="n">
        <x:v>4.189300000000003</x:v>
      </x:c>
      <x:c r="AT80" s="11" t="n">
        <x:v>63.050000000000004</x:v>
      </x:c>
      <x:c r="AU80" s="13" t="n">
        <x:v>1</x:v>
      </x:c>
      <x:c r="AV80" s="13" t="n">
        <x:v>5</x:v>
      </x:c>
      <x:c r="AW80" s="9" t="str">
        <x:v>train</x:v>
      </x:c>
    </x:row>
    <x:row r="81" ht="36" customHeight="1">
      <x:c r="A81" s="14" t="str">
        <x:v>AWSNADYOKQXJRZ-BTNBVRMJSA-N</x:v>
      </x:c>
      <x:c r="B81" s="14" t="str">
        <x:v>CHEMBL3983684</x:v>
      </x:c>
      <x:c r="C81" s="14" t="str">
        <x:v>CHEMBL3983684</x:v>
      </x:c>
      <x:c r="D81" s="14" t="str">
        <x:v>16670852</x:v>
      </x:c>
      <x:c r="E81" s="14" t="str">
        <x:v>16670852</x:v>
      </x:c>
      <x:c r="F81" s="14" t="str">
        <x:v>CHEMBL3855278</x:v>
      </x:c>
      <x:c r="G81" s="14" t="str">
        <x:v>CHEMBL217</x:v>
      </x:c>
      <x:c r="H81" s="14" t="str">
        <x:v>CHEMBL3853329</x:v>
      </x:c>
      <x:c r="I81" s="14" t="str">
        <x:v>CN1CCC(c2nnc(SCCCN3CC[C@]4(C[C@@H]4c4ccc(C(F)(F)F)cc4)C3)n2C)CC1=O</x:v>
      </x:c>
      <x:c r="J81" s="14" t="str">
        <x:v>CN1CCC(c2nnc(SCCCN3CC[C@]4(C[C@@H]4c4ccc(C(F)(F)F)cc4)C3)n2C)CC1=O</x:v>
      </x:c>
      <x:c r="K81" s="14" t="str">
        <x:v>source_reported_pKi</x:v>
      </x:c>
      <x:c r="L81" s="15" t="n">
        <x:v>5.77</x:v>
      </x:c>
      <x:c r="M81" s="15" t="n">
        <x:v>1698.243652461746</x:v>
      </x:c>
      <x:c r="N81" s="15" t="n">
        <x:v>1698.24</x:v>
      </x:c>
      <x:c r="O81" s="15" t="n">
        <x:v>5.770000934050708</x:v>
      </x:c>
      <x:c r="P81" s="16" t="n">
        <x:v>9.340507087784999e-7</x:v>
      </x:c>
      <x:c r="Q81" s="16" t="n">
        <x:v>-0.0036524617460145237</x:v>
      </x:c>
      <x:c r="R81" s="15" t="n">
        <x:v>0.00501</x:v>
      </x:c>
      <x:c r="S81" s="14" t="str">
        <x:v>CN1CCC(c2nnc(SCCCN3CC[C@]4(C[C@@H]4c4ccc(C(F)(F)F)cc4)C3)n2C)CC1=O</x:v>
      </x:c>
      <x:c r="T81" s="14" t="str">
        <x:v>CN1CCC(c2nnc(SCCCN3CC[C@]4(C[C@@H]4c4ccc(C(F)(F)F)cc4)C3)n2C)CC1=O</x:v>
      </x:c>
      <x:c r="U81" s="14" t="str">
        <x:v>AWSNADYOKQXJRZ-BTNBVRMJSA-N</x:v>
      </x:c>
      <x:c r="V81" s="14" t="str">
        <x:v>CN1CCC(c2nnc(SCCCN3CCC4(CC4c4ccc(C(F)(F)F)cc4)C3)n2C)CC1=O</x:v>
      </x:c>
      <x:c r="W81" s="14" t="str">
        <x:v>1900a1fc3b79024998748dfcf9a4741ef72c6ce432bf7fbfe99fc4707b28d889</x:v>
      </x:c>
      <x:c r="X81" s="14" t="str">
        <x:v>O=C1CC(c2nnc(SCCCN3CCC4(CC4c4ccccc4)C3)[nH]2)CCN1</x:v>
      </x:c>
      <x:c r="Y81" s="14" t="str">
        <x:v>False</x:v>
      </x:c>
      <x:c r="Z81" s="17" t="n">
        <x:v>1</x:v>
      </x:c>
      <x:c r="AA81" s="14" t="str">
        <x:v>include</x:v>
      </x:c>
      <x:c r="AB81" s="14" t="str"/>
      <x:c r="AC81" s="14" t="str">
        <x:v>pKi</x:v>
      </x:c>
      <x:c r="AD81" s="14" t="str">
        <x:v>5.77</x:v>
      </x:c>
      <x:c r="AE81" s="14" t="str"/>
      <x:c r="AF81" s="14" t="str">
        <x:v>=</x:v>
      </x:c>
      <x:c r="AG81" s="14" t="str">
        <x:v>Ki</x:v>
      </x:c>
      <x:c r="AH81" s="15" t="n">
        <x:v>1698.24</x:v>
      </x:c>
      <x:c r="AI81" s="14" t="str">
        <x:v>nM</x:v>
      </x:c>
      <x:c r="AJ81" s="14" t="str">
        <x:v>=</x:v>
      </x:c>
      <x:c r="AK81" s="15" t="n">
        <x:v>5.77</x:v>
      </x:c>
      <x:c r="AL81" s="17" t="n">
        <x:v>0</x:v>
      </x:c>
      <x:c r="AM81" s="14" t="str"/>
      <x:c r="AN81" s="14" t="str"/>
      <x:c r="AO81" s="14" t="str">
        <x:v>https://www.ebi.ac.uk/chembl/api/data/activity/16670852.json</x:v>
      </x:c>
      <x:c r="AP81" s="14" t="str">
        <x:v>CN1CCC(c2nnc(SCCCN3CCC4(CC4c4ccc(C(F)(F)F)cc4)C3)n2C)CC1=O</x:v>
      </x:c>
      <x:c r="AQ81" s="14" t="str">
        <x:v>O=C1CC(c2nnc(SCCCN3CCC4(CC4c4ccccc4)C3)[nH]2)CCN1</x:v>
      </x:c>
      <x:c r="AR81" s="15" t="n">
        <x:v>507.6260000000002</x:v>
      </x:c>
      <x:c r="AS81" s="15" t="n">
        <x:v>4.531500000000004</x:v>
      </x:c>
      <x:c r="AT81" s="15" t="n">
        <x:v>54.260000000000005</x:v>
      </x:c>
      <x:c r="AU81" s="17" t="n">
        <x:v>0</x:v>
      </x:c>
      <x:c r="AV81" s="17" t="n">
        <x:v>5</x:v>
      </x:c>
      <x:c r="AW81" s="14" t="str">
        <x:v>train</x:v>
      </x:c>
    </x:row>
  </x:sheetData>
  <x:pageMargins left="0.7" right="0.7" top="0.75" bottom="0.75" header="0.3" footer="0.3"/>
  <x:tableParts count="1">
    <x:tablePart xmlns:r="http://schemas.openxmlformats.org/officeDocument/2006/relationships" r:id="R45d833442e2d400b"/>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66" hidden="0" customWidth="1"/>
    <x:col min="3" max="3" width="60" hidden="0" customWidth="1"/>
    <x:col min="4" max="4" width="17" hidden="0" customWidth="1"/>
  </x:cols>
  <x:sheetData>
    <x:row r="1" ht="48" customHeight="1">
      <x:c r="A1" s="6" t="str">
        <x:v>molecule_chembl_id</x:v>
      </x:c>
      <x:c r="B1" s="6" t="str">
        <x:v>connectivity_key</x:v>
      </x:c>
      <x:c r="C1" s="6" t="str">
        <x:v>scaffold</x:v>
      </x:c>
      <x:c r="D1" s="6" t="str">
        <x:v>split</x:v>
      </x:c>
    </x:row>
    <x:row r="2" ht="21" customHeight="1">
      <x:c r="A2" s="9" t="str">
        <x:v>CHEMBL85606</x:v>
      </x:c>
      <x:c r="B2" s="9" t="str">
        <x:v>N#Cc1ccc2c(c1)CCN(CCC1CCC(NC(=O)c3ccnc4ccccc34)CC1)C2</x:v>
      </x:c>
      <x:c r="C2" s="9" t="str">
        <x:v>O=C(NC1CCC(CCN2CCc3ccccc3C2)CC1)c1ccnc2ccccc12</x:v>
      </x:c>
      <x:c r="D2" s="9" t="str">
        <x:v>train</x:v>
      </x:c>
    </x:row>
    <x:row r="3" ht="21" customHeight="1">
      <x:c r="A3" s="14" t="str">
        <x:v>CHEMBL3901211</x:v>
      </x:c>
      <x:c r="B3" s="14" t="str">
        <x:v>Cc1ncoc1-c1nnc(SCCCN2CCC3(CC3c3ccccc3)C2)n1C</x:v>
      </x:c>
      <x:c r="C3" s="14" t="str">
        <x:v>c1ccc(C2CC23CCN(CCCSc2nnc(-c4cnco4)[nH]2)C3)cc1</x:v>
      </x:c>
      <x:c r="D3" s="14" t="str">
        <x:v>test</x:v>
      </x:c>
    </x:row>
    <x:row r="4" ht="21" customHeight="1">
      <x:c r="A4" s="9" t="str">
        <x:v>CHEMBL3983937</x:v>
      </x:c>
      <x:c r="B4" s="9" t="str">
        <x:v>Cc1ncoc1-c1nnc(SCCCN2CCC3(CC3c3ccccc3)C2)n1C</x:v>
      </x:c>
      <x:c r="C4" s="9" t="str">
        <x:v>c1ccc(C2CC23CCN(CCCSc2nnc(-c4cnco4)[nH]2)C3)cc1</x:v>
      </x:c>
      <x:c r="D4" s="9" t="str">
        <x:v>test</x:v>
      </x:c>
    </x:row>
    <x:row r="5" ht="21" customHeight="1">
      <x:c r="A5" s="14" t="str">
        <x:v>CHEMBL3944642</x:v>
      </x:c>
      <x:c r="B5" s="14" t="str">
        <x:v>Cc1ncoc1-c1nnc(SCCCN2CCC3(CC3c3ccc(C(F)(F)F)cc3)C2)n1C</x:v>
      </x:c>
      <x:c r="C5" s="14" t="str">
        <x:v>c1ccc(C2CC23CCN(CCCSc2nnc(-c4cnco4)[nH]2)C3)cc1</x:v>
      </x:c>
      <x:c r="D5" s="14" t="str">
        <x:v>test</x:v>
      </x:c>
    </x:row>
    <x:row r="6" ht="21" customHeight="1">
      <x:c r="A6" s="9" t="str">
        <x:v>CHEMBL3953365</x:v>
      </x:c>
      <x:c r="B6" s="9" t="str">
        <x:v>Cc1ncoc1-c1nnc(SCCN2CCC3(CC3c3ccc(C(F)(F)F)cc3)C2)n1C</x:v>
      </x:c>
      <x:c r="C6" s="9" t="str">
        <x:v>c1ccc(C2CC23CCN(CCSc2nnc(-c4cnco4)[nH]2)C3)cc1</x:v>
      </x:c>
      <x:c r="D6" s="9" t="str">
        <x:v>train</x:v>
      </x:c>
    </x:row>
    <x:row r="7" ht="21" customHeight="1">
      <x:c r="A7" s="14" t="str">
        <x:v>CHEMBL3936812</x:v>
      </x:c>
      <x:c r="B7" s="14" t="str">
        <x:v>Cc1ncoc1-c1nnc(SCCN2CCC3(CC3c3ccc(C(F)(F)F)cc3)C2)n1C</x:v>
      </x:c>
      <x:c r="C7" s="14" t="str">
        <x:v>c1ccc(C2CC23CCN(CCSc2nnc(-c4cnco4)[nH]2)C3)cc1</x:v>
      </x:c>
      <x:c r="D7" s="14" t="str">
        <x:v>train</x:v>
      </x:c>
    </x:row>
    <x:row r="8" ht="21" customHeight="1">
      <x:c r="A8" s="9" t="str">
        <x:v>CHEMBL3908862</x:v>
      </x:c>
      <x:c r="B8" s="9" t="str">
        <x:v>Cc1ncoc1-c1nnc(SCCCCN2CCC3(CC3c3ccc(C(F)(F)F)cc3)C2)n1C</x:v>
      </x:c>
      <x:c r="C8" s="9" t="str">
        <x:v>c1ccc(C2CC23CCN(CCCCSc2nnc(-c4cnco4)[nH]2)C3)cc1</x:v>
      </x:c>
      <x:c r="D8" s="9" t="str">
        <x:v>train</x:v>
      </x:c>
    </x:row>
    <x:row r="9" ht="21" customHeight="1">
      <x:c r="A9" s="14" t="str">
        <x:v>CHEMBL3975989</x:v>
      </x:c>
      <x:c r="B9" s="14" t="str">
        <x:v>Cc1ncoc1-c1nnc(SCCCN2CCC3(CC3c3ccccc3C(F)(F)F)C2)n1C</x:v>
      </x:c>
      <x:c r="C9" s="14" t="str">
        <x:v>c1ccc(C2CC23CCN(CCCSc2nnc(-c4cnco4)[nH]2)C3)cc1</x:v>
      </x:c>
      <x:c r="D9" s="14" t="str">
        <x:v>test</x:v>
      </x:c>
    </x:row>
    <x:row r="10" ht="21" customHeight="1">
      <x:c r="A10" s="9" t="str">
        <x:v>CHEMBL3905196</x:v>
      </x:c>
      <x:c r="B10" s="9" t="str">
        <x:v>Cc1ncoc1-c1nnc(SCCCN2CCC3(CC3c3ccccc3C(F)(F)F)C2)n1C</x:v>
      </x:c>
      <x:c r="C10" s="9" t="str">
        <x:v>c1ccc(C2CC23CCN(CCCSc2nnc(-c4cnco4)[nH]2)C3)cc1</x:v>
      </x:c>
      <x:c r="D10" s="9" t="str">
        <x:v>test</x:v>
      </x:c>
    </x:row>
    <x:row r="11" ht="21" customHeight="1">
      <x:c r="A11" s="14" t="str">
        <x:v>CHEMBL3912029</x:v>
      </x:c>
      <x:c r="B11" s="14" t="str">
        <x:v>Cc1ncoc1-c1nnc(SCCCN2CCC3(CC3c3ccc(F)cc3)C2)n1C</x:v>
      </x:c>
      <x:c r="C11" s="14" t="str">
        <x:v>c1ccc(C2CC23CCN(CCCSc2nnc(-c4cnco4)[nH]2)C3)cc1</x:v>
      </x:c>
      <x:c r="D11" s="14" t="str">
        <x:v>test</x:v>
      </x:c>
    </x:row>
    <x:row r="12" ht="21" customHeight="1">
      <x:c r="A12" s="9" t="str">
        <x:v>CHEMBL3963783</x:v>
      </x:c>
      <x:c r="B12" s="9" t="str">
        <x:v>Cc1ncoc1-c1nnc(SCCCN2CCC3(CC3c3ccc(F)cc3)C2)n1C</x:v>
      </x:c>
      <x:c r="C12" s="9" t="str">
        <x:v>c1ccc(C2CC23CCN(CCCSc2nnc(-c4cnco4)[nH]2)C3)cc1</x:v>
      </x:c>
      <x:c r="D12" s="9" t="str">
        <x:v>test</x:v>
      </x:c>
    </x:row>
    <x:row r="13" ht="21" customHeight="1">
      <x:c r="A13" s="14" t="str">
        <x:v>CHEMBL3945775</x:v>
      </x:c>
      <x:c r="B13" s="14" t="str">
        <x:v>Cc1ncoc1-c1nnc(SCCCN2CCC3(CC3c3ccc(F)cc3F)C2)n1C</x:v>
      </x:c>
      <x:c r="C13" s="14" t="str">
        <x:v>c1ccc(C2CC23CCN(CCCSc2nnc(-c4cnco4)[nH]2)C3)cc1</x:v>
      </x:c>
      <x:c r="D13" s="14" t="str">
        <x:v>test</x:v>
      </x:c>
    </x:row>
    <x:row r="14" ht="21" customHeight="1">
      <x:c r="A14" s="9" t="str">
        <x:v>CHEMBL3926847</x:v>
      </x:c>
      <x:c r="B14" s="9" t="str">
        <x:v>Cc1ncoc1-c1nnc(SCCCN2CCC3(CC3c3ccc(F)cc3F)C2)n1C</x:v>
      </x:c>
      <x:c r="C14" s="9" t="str">
        <x:v>c1ccc(C2CC23CCN(CCCSc2nnc(-c4cnco4)[nH]2)C3)cc1</x:v>
      </x:c>
      <x:c r="D14" s="9" t="str">
        <x:v>test</x:v>
      </x:c>
    </x:row>
    <x:row r="15" ht="21" customHeight="1">
      <x:c r="A15" s="14" t="str">
        <x:v>CHEMBL3901587</x:v>
      </x:c>
      <x:c r="B15" s="14" t="str">
        <x:v>Cc1ncoc1-c1nnc(SCCCN2CCC3(CC3c3ccc(C(F)(F)F)cc3F)C2)n1C</x:v>
      </x:c>
      <x:c r="C15" s="14" t="str">
        <x:v>c1ccc(C2CC23CCN(CCCSc2nnc(-c4cnco4)[nH]2)C3)cc1</x:v>
      </x:c>
      <x:c r="D15" s="14" t="str">
        <x:v>test</x:v>
      </x:c>
    </x:row>
    <x:row r="16" ht="21" customHeight="1">
      <x:c r="A16" s="9" t="str">
        <x:v>CHEMBL3955505</x:v>
      </x:c>
      <x:c r="B16" s="9" t="str">
        <x:v>Cc1ncoc1-c1nnc(SCCCN2CCC3(CC3c3ccc(C(F)(F)F)cc3F)C2)n1C</x:v>
      </x:c>
      <x:c r="C16" s="9" t="str">
        <x:v>c1ccc(C2CC23CCN(CCCSc2nnc(-c4cnco4)[nH]2)C3)cc1</x:v>
      </x:c>
      <x:c r="D16" s="9" t="str">
        <x:v>test</x:v>
      </x:c>
    </x:row>
    <x:row r="17" ht="21" customHeight="1">
      <x:c r="A17" s="14" t="str">
        <x:v>CHEMBL3985877</x:v>
      </x:c>
      <x:c r="B17" s="14" t="str">
        <x:v>Cc1ncoc1-c1nnc(SCCCN2CCC3(CC3c3ccc(F)cc3C(F)(F)F)C2)n1C</x:v>
      </x:c>
      <x:c r="C17" s="14" t="str">
        <x:v>c1ccc(C2CC23CCN(CCCSc2nnc(-c4cnco4)[nH]2)C3)cc1</x:v>
      </x:c>
      <x:c r="D17" s="14" t="str">
        <x:v>test</x:v>
      </x:c>
    </x:row>
    <x:row r="18" ht="21" customHeight="1">
      <x:c r="A18" s="9" t="str">
        <x:v>CHEMBL3966647</x:v>
      </x:c>
      <x:c r="B18" s="9" t="str">
        <x:v>Cc1ncoc1-c1nnc(SCCCN2CCC3(CC3c3ccc(F)cc3C(F)(F)F)C2)n1C</x:v>
      </x:c>
      <x:c r="C18" s="9" t="str">
        <x:v>c1ccc(C2CC23CCN(CCCSc2nnc(-c4cnco4)[nH]2)C3)cc1</x:v>
      </x:c>
      <x:c r="D18" s="9" t="str">
        <x:v>test</x:v>
      </x:c>
    </x:row>
    <x:row r="19" ht="21" customHeight="1">
      <x:c r="A19" s="14" t="str">
        <x:v>CHEMBL3945776</x:v>
      </x:c>
      <x:c r="B19" s="14" t="str">
        <x:v>Cc1ncoc1-c1nnc(SCCCN2CCC3(CC3c3ccc(F)cc3C(F)(F)F)C2)n1C</x:v>
      </x:c>
      <x:c r="C19" s="14" t="str">
        <x:v>c1ccc(C2CC23CCN(CCCSc2nnc(-c4cnco4)[nH]2)C3)cc1</x:v>
      </x:c>
      <x:c r="D19" s="14" t="str">
        <x:v>test</x:v>
      </x:c>
    </x:row>
    <x:row r="20" ht="21" customHeight="1">
      <x:c r="A20" s="9" t="str">
        <x:v>CHEMBL3975147</x:v>
      </x:c>
      <x:c r="B20" s="9" t="str">
        <x:v>Cc1ncoc1-c1nnc(SCCCN2CCC3(CC3c3ccc(F)cc3C(F)(F)F)C2)n1C</x:v>
      </x:c>
      <x:c r="C20" s="9" t="str">
        <x:v>c1ccc(C2CC23CCN(CCCSc2nnc(-c4cnco4)[nH]2)C3)cc1</x:v>
      </x:c>
      <x:c r="D20" s="9" t="str">
        <x:v>test</x:v>
      </x:c>
    </x:row>
    <x:row r="21" ht="36" customHeight="1">
      <x:c r="A21" s="14" t="str">
        <x:v>CHEMBL3954490</x:v>
      </x:c>
      <x:c r="B21" s="14" t="str">
        <x:v>Cc1ncoc1-c1nnc(SCC(O)CN2CCC3(CC3c3ccc(C(F)(F)F)cc3)C2)n1C</x:v>
      </x:c>
      <x:c r="C21" s="14" t="str">
        <x:v>c1ccc(C2CC23CCN(CCCSc2nnc(-c4cnco4)[nH]2)C3)cc1</x:v>
      </x:c>
      <x:c r="D21" s="14" t="str">
        <x:v>test</x:v>
      </x:c>
    </x:row>
    <x:row r="22" ht="21" customHeight="1">
      <x:c r="A22" s="9" t="str">
        <x:v>CHEMBL3983121</x:v>
      </x:c>
      <x:c r="B22" s="9" t="str">
        <x:v>Cc1ncoc1-c1nnc(SCCCN2CCC3(CC3c3cc(Cl)cc(Cl)c3)C2)n1C</x:v>
      </x:c>
      <x:c r="C22" s="9" t="str">
        <x:v>c1ccc(C2CC23CCN(CCCSc2nnc(-c4cnco4)[nH]2)C3)cc1</x:v>
      </x:c>
      <x:c r="D22" s="9" t="str">
        <x:v>test</x:v>
      </x:c>
    </x:row>
    <x:row r="23" ht="21" customHeight="1">
      <x:c r="A23" s="14" t="str">
        <x:v>CHEMBL3899336</x:v>
      </x:c>
      <x:c r="B23" s="14" t="str">
        <x:v>Cc1ncoc1-c1nnc(SCCCN2CCC3(CC3c3cc(Cl)cc(Cl)c3)C2)n1C</x:v>
      </x:c>
      <x:c r="C23" s="14" t="str">
        <x:v>c1ccc(C2CC23CCN(CCCSc2nnc(-c4cnco4)[nH]2)C3)cc1</x:v>
      </x:c>
      <x:c r="D23" s="14" t="str">
        <x:v>test</x:v>
      </x:c>
    </x:row>
    <x:row r="24" ht="21" customHeight="1">
      <x:c r="A24" s="9" t="str">
        <x:v>CHEMBL3894257</x:v>
      </x:c>
      <x:c r="B24" s="9" t="str">
        <x:v>Cc1ncsc1-c1nnc(SCCCN2CCC3(CC3c3ccc(C(F)(F)F)cc3)C2)n1C</x:v>
      </x:c>
      <x:c r="C24" s="9" t="str">
        <x:v>c1ccc(C2CC23CCN(CCCSc2nnc(-c4cncs4)[nH]2)C3)cc1</x:v>
      </x:c>
      <x:c r="D24" s="9" t="str">
        <x:v>train</x:v>
      </x:c>
    </x:row>
    <x:row r="25" ht="21" customHeight="1">
      <x:c r="A25" s="14" t="str">
        <x:v>CHEMBL3923578</x:v>
      </x:c>
      <x:c r="B25" s="14" t="str">
        <x:v>Cc1ncsc1-c1nnc(SCCCN2CCC3(CC3c3ccc(C(F)(F)F)cc3)C2)n1C</x:v>
      </x:c>
      <x:c r="C25" s="14" t="str">
        <x:v>c1ccc(C2CC23CCN(CCCSc2nnc(-c4cncs4)[nH]2)C3)cc1</x:v>
      </x:c>
      <x:c r="D25" s="14" t="str">
        <x:v>train</x:v>
      </x:c>
    </x:row>
    <x:row r="26" ht="21" customHeight="1">
      <x:c r="A26" s="9" t="str">
        <x:v>CHEMBL3895585</x:v>
      </x:c>
      <x:c r="B26" s="9" t="str">
        <x:v>Cn1c(SCCCN2CCC3(CC3c3ccc(C(F)(F)F)cc3)C2)nnc1-c1nccs1</x:v>
      </x:c>
      <x:c r="C26" s="9" t="str">
        <x:v>c1ccc(C2CC23CCN(CCCSc2nnc(-c4nccs4)[nH]2)C3)cc1</x:v>
      </x:c>
      <x:c r="D26" s="9" t="str">
        <x:v>train</x:v>
      </x:c>
    </x:row>
    <x:row r="27" ht="21" customHeight="1">
      <x:c r="A27" s="14" t="str">
        <x:v>CHEMBL3914556</x:v>
      </x:c>
      <x:c r="B27" s="14" t="str">
        <x:v>Cn1c(SCCCN2CCC3(CC3c3ccc(C(F)(F)F)cc3)C2)nnc1-c1nccs1</x:v>
      </x:c>
      <x:c r="C27" s="14" t="str">
        <x:v>c1ccc(C2CC23CCN(CCCSc2nnc(-c4nccs4)[nH]2)C3)cc1</x:v>
      </x:c>
      <x:c r="D27" s="14" t="str">
        <x:v>train</x:v>
      </x:c>
    </x:row>
    <x:row r="28" ht="21" customHeight="1">
      <x:c r="A28" s="9" t="str">
        <x:v>CHEMBL3984387</x:v>
      </x:c>
      <x:c r="B28" s="9" t="str">
        <x:v>Cn1c(SCCCN2CCC3(CC3c3ccc(C(F)(F)F)cc3)C2)nnc1-c1csnn1</x:v>
      </x:c>
      <x:c r="C28" s="9" t="str">
        <x:v>c1ccc(C2CC23CCN(CCCSc2nnc(-c4csnn4)[nH]2)C3)cc1</x:v>
      </x:c>
      <x:c r="D28" s="9" t="str">
        <x:v>train</x:v>
      </x:c>
    </x:row>
    <x:row r="29" ht="21" customHeight="1">
      <x:c r="A29" s="14" t="str">
        <x:v>CHEMBL3905582</x:v>
      </x:c>
      <x:c r="B29" s="14" t="str">
        <x:v>Cn1c(SCCCN2CCC3(CC3c3ccc(C(F)(F)F)cc3)C2)nnc1-c1csnn1</x:v>
      </x:c>
      <x:c r="C29" s="14" t="str">
        <x:v>c1ccc(C2CC23CCN(CCCSc2nnc(-c4csnn4)[nH]2)C3)cc1</x:v>
      </x:c>
      <x:c r="D29" s="14" t="str">
        <x:v>train</x:v>
      </x:c>
    </x:row>
    <x:row r="30" ht="21" customHeight="1">
      <x:c r="A30" s="9" t="str">
        <x:v>CHEMBL3976319</x:v>
      </x:c>
      <x:c r="B30" s="9" t="str">
        <x:v>Cn1c(SCCCN2CCC3(CC3c3ccc(C(F)(F)F)cc3)C2)nnc1-c1cccs1</x:v>
      </x:c>
      <x:c r="C30" s="9" t="str">
        <x:v>c1ccc(C2CC23CCN(CCCSc2nnc(-c4cccs4)[nH]2)C3)cc1</x:v>
      </x:c>
      <x:c r="D30" s="9" t="str">
        <x:v>test</x:v>
      </x:c>
    </x:row>
    <x:row r="31" ht="21" customHeight="1">
      <x:c r="A31" s="14" t="str">
        <x:v>CHEMBL3896638</x:v>
      </x:c>
      <x:c r="B31" s="14" t="str">
        <x:v>Cn1c(SCCCN2CCC3(CC3c3ccc(C(F)(F)F)cc3)C2)nnc1-c1ccsc1</x:v>
      </x:c>
      <x:c r="C31" s="14" t="str">
        <x:v>c1ccc(C2CC23CCN(CCCSc2nnc(-c4ccsc4)[nH]2)C3)cc1</x:v>
      </x:c>
      <x:c r="D31" s="14" t="str">
        <x:v>train</x:v>
      </x:c>
    </x:row>
    <x:row r="32" ht="21" customHeight="1">
      <x:c r="A32" s="9" t="str">
        <x:v>CHEMBL3967806</x:v>
      </x:c>
      <x:c r="B32" s="9" t="str">
        <x:v>Cn1c(SCCCN2CCC3(CC3c3ccc(C(F)(F)F)cc3)C2)nnc1-c1ccco1</x:v>
      </x:c>
      <x:c r="C32" s="9" t="str">
        <x:v>c1ccc(C2CC23CCN(CCCSc2nnc(-c4ccco4)[nH]2)C3)cc1</x:v>
      </x:c>
      <x:c r="D32" s="9" t="str">
        <x:v>train</x:v>
      </x:c>
    </x:row>
    <x:row r="33" ht="21" customHeight="1">
      <x:c r="A33" s="14" t="str">
        <x:v>CHEMBL3985419</x:v>
      </x:c>
      <x:c r="B33" s="14" t="str">
        <x:v>Cn1c(SCCCN2CCC3(CC3c3ccc(C(F)(F)F)cc3)C2)nnc1-c1ccoc1</x:v>
      </x:c>
      <x:c r="C33" s="14" t="str">
        <x:v>c1ccc(C2CC23CCN(CCCSc2nnc(-c4ccoc4)[nH]2)C3)cc1</x:v>
      </x:c>
      <x:c r="D33" s="14" t="str">
        <x:v>test</x:v>
      </x:c>
    </x:row>
    <x:row r="34" ht="21" customHeight="1">
      <x:c r="A34" s="9" t="str">
        <x:v>CHEMBL3956758</x:v>
      </x:c>
      <x:c r="B34" s="9" t="str">
        <x:v>Cn1cc(-c2nnc(SCCCN3CCC4(CC4c4ccc(C(F)(F)F)cc4)C3)n2C)cn1</x:v>
      </x:c>
      <x:c r="C34" s="9" t="str">
        <x:v>c1ccc(C2CC23CCN(CCCSc2nnc(-c4cn[nH]c4)[nH]2)C3)cc1</x:v>
      </x:c>
      <x:c r="D34" s="9" t="str">
        <x:v>train</x:v>
      </x:c>
    </x:row>
    <x:row r="35" ht="21" customHeight="1">
      <x:c r="A35" s="14" t="str">
        <x:v>CHEMBL3908174</x:v>
      </x:c>
      <x:c r="B35" s="14" t="str">
        <x:v>Cn1nccc1-c1nnc(SCCCN2CCC3(CC3c3ccc(C(F)(F)F)cc3)C2)n1C</x:v>
      </x:c>
      <x:c r="C35" s="14" t="str">
        <x:v>c1ccc(C2CC23CCN(CCCSc2nnc(-c4ccn[nH]4)[nH]2)C3)cc1</x:v>
      </x:c>
      <x:c r="D35" s="14" t="str">
        <x:v>train</x:v>
      </x:c>
    </x:row>
    <x:row r="36" ht="21" customHeight="1">
      <x:c r="A36" s="9" t="str">
        <x:v>CHEMBL3978613</x:v>
      </x:c>
      <x:c r="B36" s="9" t="str">
        <x:v>Cc1cc(-c2nnc(SCCCN3CCC4(CC4c4ccc(C(F)(F)F)cc4)C3)n2C)on1</x:v>
      </x:c>
      <x:c r="C36" s="9" t="str">
        <x:v>c1ccc(C2CC23CCN(CCCSc2nnc(-c4ccno4)[nH]2)C3)cc1</x:v>
      </x:c>
      <x:c r="D36" s="9" t="str">
        <x:v>train</x:v>
      </x:c>
    </x:row>
    <x:row r="37" ht="36" customHeight="1">
      <x:c r="A37" s="14" t="str">
        <x:v>CHEMBL3899125</x:v>
      </x:c>
      <x:c r="B37" s="14" t="str">
        <x:v>Cn1c(SCCCN2CCC3(CC3c3ccc(C(F)(F)F)cc3)C2)nnc1-c1ccc(C(N)=O)cc1</x:v>
      </x:c>
      <x:c r="C37" s="14" t="str">
        <x:v>c1ccc(-c2nnc(SCCCN3CCC4(CC4c4ccccc4)C3)[nH]2)cc1</x:v>
      </x:c>
      <x:c r="D37" s="14" t="str">
        <x:v>train</x:v>
      </x:c>
    </x:row>
    <x:row r="38" ht="36" customHeight="1">
      <x:c r="A38" s="9" t="str">
        <x:v>CHEMBL3970323</x:v>
      </x:c>
      <x:c r="B38" s="9" t="str">
        <x:v>Cn1c(SCCCN2CCC3(CC3c3ccc(C(F)(F)F)cc3)C2)nnc1-c1cccc(C(N)=O)c1</x:v>
      </x:c>
      <x:c r="C38" s="9" t="str">
        <x:v>c1ccc(-c2nnc(SCCCN3CCC4(CC4c4ccccc4)C3)[nH]2)cc1</x:v>
      </x:c>
      <x:c r="D38" s="9" t="str">
        <x:v>train</x:v>
      </x:c>
    </x:row>
    <x:row r="39" ht="36" customHeight="1">
      <x:c r="A39" s="14" t="str">
        <x:v>CHEMBL3890178</x:v>
      </x:c>
      <x:c r="B39" s="14" t="str">
        <x:v>Cn1c(SCCCN2CCC3(CC3c3ccc(C(F)(F)F)cc3)C2)nnc1-c1ccccc1C(N)=O</x:v>
      </x:c>
      <x:c r="C39" s="14" t="str">
        <x:v>c1ccc(-c2nnc(SCCCN3CCC4(CC4c4ccccc4)C3)[nH]2)cc1</x:v>
      </x:c>
      <x:c r="D39" s="14" t="str">
        <x:v>train</x:v>
      </x:c>
    </x:row>
    <x:row r="40" ht="36" customHeight="1">
      <x:c r="A40" s="9" t="str">
        <x:v>CHEMBL3959240</x:v>
      </x:c>
      <x:c r="B40" s="9" t="str">
        <x:v>Cn1c(SCCCN2CCC3(CC3c3ccc(C(F)(F)F)cc3)C2)nnc1-c1ccc(S(N)(=O)=O)cc1</x:v>
      </x:c>
      <x:c r="C40" s="9" t="str">
        <x:v>c1ccc(-c2nnc(SCCCN3CCC4(CC4c4ccccc4)C3)[nH]2)cc1</x:v>
      </x:c>
      <x:c r="D40" s="9" t="str">
        <x:v>train</x:v>
      </x:c>
    </x:row>
    <x:row r="41" ht="36" customHeight="1">
      <x:c r="A41" s="14" t="str">
        <x:v>CHEMBL3979523</x:v>
      </x:c>
      <x:c r="B41" s="14" t="str">
        <x:v>CC(=O)c1ccc(-c2nnc(SCCCN3CCC4(CC4c4ccc(C(F)(F)F)cc4)C3)n2C)cc1</x:v>
      </x:c>
      <x:c r="C41" s="14" t="str">
        <x:v>c1ccc(-c2nnc(SCCCN3CCC4(CC4c4ccccc4)C3)[nH]2)cc1</x:v>
      </x:c>
      <x:c r="D41" s="14" t="str">
        <x:v>train</x:v>
      </x:c>
    </x:row>
    <x:row r="42" ht="36" customHeight="1">
      <x:c r="A42" s="9" t="str">
        <x:v>CHEMBL3950540</x:v>
      </x:c>
      <x:c r="B42" s="9" t="str">
        <x:v>Cn1c(SCCCN2CCC3(CC3c3ccc(C(F)(F)F)cc3)C2)nnc1-c1ccc(C#N)cc1</x:v>
      </x:c>
      <x:c r="C42" s="9" t="str">
        <x:v>c1ccc(-c2nnc(SCCCN3CCC4(CC4c4ccccc4)C3)[nH]2)cc1</x:v>
      </x:c>
      <x:c r="D42" s="9" t="str">
        <x:v>train</x:v>
      </x:c>
    </x:row>
    <x:row r="43" ht="36" customHeight="1">
      <x:c r="A43" s="14" t="str">
        <x:v>CHEMBL3981856</x:v>
      </x:c>
      <x:c r="B43" s="14" t="str">
        <x:v>Cn1c(SCCCN2CCC3(CC3c3ccc(C(F)(F)F)cc3)C2)nnc1-c1ccc(CC(N)=O)cc1</x:v>
      </x:c>
      <x:c r="C43" s="14" t="str">
        <x:v>c1ccc(-c2nnc(SCCCN3CCC4(CC4c4ccccc4)C3)[nH]2)cc1</x:v>
      </x:c>
      <x:c r="D43" s="14" t="str">
        <x:v>train</x:v>
      </x:c>
    </x:row>
    <x:row r="44" ht="36" customHeight="1">
      <x:c r="A44" s="9" t="str">
        <x:v>CHEMBL3941818</x:v>
      </x:c>
      <x:c r="B44" s="9" t="str">
        <x:v>Cn1c(SCCCN2CCC3(CC3c3ccc(C(F)(F)F)cc3)C2)nnc1-c1ccc(-c2ncco2)cc1</x:v>
      </x:c>
      <x:c r="C44" s="9" t="str">
        <x:v>c1ccc(C2CC23CCN(CCCSc2nnc(-c4ccc(-c5ncco5)cc4)[nH]2)C3)cc1</x:v>
      </x:c>
      <x:c r="D44" s="9" t="str">
        <x:v>train</x:v>
      </x:c>
    </x:row>
    <x:row r="45" ht="36" customHeight="1">
      <x:c r="A45" s="14" t="str">
        <x:v>CHEMBL3920167</x:v>
      </x:c>
      <x:c r="B45" s="14" t="str">
        <x:v>Cn1c(SCCCN2CCC3(CC3c3ccc(C(F)(F)F)cc3)C2)nnc1-c1cccc(-c2ncco2)c1</x:v>
      </x:c>
      <x:c r="C45" s="14" t="str">
        <x:v>c1ccc(C2CC23CCN(CCCSc2nnc(-c4cccc(-c5ncco5)c4)[nH]2)C3)cc1</x:v>
      </x:c>
      <x:c r="D45" s="14" t="str">
        <x:v>test</x:v>
      </x:c>
    </x:row>
    <x:row r="46" ht="21" customHeight="1">
      <x:c r="A46" s="9" t="str">
        <x:v>CHEMBL3947961</x:v>
      </x:c>
      <x:c r="B46" s="9" t="str">
        <x:v>Cn1c(SCCCN2CCC3(CC3c3ccc(C(F)(F)F)cc3)C2)nnc1-c1ccncc1</x:v>
      </x:c>
      <x:c r="C46" s="9" t="str">
        <x:v>c1ccc(C2CC23CCN(CCCSc2nnc(-c4ccncc4)[nH]2)C3)cc1</x:v>
      </x:c>
      <x:c r="D46" s="9" t="str">
        <x:v>train</x:v>
      </x:c>
    </x:row>
    <x:row r="47" ht="21" customHeight="1">
      <x:c r="A47" s="14" t="str">
        <x:v>CHEMBL3929083</x:v>
      </x:c>
      <x:c r="B47" s="14" t="str">
        <x:v>Cn1c(SCCCN2CCC3(CC3c3ccc(C(F)(F)F)cc3)C2)nnc1-c1ccncc1</x:v>
      </x:c>
      <x:c r="C47" s="14" t="str">
        <x:v>c1ccc(C2CC23CCN(CCCSc2nnc(-c4ccncc4)[nH]2)C3)cc1</x:v>
      </x:c>
      <x:c r="D47" s="14" t="str">
        <x:v>train</x:v>
      </x:c>
    </x:row>
    <x:row r="48" ht="21" customHeight="1">
      <x:c r="A48" s="9" t="str">
        <x:v>CHEMBL3956612</x:v>
      </x:c>
      <x:c r="B48" s="9" t="str">
        <x:v>Cn1c(SCCCN2CCC3(CC3c3ccc(C(F)(F)F)cc3)C2)nnc1-c1cccnc1</x:v>
      </x:c>
      <x:c r="C48" s="9" t="str">
        <x:v>c1ccc(C2CC23CCN(CCCSc2nnc(-c4cccnc4)[nH]2)C3)cc1</x:v>
      </x:c>
      <x:c r="D48" s="9" t="str">
        <x:v>train</x:v>
      </x:c>
    </x:row>
    <x:row r="49" ht="21" customHeight="1">
      <x:c r="A49" s="14" t="str">
        <x:v>CHEMBL3938107</x:v>
      </x:c>
      <x:c r="B49" s="14" t="str">
        <x:v>Cn1c(SCCCN2CCC3(CC3c3ccc(C(F)(F)F)cc3)C2)nnc1-c1cccnc1</x:v>
      </x:c>
      <x:c r="C49" s="14" t="str">
        <x:v>c1ccc(C2CC23CCN(CCCSc2nnc(-c4cccnc4)[nH]2)C3)cc1</x:v>
      </x:c>
      <x:c r="D49" s="14" t="str">
        <x:v>train</x:v>
      </x:c>
    </x:row>
    <x:row r="50" ht="21" customHeight="1">
      <x:c r="A50" s="9" t="str">
        <x:v>CHEMBL3967683</x:v>
      </x:c>
      <x:c r="B50" s="9" t="str">
        <x:v>Cn1c(SCCCN2CCC3(CC3c3ccc(C(F)(F)F)cc3)C2)nnc1-c1ccccn1</x:v>
      </x:c>
      <x:c r="C50" s="9" t="str">
        <x:v>c1ccc(C2CC23CCN(CCCSc2nnc(-c4ccccn4)[nH]2)C3)cc1</x:v>
      </x:c>
      <x:c r="D50" s="9" t="str">
        <x:v>train</x:v>
      </x:c>
    </x:row>
    <x:row r="51" ht="21" customHeight="1">
      <x:c r="A51" s="14" t="str">
        <x:v>CHEMBL3946901</x:v>
      </x:c>
      <x:c r="B51" s="14" t="str">
        <x:v>Cn1c(SCCCN2CCC3(CC3c3ccc(C(F)(F)F)cc3)C2)nnc1-c1ccccn1</x:v>
      </x:c>
      <x:c r="C51" s="14" t="str">
        <x:v>c1ccc(C2CC23CCN(CCCSc2nnc(-c4ccccn4)[nH]2)C3)cc1</x:v>
      </x:c>
      <x:c r="D51" s="14" t="str">
        <x:v>train</x:v>
      </x:c>
    </x:row>
    <x:row r="52" ht="21" customHeight="1">
      <x:c r="A52" s="9" t="str">
        <x:v>CHEMBL3976192</x:v>
      </x:c>
      <x:c r="B52" s="9" t="str">
        <x:v>Cn1c(SCCCN2CCC3(CC3c3ccc(C(F)(F)F)cc3)C2)nnc1-c1cnccn1</x:v>
      </x:c>
      <x:c r="C52" s="9" t="str">
        <x:v>c1ccc(C2CC23CCN(CCCSc2nnc(-c4cnccn4)[nH]2)C3)cc1</x:v>
      </x:c>
      <x:c r="D52" s="9" t="str">
        <x:v>train</x:v>
      </x:c>
    </x:row>
    <x:row r="53" ht="21" customHeight="1">
      <x:c r="A53" s="14" t="str">
        <x:v>CHEMBL3955608</x:v>
      </x:c>
      <x:c r="B53" s="14" t="str">
        <x:v>Cn1c(SCCCN2CCC3(CC3c3ccc(C(F)(F)F)cc3)C2)nnc1-c1cnccn1</x:v>
      </x:c>
      <x:c r="C53" s="14" t="str">
        <x:v>c1ccc(C2CC23CCN(CCCSc2nnc(-c4cnccn4)[nH]2)C3)cc1</x:v>
      </x:c>
      <x:c r="D53" s="14" t="str">
        <x:v>train</x:v>
      </x:c>
    </x:row>
    <x:row r="54" ht="21" customHeight="1">
      <x:c r="A54" s="9" t="str">
        <x:v>CHEMBL3984236</x:v>
      </x:c>
      <x:c r="B54" s="9" t="str">
        <x:v>Cn1c(SCCCN2CCC3(CC3c3ccc(C(F)(F)F)cc3)C2)nnc1-c1ccncn1</x:v>
      </x:c>
      <x:c r="C54" s="9" t="str">
        <x:v>c1ccc(C2CC23CCN(CCCSc2nnc(-c4ccncn4)[nH]2)C3)cc1</x:v>
      </x:c>
      <x:c r="D54" s="9" t="str">
        <x:v>train</x:v>
      </x:c>
    </x:row>
    <x:row r="55" ht="21" customHeight="1">
      <x:c r="A55" s="14" t="str">
        <x:v>CHEMBL3958309</x:v>
      </x:c>
      <x:c r="B55" s="14" t="str">
        <x:v>Cn1c(SCCCN2CCC3(CC3c3ccc(C(F)(F)F)cc3)C2)nnc1-c1ccncn1</x:v>
      </x:c>
      <x:c r="C55" s="14" t="str">
        <x:v>c1ccc(C2CC23CCN(CCCSc2nnc(-c4ccncn4)[nH]2)C3)cc1</x:v>
      </x:c>
      <x:c r="D55" s="14" t="str">
        <x:v>train</x:v>
      </x:c>
    </x:row>
    <x:row r="56" ht="21" customHeight="1">
      <x:c r="A56" s="9" t="str">
        <x:v>CHEMBL3930825</x:v>
      </x:c>
      <x:c r="B56" s="9" t="str">
        <x:v>Cn1c(SCCCN2CCC3(CC3c3ccc(C(F)(F)F)cc3)C2)nnc1-c1cccnn1</x:v>
      </x:c>
      <x:c r="C56" s="9" t="str">
        <x:v>c1ccc(C2CC23CCN(CCCSc2nnc(-c4cccnn4)[nH]2)C3)cc1</x:v>
      </x:c>
      <x:c r="D56" s="9" t="str">
        <x:v>train</x:v>
      </x:c>
    </x:row>
    <x:row r="57" ht="21" customHeight="1">
      <x:c r="A57" s="14" t="str">
        <x:v>CHEMBL3969386</x:v>
      </x:c>
      <x:c r="B57" s="14" t="str">
        <x:v>Cn1c(SCCCN2CCC3(CC3c3ccc(C(F)(F)F)cc3)C2)nnc1-c1cccnn1</x:v>
      </x:c>
      <x:c r="C57" s="14" t="str">
        <x:v>c1ccc(C2CC23CCN(CCCSc2nnc(-c4cccnn4)[nH]2)C3)cc1</x:v>
      </x:c>
      <x:c r="D57" s="14" t="str">
        <x:v>train</x:v>
      </x:c>
    </x:row>
    <x:row r="58" ht="21" customHeight="1">
      <x:c r="A58" s="9" t="str">
        <x:v>CHEMBL3939830</x:v>
      </x:c>
      <x:c r="B58" s="9" t="str">
        <x:v>Cn1c(SCCCN2CCC3(CC3c3ccc(C(F)(F)F)cc3)C2)nnc1-c1ccnnc1</x:v>
      </x:c>
      <x:c r="C58" s="9" t="str">
        <x:v>c1ccc(C2CC23CCN(CCCSc2nnc(-c4ccnnc4)[nH]2)C3)cc1</x:v>
      </x:c>
      <x:c r="D58" s="9" t="str">
        <x:v>train</x:v>
      </x:c>
    </x:row>
    <x:row r="59" ht="21" customHeight="1">
      <x:c r="A59" s="14" t="str">
        <x:v>CHEMBL3940897</x:v>
      </x:c>
      <x:c r="B59" s="14" t="str">
        <x:v>Cn1c(SCCCN2CCC3(CC3c3ccc(C(F)(F)F)cc3)C2)nnc1-c1ccnnc1</x:v>
      </x:c>
      <x:c r="C59" s="14" t="str">
        <x:v>c1ccc(C2CC23CCN(CCCSc2nnc(-c4ccnnc4)[nH]2)C3)cc1</x:v>
      </x:c>
      <x:c r="D59" s="14" t="str">
        <x:v>train</x:v>
      </x:c>
    </x:row>
    <x:row r="60" ht="21" customHeight="1">
      <x:c r="A60" s="9" t="str">
        <x:v>CHEMBL3912897</x:v>
      </x:c>
      <x:c r="B60" s="9" t="str">
        <x:v>Cn1c(SCCCN2CCC3(CC3c3ccccc3)C2)nnc1-c1cccnc1</x:v>
      </x:c>
      <x:c r="C60" s="9" t="str">
        <x:v>c1ccc(C2CC23CCN(CCCSc2nnc(-c4cccnc4)[nH]2)C3)cc1</x:v>
      </x:c>
      <x:c r="D60" s="9" t="str">
        <x:v>train</x:v>
      </x:c>
    </x:row>
    <x:row r="61" ht="21" customHeight="1">
      <x:c r="A61" s="14" t="str">
        <x:v>CHEMBL3949662</x:v>
      </x:c>
      <x:c r="B61" s="14" t="str">
        <x:v>Cn1c(SCCCN2CCC3(CC3c3ccc(C(F)(F)F)cc3F)C2)nnc1-c1cccnc1</x:v>
      </x:c>
      <x:c r="C61" s="14" t="str">
        <x:v>c1ccc(C2CC23CCN(CCCSc2nnc(-c4cccnc4)[nH]2)C3)cc1</x:v>
      </x:c>
      <x:c r="D61" s="14" t="str">
        <x:v>train</x:v>
      </x:c>
    </x:row>
    <x:row r="62" ht="21" customHeight="1">
      <x:c r="A62" s="9" t="str">
        <x:v>CHEMBL3921885</x:v>
      </x:c>
      <x:c r="B62" s="9" t="str">
        <x:v>Cn1c(SCCCN2CCC3(CC3c3ccc(F)cc3F)C2)nnc1-c1cccnc1</x:v>
      </x:c>
      <x:c r="C62" s="9" t="str">
        <x:v>c1ccc(C2CC23CCN(CCCSc2nnc(-c4cccnc4)[nH]2)C3)cc1</x:v>
      </x:c>
      <x:c r="D62" s="9" t="str">
        <x:v>train</x:v>
      </x:c>
    </x:row>
    <x:row r="63" ht="21" customHeight="1">
      <x:c r="A63" s="14" t="str">
        <x:v>CHEMBL3897134</x:v>
      </x:c>
      <x:c r="B63" s="14" t="str">
        <x:v>Cn1c(SCCCN2CCC3(CC3c3ccc(F)cc3)C2)nnc1-c1cccnc1</x:v>
      </x:c>
      <x:c r="C63" s="14" t="str">
        <x:v>c1ccc(C2CC23CCN(CCCSc2nnc(-c4cccnc4)[nH]2)C3)cc1</x:v>
      </x:c>
      <x:c r="D63" s="14" t="str">
        <x:v>train</x:v>
      </x:c>
    </x:row>
    <x:row r="64" ht="21" customHeight="1">
      <x:c r="A64" s="9" t="str">
        <x:v>CHEMBL3968272</x:v>
      </x:c>
      <x:c r="B64" s="9" t="str">
        <x:v>Cc1ncccc1-c1nnc(SCCCN2CCC3(CC3c3ccc(C(F)(F)F)cc3)C2)n1C</x:v>
      </x:c>
      <x:c r="C64" s="9" t="str">
        <x:v>c1ccc(C2CC23CCN(CCCSc2nnc(-c4cccnc4)[nH]2)C3)cc1</x:v>
      </x:c>
      <x:c r="D64" s="9" t="str">
        <x:v>train</x:v>
      </x:c>
    </x:row>
    <x:row r="65" ht="36" customHeight="1">
      <x:c r="A65" s="14" t="str">
        <x:v>CHEMBL3946313</x:v>
      </x:c>
      <x:c r="B65" s="14" t="str">
        <x:v>Cn1c(SCCCN2CCC3(CC3c3ccc(C(F)(F)F)cc3)C2)nnc1-c1cccnc1C(F)(F)F</x:v>
      </x:c>
      <x:c r="C65" s="14" t="str">
        <x:v>c1ccc(C2CC23CCN(CCCSc2nnc(-c4cccnc4)[nH]2)C3)cc1</x:v>
      </x:c>
      <x:c r="D65" s="14" t="str">
        <x:v>train</x:v>
      </x:c>
    </x:row>
    <x:row r="66" ht="21" customHeight="1">
      <x:c r="A66" s="9" t="str">
        <x:v>CHEMBL3958949</x:v>
      </x:c>
      <x:c r="B66" s="9" t="str">
        <x:v>COc1ncccc1-c1nnc(SCCCN2CCC3(CC3c3ccc(C(F)(F)F)cc3)C2)n1C</x:v>
      </x:c>
      <x:c r="C66" s="9" t="str">
        <x:v>c1ccc(C2CC23CCN(CCCSc2nnc(-c4cccnc4)[nH]2)C3)cc1</x:v>
      </x:c>
      <x:c r="D66" s="9" t="str">
        <x:v>train</x:v>
      </x:c>
    </x:row>
    <x:row r="67" ht="36" customHeight="1">
      <x:c r="A67" s="14" t="str">
        <x:v>CHEMBL3922535</x:v>
      </x:c>
      <x:c r="B67" s="14" t="str">
        <x:v>Cn1c(SCCCN2CCC3(CC3c3ccc(C(F)(F)F)cc3)C2)nnc1-c1ccc(C#N)nc1</x:v>
      </x:c>
      <x:c r="C67" s="14" t="str">
        <x:v>c1ccc(C2CC23CCN(CCCSc2nnc(-c4cccnc4)[nH]2)C3)cc1</x:v>
      </x:c>
      <x:c r="D67" s="14" t="str">
        <x:v>train</x:v>
      </x:c>
    </x:row>
    <x:row r="68" ht="36" customHeight="1">
      <x:c r="A68" s="9" t="str">
        <x:v>CHEMBL3950254</x:v>
      </x:c>
      <x:c r="B68" s="9" t="str">
        <x:v>Cn1c(SCCCN2CCC3(CC3c3ccc(C(F)(F)F)cc3)C2)nnc1-c1ccc(C(N)=O)nc1</x:v>
      </x:c>
      <x:c r="C68" s="9" t="str">
        <x:v>c1ccc(C2CC23CCN(CCCSc2nnc(-c4cccnc4)[nH]2)C3)cc1</x:v>
      </x:c>
      <x:c r="D68" s="9" t="str">
        <x:v>train</x:v>
      </x:c>
    </x:row>
    <x:row r="69" ht="36" customHeight="1">
      <x:c r="A69" s="14" t="str">
        <x:v>CHEMBL3913542</x:v>
      </x:c>
      <x:c r="B69" s="14" t="str">
        <x:v>Cc1ccc(-c2nnc(SCCCN3CCC4(CC4c4ccc(C(F)(F)F)cc4)C3)n2C)c(C)n1</x:v>
      </x:c>
      <x:c r="C69" s="14" t="str">
        <x:v>c1ccc(C2CC23CCN(CCCSc2nnc(-c4cccnc4)[nH]2)C3)cc1</x:v>
      </x:c>
      <x:c r="D69" s="14" t="str">
        <x:v>train</x:v>
      </x:c>
    </x:row>
    <x:row r="70" ht="36" customHeight="1">
      <x:c r="A70" s="9" t="str">
        <x:v>CHEMBL3941520</x:v>
      </x:c>
      <x:c r="B70" s="9" t="str">
        <x:v>Cc1nc(C(N)=O)ccc1-c1nnc(SCCCN2CCC3(CC3c3ccc(C(F)(F)F)cc3)C2)n1C</x:v>
      </x:c>
      <x:c r="C70" s="9" t="str">
        <x:v>c1ccc(C2CC23CCN(CCCSc2nnc(-c4cccnc4)[nH]2)C3)cc1</x:v>
      </x:c>
      <x:c r="D70" s="9" t="str">
        <x:v>train</x:v>
      </x:c>
    </x:row>
    <x:row r="71" ht="36" customHeight="1">
      <x:c r="A71" s="14" t="str">
        <x:v>CHEMBL3964649</x:v>
      </x:c>
      <x:c r="B71" s="14" t="str">
        <x:v>Cc1nc(C(=O)O)ccc1-c1nnc(SCCCN2CCC3(CC3c3ccc(C(F)(F)F)cc3)C2)n1C</x:v>
      </x:c>
      <x:c r="C71" s="14" t="str">
        <x:v>c1ccc(C2CC23CCN(CCCSc2nnc(-c4cccnc4)[nH]2)C3)cc1</x:v>
      </x:c>
      <x:c r="D71" s="14" t="str">
        <x:v>train</x:v>
      </x:c>
    </x:row>
    <x:row r="72" ht="36" customHeight="1">
      <x:c r="A72" s="9" t="str">
        <x:v>CHEMBL3894853</x:v>
      </x:c>
      <x:c r="B72" s="9" t="str">
        <x:v>Cn1c(SCCCN2CCC3(CC3c3ccc(C(F)(F)F)cc3)C2)nnc1-c1ccn(C)c(=O)c1</x:v>
      </x:c>
      <x:c r="C72" s="9" t="str">
        <x:v>O=c1cc(-c2nnc(SCCCN3CCC4(CC4c4ccccc4)C3)[nH]2)cc[nH]1</x:v>
      </x:c>
      <x:c r="D72" s="9" t="str">
        <x:v>train</x:v>
      </x:c>
    </x:row>
    <x:row r="73" ht="36" customHeight="1">
      <x:c r="A73" s="14" t="str">
        <x:v>CHEMBL3963243</x:v>
      </x:c>
      <x:c r="B73" s="14" t="str">
        <x:v>Cn1c(SCCCN2CCC3(CC3c3ccc(C(F)(F)F)cc3)C2)nnc1C1CCN(C(N)=O)CC1</x:v>
      </x:c>
      <x:c r="C73" s="14" t="str">
        <x:v>c1ccc(C2CC23CCN(CCCSc2nnc(C4CCNCC4)[nH]2)C3)cc1</x:v>
      </x:c>
      <x:c r="D73" s="14" t="str">
        <x:v>test</x:v>
      </x:c>
    </x:row>
    <x:row r="74" ht="21" customHeight="1">
      <x:c r="A74" s="9" t="str">
        <x:v>CHEMBL3948167</x:v>
      </x:c>
      <x:c r="B74" s="9" t="str">
        <x:v>Cn1c(SCCCN2CCC3(CC3c3ccc(C(F)(F)F)cc3)C2)nnc1C1CCOCC1</x:v>
      </x:c>
      <x:c r="C74" s="9" t="str">
        <x:v>c1ccc(C2CC23CCN(CCCSc2nnc(C4CCOCC4)[nH]2)C3)cc1</x:v>
      </x:c>
      <x:c r="D74" s="9" t="str">
        <x:v>test</x:v>
      </x:c>
    </x:row>
    <x:row r="75" ht="36" customHeight="1">
      <x:c r="A75" s="14" t="str">
        <x:v>CHEMBL3903779</x:v>
      </x:c>
      <x:c r="B75" s="14" t="str">
        <x:v>Cn1c(SCCCN2CCC3(CC3c3ccc(C(F)(F)F)cc3)C2)nnc1C1CC2CCC(C1)O2</x:v>
      </x:c>
      <x:c r="C75" s="14" t="str">
        <x:v>c1ccc(C2CC23CCN(CCCSc2nnc(C4CC5CCC(C4)O5)[nH]2)C3)cc1</x:v>
      </x:c>
      <x:c r="D75" s="14" t="str">
        <x:v>train</x:v>
      </x:c>
    </x:row>
    <x:row r="76" ht="21" customHeight="1">
      <x:c r="A76" s="9" t="str">
        <x:v>CHEMBL3958201</x:v>
      </x:c>
      <x:c r="B76" s="9" t="str">
        <x:v>Cn1c(SCCCN2CCC3(CC3c3ccc(C(F)(F)F)cc3)C2)nnc1C1CCCCC1</x:v>
      </x:c>
      <x:c r="C76" s="9" t="str">
        <x:v>c1ccc(C2CC23CCN(CCCSc2nnc(C4CCCCC4)[nH]2)C3)cc1</x:v>
      </x:c>
      <x:c r="D76" s="9" t="str">
        <x:v>train</x:v>
      </x:c>
    </x:row>
    <x:row r="77" ht="36" customHeight="1">
      <x:c r="A77" s="14" t="str">
        <x:v>CHEMBL3897772</x:v>
      </x:c>
      <x:c r="B77" s="14" t="str">
        <x:v>Cn1c(SCCCN2CCC3(CC3c3ccc(C(F)(F)F)cc3)C2)nnc1C1=CC=NC(=O)C1</x:v>
      </x:c>
      <x:c r="C77" s="14" t="str">
        <x:v>O=C1CC(c2nnc(SCCCN3CCC4(CC4c4ccccc4)C3)[nH]2)=CC=N1</x:v>
      </x:c>
      <x:c r="D77" s="14" t="str">
        <x:v>train</x:v>
      </x:c>
    </x:row>
    <x:row r="78" ht="36" customHeight="1">
      <x:c r="A78" s="9" t="str">
        <x:v>CHEMBL3912801</x:v>
      </x:c>
      <x:c r="B78" s="9" t="str">
        <x:v>CC(=O)NC1CCC(c2nnc(SCCCN3CCC4(CC4c4ccc(C(F)(F)F)cc4)C3)n2C)CC1</x:v>
      </x:c>
      <x:c r="C78" s="9" t="str">
        <x:v>c1ccc(C2CC23CCN(CCCSc2nnc(C4CCCCC4)[nH]2)C3)cc1</x:v>
      </x:c>
      <x:c r="D78" s="9" t="str">
        <x:v>train</x:v>
      </x:c>
    </x:row>
    <x:row r="79" ht="36" customHeight="1">
      <x:c r="A79" s="14" t="str">
        <x:v>CHEMBL3922838</x:v>
      </x:c>
      <x:c r="B79" s="14" t="str">
        <x:v>Cn1c(SCCCN2CCC3(CC3c3ccc(C(F)(F)F)cc3)C2)nnc1-c1ccc(=O)n(C)c1</x:v>
      </x:c>
      <x:c r="C79" s="14" t="str">
        <x:v>O=c1ccc(-c2nnc(SCCCN3CCC4(CC4c4ccccc4)C3)[nH]2)c[nH]1</x:v>
      </x:c>
      <x:c r="D79" s="14" t="str">
        <x:v>train</x:v>
      </x:c>
    </x:row>
    <x:row r="80" ht="36" customHeight="1">
      <x:c r="A80" s="9" t="str">
        <x:v>CHEMBL3913849</x:v>
      </x:c>
      <x:c r="B80" s="9" t="str">
        <x:v>Cn1c(SCCCN2CCC3(CC3c3ccc(C(F)(F)F)cc3)C2)nnc1C1CCNC(=O)C1</x:v>
      </x:c>
      <x:c r="C80" s="9" t="str">
        <x:v>O=C1CC(c2nnc(SCCCN3CCC4(CC4c4ccccc4)C3)[nH]2)CCN1</x:v>
      </x:c>
      <x:c r="D80" s="9" t="str">
        <x:v>train</x:v>
      </x:c>
    </x:row>
    <x:row r="81" ht="36" customHeight="1">
      <x:c r="A81" s="14" t="str">
        <x:v>CHEMBL3983684</x:v>
      </x:c>
      <x:c r="B81" s="14" t="str">
        <x:v>CN1CCC(c2nnc(SCCCN3CCC4(CC4c4ccc(C(F)(F)F)cc4)C3)n2C)CC1=O</x:v>
      </x:c>
      <x:c r="C81" s="14" t="str">
        <x:v>O=C1CC(c2nnc(SCCCN3CCC4(CC4c4ccccc4)C3)[nH]2)CCN1</x:v>
      </x:c>
      <x:c r="D81" s="14" t="str">
        <x:v>train</x:v>
      </x:c>
    </x:row>
  </x:sheetData>
  <x:pageMargins left="0.7" right="0.7" top="0.75" bottom="0.75" header="0.3" footer="0.3"/>
  <x:tableParts count="1">
    <x:tablePart xmlns:r="http://schemas.openxmlformats.org/officeDocument/2006/relationships" r:id="R9383fb6f88bd44b2"/>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9" hidden="0" customWidth="1"/>
    <x:col min="2" max="2" width="20" hidden="0" customWidth="1"/>
    <x:col min="3" max="3" width="27" hidden="0" customWidth="1"/>
    <x:col min="4" max="4" width="17" hidden="0" customWidth="1"/>
    <x:col min="5" max="5" width="21" hidden="0" customWidth="1"/>
    <x:col min="6" max="6" width="17" hidden="0" customWidth="1"/>
    <x:col min="7" max="7" width="18" hidden="0" customWidth="1"/>
    <x:col min="8" max="8" width="20" hidden="0" customWidth="1"/>
    <x:col min="9" max="9" width="66" hidden="0" customWidth="1"/>
    <x:col min="10" max="10" width="66" hidden="0" customWidth="1"/>
    <x:col min="11" max="11" width="21" hidden="0" customWidth="1"/>
    <x:col min="12" max="12" width="20" hidden="0" customWidth="1"/>
    <x:col min="13" max="13" width="30" hidden="0" customWidth="1"/>
    <x:col min="14" max="14" width="20" hidden="0" customWidth="1"/>
    <x:col min="15" max="15" width="20" hidden="0" customWidth="1"/>
    <x:col min="16" max="16" width="28" hidden="0" customWidth="1"/>
    <x:col min="17" max="17" width="36" hidden="0" customWidth="1"/>
    <x:col min="18" max="18" width="25" hidden="0" customWidth="1"/>
    <x:col min="19" max="19" width="66" hidden="0" customWidth="1"/>
    <x:col min="20" max="20" width="66" hidden="0" customWidth="1"/>
    <x:col min="21" max="21" width="29" hidden="0" customWidth="1"/>
    <x:col min="22" max="22" width="66" hidden="0" customWidth="1"/>
    <x:col min="23" max="23" width="66" hidden="0" customWidth="1"/>
    <x:col min="24" max="24" width="60" hidden="0" customWidth="1"/>
    <x:col min="25" max="25" width="31" hidden="0" customWidth="1"/>
    <x:col min="26" max="26" width="34" hidden="0" customWidth="1"/>
    <x:col min="27" max="27" width="17" hidden="0" customWidth="1"/>
    <x:col min="28" max="28" width="19" hidden="0" customWidth="1"/>
    <x:col min="29" max="29" width="17" hidden="0" customWidth="1"/>
    <x:col min="30" max="30" width="17" hidden="0" customWidth="1"/>
    <x:col min="31" max="31" width="17" hidden="0" customWidth="1"/>
    <x:col min="32" max="32" width="19" hidden="0" customWidth="1"/>
    <x:col min="33" max="33" width="17" hidden="0" customWidth="1"/>
    <x:col min="34" max="34" width="20" hidden="0" customWidth="1"/>
    <x:col min="35" max="35" width="17" hidden="0" customWidth="1"/>
    <x:col min="36" max="36" width="19" hidden="0" customWidth="1"/>
    <x:col min="37" max="37" width="20" hidden="0" customWidth="1"/>
    <x:col min="38" max="38" width="21" hidden="0" customWidth="1"/>
    <x:col min="39" max="39" width="23" hidden="0" customWidth="1"/>
    <x:col min="40" max="40" width="18" hidden="0" customWidth="1"/>
    <x:col min="41" max="41" width="62" hidden="0" customWidth="1"/>
  </x:cols>
  <x:sheetData>
    <x:row r="1" ht="48" customHeight="1">
      <x:c r="A1" s="6" t="str">
        <x:v>compound_id</x:v>
      </x:c>
      <x:c r="B1" s="6" t="str">
        <x:v>molecule_chembl_id</x:v>
      </x:c>
      <x:c r="C1" s="6" t="str">
        <x:v>parent_molecule_chembl_id</x:v>
      </x:c>
      <x:c r="D1" s="6" t="str">
        <x:v>activity_id</x:v>
      </x:c>
      <x:c r="E1" s="6" t="str">
        <x:v>source_activity_ids</x:v>
      </x:c>
      <x:c r="F1" s="6" t="str">
        <x:v>assay_chembl_id</x:v>
      </x:c>
      <x:c r="G1" s="6" t="str">
        <x:v>target_chembl_id</x:v>
      </x:c>
      <x:c r="H1" s="6" t="str">
        <x:v>document_chembl_id</x:v>
      </x:c>
      <x:c r="I1" s="6" t="str">
        <x:v>canonical_smiles</x:v>
      </x:c>
      <x:c r="J1" s="6" t="str">
        <x:v>source_canonical_smiles</x:v>
      </x:c>
      <x:c r="K1" s="6" t="str">
        <x:v>label_origin</x:v>
      </x:c>
      <x:c r="L1" s="6" t="str">
        <x:v>pKi</x:v>
      </x:c>
      <x:c r="M1" s="6" t="str">
        <x:v>expected_Ki_nM_from_original</x:v>
      </x:c>
      <x:c r="N1" s="6" t="str">
        <x:v>standard_Ki_nM</x:v>
      </x:c>
      <x:c r="O1" s="6" t="str">
        <x:v>roundtrip_pKi</x:v>
      </x:c>
      <x:c r="P1" s="6" t="str">
        <x:v>roundtrip_minus_source_pKi</x:v>
      </x:c>
      <x:c r="Q1" s="6" t="str">
        <x:v>standard_Ki_nM_minus_original_conversion</x:v>
      </x:c>
      <x:c r="R1" s="6" t="str">
        <x:v>conversion_tolerance_nM</x:v>
      </x:c>
      <x:c r="S1" s="6" t="str">
        <x:v>parent_smiles</x:v>
      </x:c>
      <x:c r="T1" s="6" t="str">
        <x:v>parent_isomeric_smiles</x:v>
      </x:c>
      <x:c r="U1" s="6" t="str">
        <x:v>parent_inchikey</x:v>
      </x:c>
      <x:c r="V1" s="6" t="str">
        <x:v>parent_nonisomeric_smiles</x:v>
      </x:c>
      <x:c r="W1" s="6" t="str">
        <x:v>parent_connectivity_key</x:v>
      </x:c>
      <x:c r="X1" s="6" t="str">
        <x:v>scaffold_smiles</x:v>
      </x:c>
      <x:c r="Y1" s="6" t="str">
        <x:v>structure_changed_from_source</x:v>
      </x:c>
      <x:c r="Z1" s="6" t="str">
        <x:v>source_records_for_full_identity</x:v>
      </x:c>
      <x:c r="AA1" s="6" t="str">
        <x:v>decision</x:v>
      </x:c>
      <x:c r="AB1" s="6" t="str">
        <x:v>exclusion_reasons</x:v>
      </x:c>
      <x:c r="AC1" s="6" t="str">
        <x:v>original_type</x:v>
      </x:c>
      <x:c r="AD1" s="6" t="str">
        <x:v>original_value</x:v>
      </x:c>
      <x:c r="AE1" s="6" t="str">
        <x:v>original_units</x:v>
      </x:c>
      <x:c r="AF1" s="6" t="str">
        <x:v>original_relation</x:v>
      </x:c>
      <x:c r="AG1" s="6" t="str">
        <x:v>standard_type</x:v>
      </x:c>
      <x:c r="AH1" s="6" t="str">
        <x:v>standard_value</x:v>
      </x:c>
      <x:c r="AI1" s="6" t="str">
        <x:v>standard_units</x:v>
      </x:c>
      <x:c r="AJ1" s="6" t="str">
        <x:v>standard_relation</x:v>
      </x:c>
      <x:c r="AK1" s="6" t="str">
        <x:v>pchembl_value</x:v>
      </x:c>
      <x:c r="AL1" s="6" t="str">
        <x:v>potential_duplicate</x:v>
      </x:c>
      <x:c r="AM1" s="6" t="str">
        <x:v>data_validity_comment</x:v>
      </x:c>
      <x:c r="AN1" s="6" t="str">
        <x:v>activity_comment</x:v>
      </x:c>
      <x:c r="AO1" s="6" t="str">
        <x:v>source_activity_url</x:v>
      </x:c>
    </x:row>
    <x:row r="2" ht="36" customHeight="1">
      <x:c r="A2" s="9" t="str">
        <x:v>OLWRVVHPJFLNPW-LSNLESRRSA-N</x:v>
      </x:c>
      <x:c r="B2" s="9" t="str">
        <x:v>CHEMBL85606</x:v>
      </x:c>
      <x:c r="C2" s="9" t="str">
        <x:v>CHEMBL85606</x:v>
      </x:c>
      <x:c r="D2" s="9" t="str">
        <x:v>16670133</x:v>
      </x:c>
      <x:c r="E2" s="9" t="str">
        <x:v>16670133</x:v>
      </x:c>
      <x:c r="F2" s="9" t="str">
        <x:v>CHEMBL3855278</x:v>
      </x:c>
      <x:c r="G2" s="9" t="str">
        <x:v>CHEMBL217</x:v>
      </x:c>
      <x:c r="H2" s="9" t="str">
        <x:v>CHEMBL3853329</x:v>
      </x:c>
      <x:c r="I2" s="9" t="str">
        <x:v>N#Cc1ccc2c(c1)CCN(CC[C@H]1CC[C@H](NC(=O)c3ccnc4ccccc34)CC1)C2</x:v>
      </x:c>
      <x:c r="J2" s="9" t="str">
        <x:v>N#Cc1ccc2c(c1)CCN(CC[C@H]1CC[C@H](NC(=O)c3ccnc4ccccc34)CC1)C2</x:v>
      </x:c>
      <x:c r="K2" s="9" t="str">
        <x:v>source_reported_pKi</x:v>
      </x:c>
      <x:c r="L2" s="11" t="n">
        <x:v>6.31</x:v>
      </x:c>
      <x:c r="M2" s="11" t="n">
        <x:v>489.77881936844665</x:v>
      </x:c>
      <x:c r="N2" s="11" t="n">
        <x:v>489.78</x:v>
      </x:c>
      <x:c r="O2" s="11" t="n">
        <x:v>6.309998953116937</x:v>
      </x:c>
      <x:c r="P2" s="12" t="n">
        <x:v>-0.000001046883062905124</x:v>
      </x:c>
      <x:c r="Q2" s="12" t="n">
        <x:v>0.001180631553324929</x:v>
      </x:c>
      <x:c r="R2" s="11" t="n">
        <x:v>0.00501</x:v>
      </x:c>
      <x:c r="S2" s="9" t="str">
        <x:v>N#Cc1ccc2c(c1)CCN(CC[C@H]1CC[C@H](NC(=O)c3ccnc4ccccc34)CC1)C2</x:v>
      </x:c>
      <x:c r="T2" s="9" t="str">
        <x:v>N#Cc1ccc2c(c1)CCN(CC[C@H]1CC[C@H](NC(=O)c3ccnc4ccccc34)CC1)C2</x:v>
      </x:c>
      <x:c r="U2" s="9" t="str">
        <x:v>OLWRVVHPJFLNPW-LSNLESRRSA-N</x:v>
      </x:c>
      <x:c r="V2" s="9" t="str">
        <x:v>N#Cc1ccc2c(c1)CCN(CCC1CCC(NC(=O)c3ccnc4ccccc34)CC1)C2</x:v>
      </x:c>
      <x:c r="W2" s="9" t="str">
        <x:v>12fb7de3da853f4c88ed5c3b3893f79b17e17e82d3ac4d87c1d80ae838dbb1b2</x:v>
      </x:c>
      <x:c r="X2" s="9" t="str">
        <x:v>O=C(NC1CCC(CCN2CCc3ccccc3C2)CC1)c1ccnc2ccccc12</x:v>
      </x:c>
      <x:c r="Y2" s="9" t="str">
        <x:v>false</x:v>
      </x:c>
      <x:c r="Z2" s="13" t="n">
        <x:v>1</x:v>
      </x:c>
      <x:c r="AA2" s="9" t="str">
        <x:v>include</x:v>
      </x:c>
      <x:c r="AB2" s="9" t="str"/>
      <x:c r="AC2" s="9" t="str">
        <x:v>pKi</x:v>
      </x:c>
      <x:c r="AD2" s="9" t="str">
        <x:v>6.31</x:v>
      </x:c>
      <x:c r="AE2" s="9" t="str">
        <x:v>null</x:v>
      </x:c>
      <x:c r="AF2" s="9" t="str">
        <x:v>=</x:v>
      </x:c>
      <x:c r="AG2" s="9" t="str">
        <x:v>Ki</x:v>
      </x:c>
      <x:c r="AH2" s="11" t="n">
        <x:v>489.78</x:v>
      </x:c>
      <x:c r="AI2" s="9" t="str">
        <x:v>nM</x:v>
      </x:c>
      <x:c r="AJ2" s="9" t="str">
        <x:v>=</x:v>
      </x:c>
      <x:c r="AK2" s="11" t="n">
        <x:v>6.31</x:v>
      </x:c>
      <x:c r="AL2" s="13" t="n">
        <x:v>0</x:v>
      </x:c>
      <x:c r="AM2" s="9" t="str">
        <x:v>null</x:v>
      </x:c>
      <x:c r="AN2" s="9" t="str">
        <x:v>null</x:v>
      </x:c>
      <x:c r="AO2" s="9" t="str">
        <x:v>https://www.ebi.ac.uk/chembl/api/data/activity/16670133.json</x:v>
      </x:c>
    </x:row>
    <x:row r="3" ht="36" customHeight="1">
      <x:c r="A3" s="14" t="str">
        <x:v>AAPXNHMQKBDDJN-XMSQKQJNSA-N</x:v>
      </x:c>
      <x:c r="B3" s="14" t="str">
        <x:v>CHEMBL3901211</x:v>
      </x:c>
      <x:c r="C3" s="14" t="str">
        <x:v>CHEMBL3901211</x:v>
      </x:c>
      <x:c r="D3" s="14" t="str">
        <x:v>16670136</x:v>
      </x:c>
      <x:c r="E3" s="14" t="str">
        <x:v>16670136</x:v>
      </x:c>
      <x:c r="F3" s="14" t="str">
        <x:v>CHEMBL3855278</x:v>
      </x:c>
      <x:c r="G3" s="14" t="str">
        <x:v>CHEMBL217</x:v>
      </x:c>
      <x:c r="H3" s="14" t="str">
        <x:v>CHEMBL3853329</x:v>
      </x:c>
      <x:c r="I3" s="14" t="str">
        <x:v>Cc1ncoc1-c1nnc(SCCCN2CC[C@@]3(C[C@@H]3c3ccccc3)C2)n1C</x:v>
      </x:c>
      <x:c r="J3" s="14" t="str">
        <x:v>Cc1ncoc1-c1nnc(SCCCN2CC[C@@]3(C[C@@H]3c3ccccc3)C2)n1C</x:v>
      </x:c>
      <x:c r="K3" s="14" t="str">
        <x:v>source_reported_pKi</x:v>
      </x:c>
      <x:c r="L3" s="15" t="n">
        <x:v>6.15</x:v>
      </x:c>
      <x:c r="M3" s="15" t="n">
        <x:v>707.9457843841374</x:v>
      </x:c>
      <x:c r="N3" s="15" t="n">
        <x:v>707.95</x:v>
      </x:c>
      <x:c r="O3" s="15" t="n">
        <x:v>6.149997413907538</x:v>
      </x:c>
      <x:c r="P3" s="16" t="n">
        <x:v>-0.0000025860924619536263</x:v>
      </x:c>
      <x:c r="Q3" s="16" t="n">
        <x:v>0.004215615862676714</x:v>
      </x:c>
      <x:c r="R3" s="15" t="n">
        <x:v>0.00501</x:v>
      </x:c>
      <x:c r="S3" s="14" t="str">
        <x:v>Cc1ncoc1-c1nnc(SCCCN2CC[C@@]3(C[C@@H]3c3ccccc3)C2)n1C</x:v>
      </x:c>
      <x:c r="T3" s="14" t="str">
        <x:v>Cc1ncoc1-c1nnc(SCCCN2CC[C@@]3(C[C@@H]3c3ccccc3)C2)n1C</x:v>
      </x:c>
      <x:c r="U3" s="14" t="str">
        <x:v>AAPXNHMQKBDDJN-XMSQKQJNSA-N</x:v>
      </x:c>
      <x:c r="V3" s="14" t="str">
        <x:v>Cc1ncoc1-c1nnc(SCCCN2CCC3(CC3c3ccccc3)C2)n1C</x:v>
      </x:c>
      <x:c r="W3" s="14" t="str">
        <x:v>5f5097a99ca905252039130a837b04ee6e5d355221accf984a4fc65edd2b7538</x:v>
      </x:c>
      <x:c r="X3" s="14" t="str">
        <x:v>c1ccc(C2CC23CCN(CCCSc2nnc(-c4cnco4)[nH]2)C3)cc1</x:v>
      </x:c>
      <x:c r="Y3" s="14" t="str">
        <x:v>false</x:v>
      </x:c>
      <x:c r="Z3" s="17" t="n">
        <x:v>1</x:v>
      </x:c>
      <x:c r="AA3" s="14" t="str">
        <x:v>include</x:v>
      </x:c>
      <x:c r="AB3" s="14" t="str"/>
      <x:c r="AC3" s="14" t="str">
        <x:v>pKi</x:v>
      </x:c>
      <x:c r="AD3" s="14" t="str">
        <x:v>6.15</x:v>
      </x:c>
      <x:c r="AE3" s="14" t="str">
        <x:v>null</x:v>
      </x:c>
      <x:c r="AF3" s="14" t="str">
        <x:v>=</x:v>
      </x:c>
      <x:c r="AG3" s="14" t="str">
        <x:v>Ki</x:v>
      </x:c>
      <x:c r="AH3" s="15" t="n">
        <x:v>707.95</x:v>
      </x:c>
      <x:c r="AI3" s="14" t="str">
        <x:v>nM</x:v>
      </x:c>
      <x:c r="AJ3" s="14" t="str">
        <x:v>=</x:v>
      </x:c>
      <x:c r="AK3" s="15" t="n">
        <x:v>6.15</x:v>
      </x:c>
      <x:c r="AL3" s="17" t="n">
        <x:v>0</x:v>
      </x:c>
      <x:c r="AM3" s="14" t="str">
        <x:v>null</x:v>
      </x:c>
      <x:c r="AN3" s="14" t="str">
        <x:v>null</x:v>
      </x:c>
      <x:c r="AO3" s="14" t="str">
        <x:v>https://www.ebi.ac.uk/chembl/api/data/activity/16670136.json</x:v>
      </x:c>
    </x:row>
    <x:row r="4" ht="36" customHeight="1">
      <x:c r="A4" s="9" t="str">
        <x:v>AAPXNHMQKBDDJN-PGRDOPGGSA-N</x:v>
      </x:c>
      <x:c r="B4" s="9" t="str">
        <x:v>CHEMBL3983937</x:v>
      </x:c>
      <x:c r="C4" s="9" t="str">
        <x:v>CHEMBL3983937</x:v>
      </x:c>
      <x:c r="D4" s="9" t="str">
        <x:v>16670139</x:v>
      </x:c>
      <x:c r="E4" s="9" t="str">
        <x:v>16670139</x:v>
      </x:c>
      <x:c r="F4" s="9" t="str">
        <x:v>CHEMBL3855278</x:v>
      </x:c>
      <x:c r="G4" s="9" t="str">
        <x:v>CHEMBL217</x:v>
      </x:c>
      <x:c r="H4" s="9" t="str">
        <x:v>CHEMBL3853329</x:v>
      </x:c>
      <x:c r="I4" s="9" t="str">
        <x:v>Cc1ncoc1-c1nnc(SCCCN2CC[C@@]3(C[C@H]3c3ccccc3)C2)n1C</x:v>
      </x:c>
      <x:c r="J4" s="9" t="str">
        <x:v>Cc1ncoc1-c1nnc(SCCCN2CC[C@@]3(C[C@H]3c3ccccc3)C2)n1C</x:v>
      </x:c>
      <x:c r="K4" s="9" t="str">
        <x:v>source_reported_pKi</x:v>
      </x:c>
      <x:c r="L4" s="11" t="n">
        <x:v>6.1</x:v>
      </x:c>
      <x:c r="M4" s="11" t="n">
        <x:v>794.3282347242822</x:v>
      </x:c>
      <x:c r="N4" s="11" t="n">
        <x:v>794.33</x:v>
      </x:c>
      <x:c r="O4" s="11" t="n">
        <x:v>6.0999990348465305</x:v>
      </x:c>
      <x:c r="P4" s="12" t="n">
        <x:v>-9.651534691457186e-7</x:v>
      </x:c>
      <x:c r="Q4" s="12" t="n">
        <x:v>0.001765275717843906</x:v>
      </x:c>
      <x:c r="R4" s="11" t="n">
        <x:v>0.00501</x:v>
      </x:c>
      <x:c r="S4" s="9" t="str">
        <x:v>Cc1ncoc1-c1nnc(SCCCN2CC[C@@]3(C[C@H]3c3ccccc3)C2)n1C</x:v>
      </x:c>
      <x:c r="T4" s="9" t="str">
        <x:v>Cc1ncoc1-c1nnc(SCCCN2CC[C@@]3(C[C@H]3c3ccccc3)C2)n1C</x:v>
      </x:c>
      <x:c r="U4" s="9" t="str">
        <x:v>AAPXNHMQKBDDJN-PGRDOPGGSA-N</x:v>
      </x:c>
      <x:c r="V4" s="9" t="str">
        <x:v>Cc1ncoc1-c1nnc(SCCCN2CCC3(CC3c3ccccc3)C2)n1C</x:v>
      </x:c>
      <x:c r="W4" s="9" t="str">
        <x:v>5f5097a99ca905252039130a837b04ee6e5d355221accf984a4fc65edd2b7538</x:v>
      </x:c>
      <x:c r="X4" s="9" t="str">
        <x:v>c1ccc(C2CC23CCN(CCCSc2nnc(-c4cnco4)[nH]2)C3)cc1</x:v>
      </x:c>
      <x:c r="Y4" s="9" t="str">
        <x:v>false</x:v>
      </x:c>
      <x:c r="Z4" s="13" t="n">
        <x:v>1</x:v>
      </x:c>
      <x:c r="AA4" s="9" t="str">
        <x:v>include</x:v>
      </x:c>
      <x:c r="AB4" s="9" t="str"/>
      <x:c r="AC4" s="9" t="str">
        <x:v>pKi</x:v>
      </x:c>
      <x:c r="AD4" s="9" t="str">
        <x:v>6.1</x:v>
      </x:c>
      <x:c r="AE4" s="9" t="str">
        <x:v>null</x:v>
      </x:c>
      <x:c r="AF4" s="9" t="str">
        <x:v>=</x:v>
      </x:c>
      <x:c r="AG4" s="9" t="str">
        <x:v>Ki</x:v>
      </x:c>
      <x:c r="AH4" s="11" t="n">
        <x:v>794.33</x:v>
      </x:c>
      <x:c r="AI4" s="9" t="str">
        <x:v>nM</x:v>
      </x:c>
      <x:c r="AJ4" s="9" t="str">
        <x:v>=</x:v>
      </x:c>
      <x:c r="AK4" s="11" t="n">
        <x:v>6.1</x:v>
      </x:c>
      <x:c r="AL4" s="13" t="n">
        <x:v>0</x:v>
      </x:c>
      <x:c r="AM4" s="9" t="str">
        <x:v>null</x:v>
      </x:c>
      <x:c r="AN4" s="9" t="str">
        <x:v>null</x:v>
      </x:c>
      <x:c r="AO4" s="9" t="str">
        <x:v>https://www.ebi.ac.uk/chembl/api/data/activity/16670139.json</x:v>
      </x:c>
    </x:row>
    <x:row r="5" ht="36" customHeight="1">
      <x:c r="A5" s="14" t="str">
        <x:v>MNAFRWGRFIBAQX-XMSQKQJNSA-N</x:v>
      </x:c>
      <x:c r="B5" s="14" t="str">
        <x:v>CHEMBL3944642</x:v>
      </x:c>
      <x:c r="C5" s="14" t="str">
        <x:v>CHEMBL3944642</x:v>
      </x:c>
      <x:c r="D5" s="14" t="str">
        <x:v>16670142</x:v>
      </x:c>
      <x:c r="E5" s="14" t="str">
        <x:v>16670142</x:v>
      </x:c>
      <x:c r="F5" s="14" t="str">
        <x:v>CHEMBL3855278</x:v>
      </x:c>
      <x:c r="G5" s="14" t="str">
        <x:v>CHEMBL217</x:v>
      </x:c>
      <x:c r="H5" s="14" t="str">
        <x:v>CHEMBL3853329</x:v>
      </x:c>
      <x:c r="I5" s="14" t="str">
        <x:v>Cc1ncoc1-c1nnc(SCCCN2CC[C@@]3(C[C@@H]3c3ccc(C(F)(F)F)cc3)C2)n1C</x:v>
      </x:c>
      <x:c r="J5" s="14" t="str">
        <x:v>Cc1ncoc1-c1nnc(SCCCN2CC[C@@]3(C[C@@H]3c3ccc(C(F)(F)F)cc3)C2)n1C</x:v>
      </x:c>
      <x:c r="K5" s="14" t="str">
        <x:v>source_reported_pKi</x:v>
      </x:c>
      <x:c r="L5" s="15" t="n">
        <x:v>6.2</x:v>
      </x:c>
      <x:c r="M5" s="15" t="n">
        <x:v>630.957344480193</x:v>
      </x:c>
      <x:c r="N5" s="15" t="n">
        <x:v>630.96</x:v>
      </x:c>
      <x:c r="O5" s="15" t="n">
        <x:v>6.199998172182031</x:v>
      </x:c>
      <x:c r="P5" s="16" t="n">
        <x:v>-0.0000018278179689801277</x:v>
      </x:c>
      <x:c r="Q5" s="16" t="n">
        <x:v>0.002655519807035489</x:v>
      </x:c>
      <x:c r="R5" s="15" t="n">
        <x:v>0.00501</x:v>
      </x:c>
      <x:c r="S5" s="14" t="str">
        <x:v>Cc1ncoc1-c1nnc(SCCCN2CC[C@@]3(C[C@@H]3c3ccc(C(F)(F)F)cc3)C2)n1C</x:v>
      </x:c>
      <x:c r="T5" s="14" t="str">
        <x:v>Cc1ncoc1-c1nnc(SCCCN2CC[C@@]3(C[C@@H]3c3ccc(C(F)(F)F)cc3)C2)n1C</x:v>
      </x:c>
      <x:c r="U5" s="14" t="str">
        <x:v>MNAFRWGRFIBAQX-XMSQKQJNSA-N</x:v>
      </x:c>
      <x:c r="V5" s="14" t="str">
        <x:v>Cc1ncoc1-c1nnc(SCCCN2CCC3(CC3c3ccc(C(F)(F)F)cc3)C2)n1C</x:v>
      </x:c>
      <x:c r="W5" s="14" t="str">
        <x:v>e3a2c9462c470a8faba1f80f0df7030c9cff4d7388916c3868b2ea7a12536c64</x:v>
      </x:c>
      <x:c r="X5" s="14" t="str">
        <x:v>c1ccc(C2CC23CCN(CCCSc2nnc(-c4cnco4)[nH]2)C3)cc1</x:v>
      </x:c>
      <x:c r="Y5" s="14" t="str">
        <x:v>false</x:v>
      </x:c>
      <x:c r="Z5" s="17" t="n">
        <x:v>1</x:v>
      </x:c>
      <x:c r="AA5" s="14" t="str">
        <x:v>include</x:v>
      </x:c>
      <x:c r="AB5" s="14" t="str"/>
      <x:c r="AC5" s="14" t="str">
        <x:v>pKi</x:v>
      </x:c>
      <x:c r="AD5" s="14" t="str">
        <x:v>6.2</x:v>
      </x:c>
      <x:c r="AE5" s="14" t="str">
        <x:v>null</x:v>
      </x:c>
      <x:c r="AF5" s="14" t="str">
        <x:v>=</x:v>
      </x:c>
      <x:c r="AG5" s="14" t="str">
        <x:v>Ki</x:v>
      </x:c>
      <x:c r="AH5" s="15" t="n">
        <x:v>630.96</x:v>
      </x:c>
      <x:c r="AI5" s="14" t="str">
        <x:v>nM</x:v>
      </x:c>
      <x:c r="AJ5" s="14" t="str">
        <x:v>=</x:v>
      </x:c>
      <x:c r="AK5" s="15" t="n">
        <x:v>6.2</x:v>
      </x:c>
      <x:c r="AL5" s="17" t="n">
        <x:v>0</x:v>
      </x:c>
      <x:c r="AM5" s="14" t="str">
        <x:v>null</x:v>
      </x:c>
      <x:c r="AN5" s="14" t="str">
        <x:v>null</x:v>
      </x:c>
      <x:c r="AO5" s="14" t="str">
        <x:v>https://www.ebi.ac.uk/chembl/api/data/activity/16670142.json</x:v>
      </x:c>
    </x:row>
    <x:row r="6" ht="36" customHeight="1">
      <x:c r="A6" s="9" t="str">
        <x:v>KLQDZSYTMPJBBU-DYESRHJHSA-N</x:v>
      </x:c>
      <x:c r="B6" s="9" t="str">
        <x:v>CHEMBL3953365</x:v>
      </x:c>
      <x:c r="C6" s="9" t="str">
        <x:v>CHEMBL3953365</x:v>
      </x:c>
      <x:c r="D6" s="9" t="str">
        <x:v>16670148</x:v>
      </x:c>
      <x:c r="E6" s="9" t="str">
        <x:v>16670148</x:v>
      </x:c>
      <x:c r="F6" s="9" t="str">
        <x:v>CHEMBL3855278</x:v>
      </x:c>
      <x:c r="G6" s="9" t="str">
        <x:v>CHEMBL217</x:v>
      </x:c>
      <x:c r="H6" s="9" t="str">
        <x:v>CHEMBL3853329</x:v>
      </x:c>
      <x:c r="I6" s="9" t="str">
        <x:v>Cc1ncoc1-c1nnc(SCCN2CC[C@@]3(C[C@@H]3c3ccc(C(F)(F)F)cc3)C2)n1C</x:v>
      </x:c>
      <x:c r="J6" s="9" t="str">
        <x:v>Cc1ncoc1-c1nnc(SCCN2CC[C@@]3(C[C@@H]3c3ccc(C(F)(F)F)cc3)C2)n1C</x:v>
      </x:c>
      <x:c r="K6" s="9" t="str">
        <x:v>source_reported_pKi</x:v>
      </x:c>
      <x:c r="L6" s="11" t="n">
        <x:v>6.1</x:v>
      </x:c>
      <x:c r="M6" s="11" t="n">
        <x:v>794.3282347242822</x:v>
      </x:c>
      <x:c r="N6" s="11" t="n">
        <x:v>794.33</x:v>
      </x:c>
      <x:c r="O6" s="11" t="n">
        <x:v>6.0999990348465305</x:v>
      </x:c>
      <x:c r="P6" s="12" t="n">
        <x:v>-9.651534691457186e-7</x:v>
      </x:c>
      <x:c r="Q6" s="12" t="n">
        <x:v>0.001765275717843906</x:v>
      </x:c>
      <x:c r="R6" s="11" t="n">
        <x:v>0.00501</x:v>
      </x:c>
      <x:c r="S6" s="9" t="str">
        <x:v>Cc1ncoc1-c1nnc(SCCN2CC[C@@]3(C[C@@H]3c3ccc(C(F)(F)F)cc3)C2)n1C</x:v>
      </x:c>
      <x:c r="T6" s="9" t="str">
        <x:v>Cc1ncoc1-c1nnc(SCCN2CC[C@@]3(C[C@@H]3c3ccc(C(F)(F)F)cc3)C2)n1C</x:v>
      </x:c>
      <x:c r="U6" s="9" t="str">
        <x:v>KLQDZSYTMPJBBU-DYESRHJHSA-N</x:v>
      </x:c>
      <x:c r="V6" s="9" t="str">
        <x:v>Cc1ncoc1-c1nnc(SCCN2CCC3(CC3c3ccc(C(F)(F)F)cc3)C2)n1C</x:v>
      </x:c>
      <x:c r="W6" s="9" t="str">
        <x:v>bbd50de4d018dd84edd1132e29be4a6288b1afe6b09fdc0525ff1bd782c8c725</x:v>
      </x:c>
      <x:c r="X6" s="9" t="str">
        <x:v>c1ccc(C2CC23CCN(CCSc2nnc(-c4cnco4)[nH]2)C3)cc1</x:v>
      </x:c>
      <x:c r="Y6" s="9" t="str">
        <x:v>false</x:v>
      </x:c>
      <x:c r="Z6" s="13" t="n">
        <x:v>1</x:v>
      </x:c>
      <x:c r="AA6" s="9" t="str">
        <x:v>include</x:v>
      </x:c>
      <x:c r="AB6" s="9" t="str"/>
      <x:c r="AC6" s="9" t="str">
        <x:v>pKi</x:v>
      </x:c>
      <x:c r="AD6" s="9" t="str">
        <x:v>6.1</x:v>
      </x:c>
      <x:c r="AE6" s="9" t="str">
        <x:v>null</x:v>
      </x:c>
      <x:c r="AF6" s="9" t="str">
        <x:v>=</x:v>
      </x:c>
      <x:c r="AG6" s="9" t="str">
        <x:v>Ki</x:v>
      </x:c>
      <x:c r="AH6" s="11" t="n">
        <x:v>794.33</x:v>
      </x:c>
      <x:c r="AI6" s="9" t="str">
        <x:v>nM</x:v>
      </x:c>
      <x:c r="AJ6" s="9" t="str">
        <x:v>=</x:v>
      </x:c>
      <x:c r="AK6" s="11" t="n">
        <x:v>6.1</x:v>
      </x:c>
      <x:c r="AL6" s="13" t="n">
        <x:v>0</x:v>
      </x:c>
      <x:c r="AM6" s="9" t="str">
        <x:v>null</x:v>
      </x:c>
      <x:c r="AN6" s="9" t="str">
        <x:v>null</x:v>
      </x:c>
      <x:c r="AO6" s="9" t="str">
        <x:v>https://www.ebi.ac.uk/chembl/api/data/activity/16670148.json</x:v>
      </x:c>
    </x:row>
    <x:row r="7" ht="36" customHeight="1">
      <x:c r="A7" s="14" t="str">
        <x:v>KLQDZSYTMPJBBU-UTKZUKDTSA-N</x:v>
      </x:c>
      <x:c r="B7" s="14" t="str">
        <x:v>CHEMBL3936812</x:v>
      </x:c>
      <x:c r="C7" s="14" t="str">
        <x:v>CHEMBL3936812</x:v>
      </x:c>
      <x:c r="D7" s="14" t="str">
        <x:v>16670149</x:v>
      </x:c>
      <x:c r="E7" s="14" t="str">
        <x:v>16670149</x:v>
      </x:c>
      <x:c r="F7" s="14" t="str">
        <x:v>CHEMBL3855278</x:v>
      </x:c>
      <x:c r="G7" s="14" t="str">
        <x:v>CHEMBL217</x:v>
      </x:c>
      <x:c r="H7" s="14" t="str">
        <x:v>CHEMBL3853329</x:v>
      </x:c>
      <x:c r="I7" s="14" t="str">
        <x:v>Cc1ncoc1-c1nnc(SCCN2CC[C@]3(C[C@@H]3c3ccc(C(F)(F)F)cc3)C2)n1C</x:v>
      </x:c>
      <x:c r="J7" s="14" t="str">
        <x:v>Cc1ncoc1-c1nnc(SCCN2CC[C@]3(C[C@@H]3c3ccc(C(F)(F)F)cc3)C2)n1C</x:v>
      </x:c>
      <x:c r="K7" s="14" t="str">
        <x:v>source_reported_pKi</x:v>
      </x:c>
      <x:c r="L7" s="15" t="n">
        <x:v>6.28</x:v>
      </x:c>
      <x:c r="M7" s="15" t="n">
        <x:v>524.8074602497722</x:v>
      </x:c>
      <x:c r="N7" s="15" t="n">
        <x:v>524.81</x:v>
      </x:c>
      <x:c r="O7" s="15" t="n">
        <x:v>6.279997898282849</x:v>
      </x:c>
      <x:c r="P7" s="16" t="n">
        <x:v>-0.0000021017171514259303</x:v>
      </x:c>
      <x:c r="Q7" s="16" t="n">
        <x:v>0.0025397502276973682</x:v>
      </x:c>
      <x:c r="R7" s="15" t="n">
        <x:v>0.00501</x:v>
      </x:c>
      <x:c r="S7" s="14" t="str">
        <x:v>Cc1ncoc1-c1nnc(SCCN2CC[C@]3(C[C@@H]3c3ccc(C(F)(F)F)cc3)C2)n1C</x:v>
      </x:c>
      <x:c r="T7" s="14" t="str">
        <x:v>Cc1ncoc1-c1nnc(SCCN2CC[C@]3(C[C@@H]3c3ccc(C(F)(F)F)cc3)C2)n1C</x:v>
      </x:c>
      <x:c r="U7" s="14" t="str">
        <x:v>KLQDZSYTMPJBBU-UTKZUKDTSA-N</x:v>
      </x:c>
      <x:c r="V7" s="14" t="str">
        <x:v>Cc1ncoc1-c1nnc(SCCN2CCC3(CC3c3ccc(C(F)(F)F)cc3)C2)n1C</x:v>
      </x:c>
      <x:c r="W7" s="14" t="str">
        <x:v>bbd50de4d018dd84edd1132e29be4a6288b1afe6b09fdc0525ff1bd782c8c725</x:v>
      </x:c>
      <x:c r="X7" s="14" t="str">
        <x:v>c1ccc(C2CC23CCN(CCSc2nnc(-c4cnco4)[nH]2)C3)cc1</x:v>
      </x:c>
      <x:c r="Y7" s="14" t="str">
        <x:v>false</x:v>
      </x:c>
      <x:c r="Z7" s="17" t="n">
        <x:v>1</x:v>
      </x:c>
      <x:c r="AA7" s="14" t="str">
        <x:v>include</x:v>
      </x:c>
      <x:c r="AB7" s="14" t="str"/>
      <x:c r="AC7" s="14" t="str">
        <x:v>pKi</x:v>
      </x:c>
      <x:c r="AD7" s="14" t="str">
        <x:v>6.28</x:v>
      </x:c>
      <x:c r="AE7" s="14" t="str">
        <x:v>null</x:v>
      </x:c>
      <x:c r="AF7" s="14" t="str">
        <x:v>=</x:v>
      </x:c>
      <x:c r="AG7" s="14" t="str">
        <x:v>Ki</x:v>
      </x:c>
      <x:c r="AH7" s="15" t="n">
        <x:v>524.81</x:v>
      </x:c>
      <x:c r="AI7" s="14" t="str">
        <x:v>nM</x:v>
      </x:c>
      <x:c r="AJ7" s="14" t="str">
        <x:v>=</x:v>
      </x:c>
      <x:c r="AK7" s="15" t="n">
        <x:v>6.28</x:v>
      </x:c>
      <x:c r="AL7" s="17" t="n">
        <x:v>0</x:v>
      </x:c>
      <x:c r="AM7" s="14" t="str">
        <x:v>null</x:v>
      </x:c>
      <x:c r="AN7" s="14" t="str">
        <x:v>null</x:v>
      </x:c>
      <x:c r="AO7" s="14" t="str">
        <x:v>https://www.ebi.ac.uk/chembl/api/data/activity/16670149.json</x:v>
      </x:c>
    </x:row>
    <x:row r="8" ht="36" customHeight="1">
      <x:c r="A8" s="9" t="str">
        <x:v>NLRLHXJCWYCRGC-XXBNENTESA-N</x:v>
      </x:c>
      <x:c r="B8" s="9" t="str">
        <x:v>CHEMBL3908862</x:v>
      </x:c>
      <x:c r="C8" s="9" t="str">
        <x:v>CHEMBL3908862</x:v>
      </x:c>
      <x:c r="D8" s="9" t="str">
        <x:v>16670150</x:v>
      </x:c>
      <x:c r="E8" s="9" t="str">
        <x:v>16670150</x:v>
      </x:c>
      <x:c r="F8" s="9" t="str">
        <x:v>CHEMBL3855278</x:v>
      </x:c>
      <x:c r="G8" s="9" t="str">
        <x:v>CHEMBL217</x:v>
      </x:c>
      <x:c r="H8" s="9" t="str">
        <x:v>CHEMBL3853329</x:v>
      </x:c>
      <x:c r="I8" s="9" t="str">
        <x:v>Cc1ncoc1-c1nnc(SCCCCN2CC[C@]3(C[C@@H]3c3ccc(C(F)(F)F)cc3)C2)n1C</x:v>
      </x:c>
      <x:c r="J8" s="9" t="str">
        <x:v>Cc1ncoc1-c1nnc(SCCCCN2CC[C@]3(C[C@@H]3c3ccc(C(F)(F)F)cc3)C2)n1C</x:v>
      </x:c>
      <x:c r="K8" s="9" t="str">
        <x:v>source_reported_pKi</x:v>
      </x:c>
      <x:c r="L8" s="11" t="n">
        <x:v>6.01</x:v>
      </x:c>
      <x:c r="M8" s="11" t="n">
        <x:v>977.2372209558112</x:v>
      </x:c>
      <x:c r="N8" s="11" t="n">
        <x:v>977.24</x:v>
      </x:c>
      <x:c r="O8" s="11" t="n">
        <x:v>6.009998764965339</x:v>
      </x:c>
      <x:c r="P8" s="12" t="n">
        <x:v>-0.0000012350346612066687</x:v>
      </x:c>
      <x:c r="Q8" s="12" t="n">
        <x:v>0.0027790441888555506</x:v>
      </x:c>
      <x:c r="R8" s="11" t="n">
        <x:v>0.00501</x:v>
      </x:c>
      <x:c r="S8" s="9" t="str">
        <x:v>Cc1ncoc1-c1nnc(SCCCCN2CC[C@]3(C[C@@H]3c3ccc(C(F)(F)F)cc3)C2)n1C</x:v>
      </x:c>
      <x:c r="T8" s="9" t="str">
        <x:v>Cc1ncoc1-c1nnc(SCCCCN2CC[C@]3(C[C@@H]3c3ccc(C(F)(F)F)cc3)C2)n1C</x:v>
      </x:c>
      <x:c r="U8" s="9" t="str">
        <x:v>NLRLHXJCWYCRGC-XXBNENTESA-N</x:v>
      </x:c>
      <x:c r="V8" s="9" t="str">
        <x:v>Cc1ncoc1-c1nnc(SCCCCN2CCC3(CC3c3ccc(C(F)(F)F)cc3)C2)n1C</x:v>
      </x:c>
      <x:c r="W8" s="9" t="str">
        <x:v>cf55bd8242637111ac1412246135c5587ce155437f47e4f4b244ada77f1a0056</x:v>
      </x:c>
      <x:c r="X8" s="9" t="str">
        <x:v>c1ccc(C2CC23CCN(CCCCSc2nnc(-c4cnco4)[nH]2)C3)cc1</x:v>
      </x:c>
      <x:c r="Y8" s="9" t="str">
        <x:v>false</x:v>
      </x:c>
      <x:c r="Z8" s="13" t="n">
        <x:v>1</x:v>
      </x:c>
      <x:c r="AA8" s="9" t="str">
        <x:v>include</x:v>
      </x:c>
      <x:c r="AB8" s="9" t="str"/>
      <x:c r="AC8" s="9" t="str">
        <x:v>pKi</x:v>
      </x:c>
      <x:c r="AD8" s="9" t="str">
        <x:v>6.01</x:v>
      </x:c>
      <x:c r="AE8" s="9" t="str">
        <x:v>null</x:v>
      </x:c>
      <x:c r="AF8" s="9" t="str">
        <x:v>=</x:v>
      </x:c>
      <x:c r="AG8" s="9" t="str">
        <x:v>Ki</x:v>
      </x:c>
      <x:c r="AH8" s="11" t="n">
        <x:v>977.24</x:v>
      </x:c>
      <x:c r="AI8" s="9" t="str">
        <x:v>nM</x:v>
      </x:c>
      <x:c r="AJ8" s="9" t="str">
        <x:v>=</x:v>
      </x:c>
      <x:c r="AK8" s="11" t="n">
        <x:v>6.01</x:v>
      </x:c>
      <x:c r="AL8" s="13" t="n">
        <x:v>0</x:v>
      </x:c>
      <x:c r="AM8" s="9" t="str">
        <x:v>null</x:v>
      </x:c>
      <x:c r="AN8" s="9" t="str">
        <x:v>null</x:v>
      </x:c>
      <x:c r="AO8" s="9" t="str">
        <x:v>https://www.ebi.ac.uk/chembl/api/data/activity/16670150.json</x:v>
      </x:c>
    </x:row>
    <x:row r="9" ht="36" customHeight="1">
      <x:c r="A9" s="14" t="str">
        <x:v>RRSUWPYFZSEELD-XMSQKQJNSA-N</x:v>
      </x:c>
      <x:c r="B9" s="14" t="str">
        <x:v>CHEMBL3975989</x:v>
      </x:c>
      <x:c r="C9" s="14" t="str">
        <x:v>CHEMBL3975989</x:v>
      </x:c>
      <x:c r="D9" s="14" t="str">
        <x:v>16670153</x:v>
      </x:c>
      <x:c r="E9" s="14" t="str">
        <x:v>16670153</x:v>
      </x:c>
      <x:c r="F9" s="14" t="str">
        <x:v>CHEMBL3855278</x:v>
      </x:c>
      <x:c r="G9" s="14" t="str">
        <x:v>CHEMBL217</x:v>
      </x:c>
      <x:c r="H9" s="14" t="str">
        <x:v>CHEMBL3853329</x:v>
      </x:c>
      <x:c r="I9" s="14" t="str">
        <x:v>Cc1ncoc1-c1nnc(SCCCN2CC[C@@]3(C[C@@H]3c3ccccc3C(F)(F)F)C2)n1C</x:v>
      </x:c>
      <x:c r="J9" s="14" t="str">
        <x:v>Cc1ncoc1-c1nnc(SCCCN2CC[C@@]3(C[C@@H]3c3ccccc3C(F)(F)F)C2)n1C</x:v>
      </x:c>
      <x:c r="K9" s="14" t="str">
        <x:v>source_reported_pKi</x:v>
      </x:c>
      <x:c r="L9" s="15" t="n">
        <x:v>7.2</x:v>
      </x:c>
      <x:c r="M9" s="15" t="n">
        <x:v>63.0957344480193</x:v>
      </x:c>
      <x:c r="N9" s="15" t="n">
        <x:v>63.1</x:v>
      </x:c>
      <x:c r="O9" s="15" t="n">
        <x:v>7.199970640755866</x:v>
      </x:c>
      <x:c r="P9" s="16" t="n">
        <x:v>-0.000029359244134496976</x:v>
      </x:c>
      <x:c r="Q9" s="16" t="n">
        <x:v>0.004265551980701332</x:v>
      </x:c>
      <x:c r="R9" s="15" t="n">
        <x:v>0.00501</x:v>
      </x:c>
      <x:c r="S9" s="14" t="str">
        <x:v>Cc1ncoc1-c1nnc(SCCCN2CC[C@@]3(C[C@@H]3c3ccccc3C(F)(F)F)C2)n1C</x:v>
      </x:c>
      <x:c r="T9" s="14" t="str">
        <x:v>Cc1ncoc1-c1nnc(SCCCN2CC[C@@]3(C[C@@H]3c3ccccc3C(F)(F)F)C2)n1C</x:v>
      </x:c>
      <x:c r="U9" s="14" t="str">
        <x:v>RRSUWPYFZSEELD-XMSQKQJNSA-N</x:v>
      </x:c>
      <x:c r="V9" s="14" t="str">
        <x:v>Cc1ncoc1-c1nnc(SCCCN2CCC3(CC3c3ccccc3C(F)(F)F)C2)n1C</x:v>
      </x:c>
      <x:c r="W9" s="14" t="str">
        <x:v>6cc8558ed72c30e952e25a4d6337f3a3a0e3af95f919871ea82f7497a0516262</x:v>
      </x:c>
      <x:c r="X9" s="14" t="str">
        <x:v>c1ccc(C2CC23CCN(CCCSc2nnc(-c4cnco4)[nH]2)C3)cc1</x:v>
      </x:c>
      <x:c r="Y9" s="14" t="str">
        <x:v>false</x:v>
      </x:c>
      <x:c r="Z9" s="17" t="n">
        <x:v>1</x:v>
      </x:c>
      <x:c r="AA9" s="14" t="str">
        <x:v>include</x:v>
      </x:c>
      <x:c r="AB9" s="14" t="str"/>
      <x:c r="AC9" s="14" t="str">
        <x:v>pKi</x:v>
      </x:c>
      <x:c r="AD9" s="14" t="str">
        <x:v>7.2</x:v>
      </x:c>
      <x:c r="AE9" s="14" t="str">
        <x:v>null</x:v>
      </x:c>
      <x:c r="AF9" s="14" t="str">
        <x:v>=</x:v>
      </x:c>
      <x:c r="AG9" s="14" t="str">
        <x:v>Ki</x:v>
      </x:c>
      <x:c r="AH9" s="15" t="n">
        <x:v>63.1</x:v>
      </x:c>
      <x:c r="AI9" s="14" t="str">
        <x:v>nM</x:v>
      </x:c>
      <x:c r="AJ9" s="14" t="str">
        <x:v>=</x:v>
      </x:c>
      <x:c r="AK9" s="15" t="n">
        <x:v>7.2</x:v>
      </x:c>
      <x:c r="AL9" s="17" t="n">
        <x:v>0</x:v>
      </x:c>
      <x:c r="AM9" s="14" t="str">
        <x:v>null</x:v>
      </x:c>
      <x:c r="AN9" s="14" t="str">
        <x:v>null</x:v>
      </x:c>
      <x:c r="AO9" s="14" t="str">
        <x:v>https://www.ebi.ac.uk/chembl/api/data/activity/16670153.json</x:v>
      </x:c>
    </x:row>
    <x:row r="10" ht="36" customHeight="1">
      <x:c r="A10" s="9" t="str">
        <x:v>RRSUWPYFZSEELD-GCJKJVERSA-N</x:v>
      </x:c>
      <x:c r="B10" s="9" t="str">
        <x:v>CHEMBL3905196</x:v>
      </x:c>
      <x:c r="C10" s="9" t="str">
        <x:v>CHEMBL3905196</x:v>
      </x:c>
      <x:c r="D10" s="9" t="str">
        <x:v>16670154</x:v>
      </x:c>
      <x:c r="E10" s="9" t="str">
        <x:v>16670154</x:v>
      </x:c>
      <x:c r="F10" s="9" t="str">
        <x:v>CHEMBL3855278</x:v>
      </x:c>
      <x:c r="G10" s="9" t="str">
        <x:v>CHEMBL217</x:v>
      </x:c>
      <x:c r="H10" s="9" t="str">
        <x:v>CHEMBL3853329</x:v>
      </x:c>
      <x:c r="I10" s="9" t="str">
        <x:v>Cc1ncoc1-c1nnc(SCCCN2CC[C@]3(C[C@@H]3c3ccccc3C(F)(F)F)C2)n1C</x:v>
      </x:c>
      <x:c r="J10" s="9" t="str">
        <x:v>Cc1ncoc1-c1nnc(SCCCN2CC[C@]3(C[C@@H]3c3ccccc3C(F)(F)F)C2)n1C</x:v>
      </x:c>
      <x:c r="K10" s="9" t="str">
        <x:v>source_reported_pKi</x:v>
      </x:c>
      <x:c r="L10" s="11" t="n">
        <x:v>5.8</x:v>
      </x:c>
      <x:c r="M10" s="11" t="n">
        <x:v>1584.893192461114</x:v>
      </x:c>
      <x:c r="N10" s="11" t="n">
        <x:v>1584.89</x:v>
      </x:c>
      <x:c r="O10" s="11" t="n">
        <x:v>5.800000874803203</x:v>
      </x:c>
      <x:c r="P10" s="12" t="n">
        <x:v>8.74803203210206e-7</x:v>
      </x:c>
      <x:c r="Q10" s="12" t="n">
        <x:v>-0.003192461113940226</x:v>
      </x:c>
      <x:c r="R10" s="11" t="n">
        <x:v>0.00501</x:v>
      </x:c>
      <x:c r="S10" s="9" t="str">
        <x:v>Cc1ncoc1-c1nnc(SCCCN2CC[C@]3(C[C@@H]3c3ccccc3C(F)(F)F)C2)n1C</x:v>
      </x:c>
      <x:c r="T10" s="9" t="str">
        <x:v>Cc1ncoc1-c1nnc(SCCCN2CC[C@]3(C[C@@H]3c3ccccc3C(F)(F)F)C2)n1C</x:v>
      </x:c>
      <x:c r="U10" s="9" t="str">
        <x:v>RRSUWPYFZSEELD-GCJKJVERSA-N</x:v>
      </x:c>
      <x:c r="V10" s="9" t="str">
        <x:v>Cc1ncoc1-c1nnc(SCCCN2CCC3(CC3c3ccccc3C(F)(F)F)C2)n1C</x:v>
      </x:c>
      <x:c r="W10" s="9" t="str">
        <x:v>6cc8558ed72c30e952e25a4d6337f3a3a0e3af95f919871ea82f7497a0516262</x:v>
      </x:c>
      <x:c r="X10" s="9" t="str">
        <x:v>c1ccc(C2CC23CCN(CCCSc2nnc(-c4cnco4)[nH]2)C3)cc1</x:v>
      </x:c>
      <x:c r="Y10" s="9" t="str">
        <x:v>false</x:v>
      </x:c>
      <x:c r="Z10" s="13" t="n">
        <x:v>1</x:v>
      </x:c>
      <x:c r="AA10" s="9" t="str">
        <x:v>include</x:v>
      </x:c>
      <x:c r="AB10" s="9" t="str"/>
      <x:c r="AC10" s="9" t="str">
        <x:v>pKi</x:v>
      </x:c>
      <x:c r="AD10" s="9" t="str">
        <x:v>5.8</x:v>
      </x:c>
      <x:c r="AE10" s="9" t="str">
        <x:v>null</x:v>
      </x:c>
      <x:c r="AF10" s="9" t="str">
        <x:v>=</x:v>
      </x:c>
      <x:c r="AG10" s="9" t="str">
        <x:v>Ki</x:v>
      </x:c>
      <x:c r="AH10" s="11" t="n">
        <x:v>1584.89</x:v>
      </x:c>
      <x:c r="AI10" s="9" t="str">
        <x:v>nM</x:v>
      </x:c>
      <x:c r="AJ10" s="9" t="str">
        <x:v>=</x:v>
      </x:c>
      <x:c r="AK10" s="11" t="n">
        <x:v>5.8</x:v>
      </x:c>
      <x:c r="AL10" s="13" t="n">
        <x:v>0</x:v>
      </x:c>
      <x:c r="AM10" s="9" t="str">
        <x:v>null</x:v>
      </x:c>
      <x:c r="AN10" s="9" t="str">
        <x:v>null</x:v>
      </x:c>
      <x:c r="AO10" s="9" t="str">
        <x:v>https://www.ebi.ac.uk/chembl/api/data/activity/16670154.json</x:v>
      </x:c>
    </x:row>
    <x:row r="11" ht="36" customHeight="1">
      <x:c r="A11" s="14" t="str">
        <x:v>XRDPJIJIWYVCKW-XMSQKQJNSA-N</x:v>
      </x:c>
      <x:c r="B11" s="14" t="str">
        <x:v>CHEMBL3912029</x:v>
      </x:c>
      <x:c r="C11" s="14" t="str">
        <x:v>CHEMBL3912029</x:v>
      </x:c>
      <x:c r="D11" s="14" t="str">
        <x:v>16670157</x:v>
      </x:c>
      <x:c r="E11" s="14" t="str">
        <x:v>16670157</x:v>
      </x:c>
      <x:c r="F11" s="14" t="str">
        <x:v>CHEMBL3855278</x:v>
      </x:c>
      <x:c r="G11" s="14" t="str">
        <x:v>CHEMBL217</x:v>
      </x:c>
      <x:c r="H11" s="14" t="str">
        <x:v>CHEMBL3853329</x:v>
      </x:c>
      <x:c r="I11" s="14" t="str">
        <x:v>Cc1ncoc1-c1nnc(SCCCN2CC[C@@]3(C[C@@H]3c3ccc(F)cc3)C2)n1C</x:v>
      </x:c>
      <x:c r="J11" s="14" t="str">
        <x:v>Cc1ncoc1-c1nnc(SCCCN2CC[C@@]3(C[C@@H]3c3ccc(F)cc3)C2)n1C</x:v>
      </x:c>
      <x:c r="K11" s="14" t="str">
        <x:v>source_reported_pKi</x:v>
      </x:c>
      <x:c r="L11" s="15" t="n">
        <x:v>6.1</x:v>
      </x:c>
      <x:c r="M11" s="15" t="n">
        <x:v>794.3282347242822</x:v>
      </x:c>
      <x:c r="N11" s="15" t="n">
        <x:v>794.33</x:v>
      </x:c>
      <x:c r="O11" s="15" t="n">
        <x:v>6.0999990348465305</x:v>
      </x:c>
      <x:c r="P11" s="16" t="n">
        <x:v>-9.651534691457186e-7</x:v>
      </x:c>
      <x:c r="Q11" s="16" t="n">
        <x:v>0.001765275717843906</x:v>
      </x:c>
      <x:c r="R11" s="15" t="n">
        <x:v>0.00501</x:v>
      </x:c>
      <x:c r="S11" s="14" t="str">
        <x:v>Cc1ncoc1-c1nnc(SCCCN2CC[C@@]3(C[C@@H]3c3ccc(F)cc3)C2)n1C</x:v>
      </x:c>
      <x:c r="T11" s="14" t="str">
        <x:v>Cc1ncoc1-c1nnc(SCCCN2CC[C@@]3(C[C@@H]3c3ccc(F)cc3)C2)n1C</x:v>
      </x:c>
      <x:c r="U11" s="14" t="str">
        <x:v>XRDPJIJIWYVCKW-XMSQKQJNSA-N</x:v>
      </x:c>
      <x:c r="V11" s="14" t="str">
        <x:v>Cc1ncoc1-c1nnc(SCCCN2CCC3(CC3c3ccc(F)cc3)C2)n1C</x:v>
      </x:c>
      <x:c r="W11" s="14" t="str">
        <x:v>11dae94f2537e3de53d4676993b2e8692184d1b1025b7614e70e1fcad4b3efb8</x:v>
      </x:c>
      <x:c r="X11" s="14" t="str">
        <x:v>c1ccc(C2CC23CCN(CCCSc2nnc(-c4cnco4)[nH]2)C3)cc1</x:v>
      </x:c>
      <x:c r="Y11" s="14" t="str">
        <x:v>false</x:v>
      </x:c>
      <x:c r="Z11" s="17" t="n">
        <x:v>1</x:v>
      </x:c>
      <x:c r="AA11" s="14" t="str">
        <x:v>include</x:v>
      </x:c>
      <x:c r="AB11" s="14" t="str"/>
      <x:c r="AC11" s="14" t="str">
        <x:v>pKi</x:v>
      </x:c>
      <x:c r="AD11" s="14" t="str">
        <x:v>6.1</x:v>
      </x:c>
      <x:c r="AE11" s="14" t="str">
        <x:v>null</x:v>
      </x:c>
      <x:c r="AF11" s="14" t="str">
        <x:v>=</x:v>
      </x:c>
      <x:c r="AG11" s="14" t="str">
        <x:v>Ki</x:v>
      </x:c>
      <x:c r="AH11" s="15" t="n">
        <x:v>794.33</x:v>
      </x:c>
      <x:c r="AI11" s="14" t="str">
        <x:v>nM</x:v>
      </x:c>
      <x:c r="AJ11" s="14" t="str">
        <x:v>=</x:v>
      </x:c>
      <x:c r="AK11" s="15" t="n">
        <x:v>6.1</x:v>
      </x:c>
      <x:c r="AL11" s="17" t="n">
        <x:v>0</x:v>
      </x:c>
      <x:c r="AM11" s="14" t="str">
        <x:v>null</x:v>
      </x:c>
      <x:c r="AN11" s="14" t="str">
        <x:v>null</x:v>
      </x:c>
      <x:c r="AO11" s="14" t="str">
        <x:v>https://www.ebi.ac.uk/chembl/api/data/activity/16670157.json</x:v>
      </x:c>
    </x:row>
    <x:row r="12" ht="36" customHeight="1">
      <x:c r="A12" s="9" t="str">
        <x:v>XRDPJIJIWYVCKW-PGRDOPGGSA-N</x:v>
      </x:c>
      <x:c r="B12" s="9" t="str">
        <x:v>CHEMBL3963783</x:v>
      </x:c>
      <x:c r="C12" s="9" t="str">
        <x:v>CHEMBL3963783</x:v>
      </x:c>
      <x:c r="D12" s="9" t="str">
        <x:v>16670160</x:v>
      </x:c>
      <x:c r="E12" s="9" t="str">
        <x:v>16670160</x:v>
      </x:c>
      <x:c r="F12" s="9" t="str">
        <x:v>CHEMBL3855278</x:v>
      </x:c>
      <x:c r="G12" s="9" t="str">
        <x:v>CHEMBL217</x:v>
      </x:c>
      <x:c r="H12" s="9" t="str">
        <x:v>CHEMBL3853329</x:v>
      </x:c>
      <x:c r="I12" s="9" t="str">
        <x:v>Cc1ncoc1-c1nnc(SCCCN2CC[C@@]3(C[C@H]3c3ccc(F)cc3)C2)n1C</x:v>
      </x:c>
      <x:c r="J12" s="9" t="str">
        <x:v>Cc1ncoc1-c1nnc(SCCCN2CC[C@@]3(C[C@H]3c3ccc(F)cc3)C2)n1C</x:v>
      </x:c>
      <x:c r="K12" s="9" t="str">
        <x:v>source_reported_pKi</x:v>
      </x:c>
      <x:c r="L12" s="11" t="n">
        <x:v>6.62</x:v>
      </x:c>
      <x:c r="M12" s="11" t="n">
        <x:v>239.88329190194898</x:v>
      </x:c>
      <x:c r="N12" s="11" t="n">
        <x:v>239.88</x:v>
      </x:c>
      <x:c r="O12" s="11" t="n">
        <x:v>6.620005959834258</x:v>
      </x:c>
      <x:c r="P12" s="12" t="n">
        <x:v>0.000005959834258106866</x:v>
      </x:c>
      <x:c r="Q12" s="12" t="n">
        <x:v>-0.0032919019489838774</x:v>
      </x:c>
      <x:c r="R12" s="11" t="n">
        <x:v>0.00501</x:v>
      </x:c>
      <x:c r="S12" s="9" t="str">
        <x:v>Cc1ncoc1-c1nnc(SCCCN2CC[C@@]3(C[C@H]3c3ccc(F)cc3)C2)n1C</x:v>
      </x:c>
      <x:c r="T12" s="9" t="str">
        <x:v>Cc1ncoc1-c1nnc(SCCCN2CC[C@@]3(C[C@H]3c3ccc(F)cc3)C2)n1C</x:v>
      </x:c>
      <x:c r="U12" s="9" t="str">
        <x:v>XRDPJIJIWYVCKW-PGRDOPGGSA-N</x:v>
      </x:c>
      <x:c r="V12" s="9" t="str">
        <x:v>Cc1ncoc1-c1nnc(SCCCN2CCC3(CC3c3ccc(F)cc3)C2)n1C</x:v>
      </x:c>
      <x:c r="W12" s="9" t="str">
        <x:v>11dae94f2537e3de53d4676993b2e8692184d1b1025b7614e70e1fcad4b3efb8</x:v>
      </x:c>
      <x:c r="X12" s="9" t="str">
        <x:v>c1ccc(C2CC23CCN(CCCSc2nnc(-c4cnco4)[nH]2)C3)cc1</x:v>
      </x:c>
      <x:c r="Y12" s="9" t="str">
        <x:v>false</x:v>
      </x:c>
      <x:c r="Z12" s="13" t="n">
        <x:v>1</x:v>
      </x:c>
      <x:c r="AA12" s="9" t="str">
        <x:v>include</x:v>
      </x:c>
      <x:c r="AB12" s="9" t="str"/>
      <x:c r="AC12" s="9" t="str">
        <x:v>pKi</x:v>
      </x:c>
      <x:c r="AD12" s="9" t="str">
        <x:v>6.62</x:v>
      </x:c>
      <x:c r="AE12" s="9" t="str">
        <x:v>null</x:v>
      </x:c>
      <x:c r="AF12" s="9" t="str">
        <x:v>=</x:v>
      </x:c>
      <x:c r="AG12" s="9" t="str">
        <x:v>Ki</x:v>
      </x:c>
      <x:c r="AH12" s="11" t="n">
        <x:v>239.88</x:v>
      </x:c>
      <x:c r="AI12" s="9" t="str">
        <x:v>nM</x:v>
      </x:c>
      <x:c r="AJ12" s="9" t="str">
        <x:v>=</x:v>
      </x:c>
      <x:c r="AK12" s="11" t="n">
        <x:v>6.62</x:v>
      </x:c>
      <x:c r="AL12" s="13" t="n">
        <x:v>0</x:v>
      </x:c>
      <x:c r="AM12" s="9" t="str">
        <x:v>null</x:v>
      </x:c>
      <x:c r="AN12" s="9" t="str">
        <x:v>null</x:v>
      </x:c>
      <x:c r="AO12" s="9" t="str">
        <x:v>https://www.ebi.ac.uk/chembl/api/data/activity/16670160.json</x:v>
      </x:c>
    </x:row>
    <x:row r="13" ht="36" customHeight="1">
      <x:c r="A13" s="14" t="str">
        <x:v>XIHOJUYAGODVFH-VGOFRKELSA-N</x:v>
      </x:c>
      <x:c r="B13" s="14" t="str">
        <x:v>CHEMBL3945775</x:v>
      </x:c>
      <x:c r="C13" s="14" t="str">
        <x:v>CHEMBL3945775</x:v>
      </x:c>
      <x:c r="D13" s="14" t="str">
        <x:v>16670163</x:v>
      </x:c>
      <x:c r="E13" s="14" t="str">
        <x:v>16670163</x:v>
      </x:c>
      <x:c r="F13" s="14" t="str">
        <x:v>CHEMBL3855278</x:v>
      </x:c>
      <x:c r="G13" s="14" t="str">
        <x:v>CHEMBL217</x:v>
      </x:c>
      <x:c r="H13" s="14" t="str">
        <x:v>CHEMBL3853329</x:v>
      </x:c>
      <x:c r="I13" s="14" t="str">
        <x:v>Cc1ncoc1-c1nnc(SCCCN2CC[C@@]3(C[C@@H]3c3ccc(F)cc3F)C2)n1C</x:v>
      </x:c>
      <x:c r="J13" s="14" t="str">
        <x:v>Cc1ncoc1-c1nnc(SCCCN2CC[C@@]3(C[C@@H]3c3ccc(F)cc3F)C2)n1C</x:v>
      </x:c>
      <x:c r="K13" s="14" t="str">
        <x:v>source_reported_pKi</x:v>
      </x:c>
      <x:c r="L13" s="15" t="n">
        <x:v>6.02</x:v>
      </x:c>
      <x:c r="M13" s="15" t="n">
        <x:v>954.9925860214369</x:v>
      </x:c>
      <x:c r="N13" s="15" t="n">
        <x:v>954.99</x:v>
      </x:c>
      <x:c r="O13" s="15" t="n">
        <x:v>6.020001176026261</x:v>
      </x:c>
      <x:c r="P13" s="16" t="n">
        <x:v>0.0000011760262612625638</x:v>
      </x:c>
      <x:c r="Q13" s="16" t="n">
        <x:v>-0.002586021436854935</x:v>
      </x:c>
      <x:c r="R13" s="15" t="n">
        <x:v>0.00501</x:v>
      </x:c>
      <x:c r="S13" s="14" t="str">
        <x:v>Cc1ncoc1-c1nnc(SCCCN2CC[C@@]3(C[C@@H]3c3ccc(F)cc3F)C2)n1C</x:v>
      </x:c>
      <x:c r="T13" s="14" t="str">
        <x:v>Cc1ncoc1-c1nnc(SCCCN2CC[C@@]3(C[C@@H]3c3ccc(F)cc3F)C2)n1C</x:v>
      </x:c>
      <x:c r="U13" s="14" t="str">
        <x:v>XIHOJUYAGODVFH-VGOFRKELSA-N</x:v>
      </x:c>
      <x:c r="V13" s="14" t="str">
        <x:v>Cc1ncoc1-c1nnc(SCCCN2CCC3(CC3c3ccc(F)cc3F)C2)n1C</x:v>
      </x:c>
      <x:c r="W13" s="14" t="str">
        <x:v>c9bb72c84834730b0cbc7844a15d094f61b850161fa051c0501826f0896ec0e8</x:v>
      </x:c>
      <x:c r="X13" s="14" t="str">
        <x:v>c1ccc(C2CC23CCN(CCCSc2nnc(-c4cnco4)[nH]2)C3)cc1</x:v>
      </x:c>
      <x:c r="Y13" s="14" t="str">
        <x:v>false</x:v>
      </x:c>
      <x:c r="Z13" s="17" t="n">
        <x:v>1</x:v>
      </x:c>
      <x:c r="AA13" s="14" t="str">
        <x:v>include</x:v>
      </x:c>
      <x:c r="AB13" s="14" t="str"/>
      <x:c r="AC13" s="14" t="str">
        <x:v>pKi</x:v>
      </x:c>
      <x:c r="AD13" s="14" t="str">
        <x:v>6.02</x:v>
      </x:c>
      <x:c r="AE13" s="14" t="str">
        <x:v>null</x:v>
      </x:c>
      <x:c r="AF13" s="14" t="str">
        <x:v>=</x:v>
      </x:c>
      <x:c r="AG13" s="14" t="str">
        <x:v>Ki</x:v>
      </x:c>
      <x:c r="AH13" s="15" t="n">
        <x:v>954.99</x:v>
      </x:c>
      <x:c r="AI13" s="14" t="str">
        <x:v>nM</x:v>
      </x:c>
      <x:c r="AJ13" s="14" t="str">
        <x:v>=</x:v>
      </x:c>
      <x:c r="AK13" s="15" t="n">
        <x:v>6.02</x:v>
      </x:c>
      <x:c r="AL13" s="17" t="n">
        <x:v>0</x:v>
      </x:c>
      <x:c r="AM13" s="14" t="str">
        <x:v>null</x:v>
      </x:c>
      <x:c r="AN13" s="14" t="str">
        <x:v>null</x:v>
      </x:c>
      <x:c r="AO13" s="14" t="str">
        <x:v>https://www.ebi.ac.uk/chembl/api/data/activity/16670163.json</x:v>
      </x:c>
    </x:row>
    <x:row r="14" ht="36" customHeight="1">
      <x:c r="A14" s="9" t="str">
        <x:v>XIHOJUYAGODVFH-HTAPYJJXSA-N</x:v>
      </x:c>
      <x:c r="B14" s="9" t="str">
        <x:v>CHEMBL3926847</x:v>
      </x:c>
      <x:c r="C14" s="9" t="str">
        <x:v>CHEMBL3926847</x:v>
      </x:c>
      <x:c r="D14" s="9" t="str">
        <x:v>16670166</x:v>
      </x:c>
      <x:c r="E14" s="9" t="str">
        <x:v>16670166</x:v>
      </x:c>
      <x:c r="F14" s="9" t="str">
        <x:v>CHEMBL3855278</x:v>
      </x:c>
      <x:c r="G14" s="9" t="str">
        <x:v>CHEMBL217</x:v>
      </x:c>
      <x:c r="H14" s="9" t="str">
        <x:v>CHEMBL3853329</x:v>
      </x:c>
      <x:c r="I14" s="9" t="str">
        <x:v>Cc1ncoc1-c1nnc(SCCCN2CC[C@@]3(C[C@H]3c3ccc(F)cc3F)C2)n1C</x:v>
      </x:c>
      <x:c r="J14" s="9" t="str">
        <x:v>Cc1ncoc1-c1nnc(SCCCN2CC[C@@]3(C[C@H]3c3ccc(F)cc3F)C2)n1C</x:v>
      </x:c>
      <x:c r="K14" s="9" t="str">
        <x:v>source_reported_pKi</x:v>
      </x:c>
      <x:c r="L14" s="11" t="n">
        <x:v>6.59</x:v>
      </x:c>
      <x:c r="M14" s="11" t="n">
        <x:v>257.03957827688646</x:v>
      </x:c>
      <x:c r="N14" s="11" t="n">
        <x:v>257.04</x:v>
      </x:c>
      <x:c r="O14" s="11" t="n">
        <x:v>6.589999287456538</x:v>
      </x:c>
      <x:c r="P14" s="12" t="n">
        <x:v>-7.125434615673498e-7</x:v>
      </x:c>
      <x:c r="Q14" s="12" t="n">
        <x:v>0.00042172311356125647</x:v>
      </x:c>
      <x:c r="R14" s="11" t="n">
        <x:v>0.00501</x:v>
      </x:c>
      <x:c r="S14" s="9" t="str">
        <x:v>Cc1ncoc1-c1nnc(SCCCN2CC[C@@]3(C[C@H]3c3ccc(F)cc3F)C2)n1C</x:v>
      </x:c>
      <x:c r="T14" s="9" t="str">
        <x:v>Cc1ncoc1-c1nnc(SCCCN2CC[C@@]3(C[C@H]3c3ccc(F)cc3F)C2)n1C</x:v>
      </x:c>
      <x:c r="U14" s="9" t="str">
        <x:v>XIHOJUYAGODVFH-HTAPYJJXSA-N</x:v>
      </x:c>
      <x:c r="V14" s="9" t="str">
        <x:v>Cc1ncoc1-c1nnc(SCCCN2CCC3(CC3c3ccc(F)cc3F)C2)n1C</x:v>
      </x:c>
      <x:c r="W14" s="9" t="str">
        <x:v>c9bb72c84834730b0cbc7844a15d094f61b850161fa051c0501826f0896ec0e8</x:v>
      </x:c>
      <x:c r="X14" s="9" t="str">
        <x:v>c1ccc(C2CC23CCN(CCCSc2nnc(-c4cnco4)[nH]2)C3)cc1</x:v>
      </x:c>
      <x:c r="Y14" s="9" t="str">
        <x:v>false</x:v>
      </x:c>
      <x:c r="Z14" s="13" t="n">
        <x:v>1</x:v>
      </x:c>
      <x:c r="AA14" s="9" t="str">
        <x:v>include</x:v>
      </x:c>
      <x:c r="AB14" s="9" t="str"/>
      <x:c r="AC14" s="9" t="str">
        <x:v>pKi</x:v>
      </x:c>
      <x:c r="AD14" s="9" t="str">
        <x:v>6.59</x:v>
      </x:c>
      <x:c r="AE14" s="9" t="str">
        <x:v>null</x:v>
      </x:c>
      <x:c r="AF14" s="9" t="str">
        <x:v>=</x:v>
      </x:c>
      <x:c r="AG14" s="9" t="str">
        <x:v>Ki</x:v>
      </x:c>
      <x:c r="AH14" s="11" t="n">
        <x:v>257.04</x:v>
      </x:c>
      <x:c r="AI14" s="9" t="str">
        <x:v>nM</x:v>
      </x:c>
      <x:c r="AJ14" s="9" t="str">
        <x:v>=</x:v>
      </x:c>
      <x:c r="AK14" s="11" t="n">
        <x:v>6.59</x:v>
      </x:c>
      <x:c r="AL14" s="13" t="n">
        <x:v>0</x:v>
      </x:c>
      <x:c r="AM14" s="9" t="str">
        <x:v>null</x:v>
      </x:c>
      <x:c r="AN14" s="9" t="str">
        <x:v>null</x:v>
      </x:c>
      <x:c r="AO14" s="9" t="str">
        <x:v>https://www.ebi.ac.uk/chembl/api/data/activity/16670166.json</x:v>
      </x:c>
    </x:row>
    <x:row r="15" ht="36" customHeight="1">
      <x:c r="A15" s="14" t="str">
        <x:v>ZIQDGXNDXRMRPM-VGOFRKELSA-N</x:v>
      </x:c>
      <x:c r="B15" s="14" t="str">
        <x:v>CHEMBL3901587</x:v>
      </x:c>
      <x:c r="C15" s="14" t="str">
        <x:v>CHEMBL3901587</x:v>
      </x:c>
      <x:c r="D15" s="14" t="str">
        <x:v>16670169</x:v>
      </x:c>
      <x:c r="E15" s="14" t="str">
        <x:v>16670169</x:v>
      </x:c>
      <x:c r="F15" s="14" t="str">
        <x:v>CHEMBL3855278</x:v>
      </x:c>
      <x:c r="G15" s="14" t="str">
        <x:v>CHEMBL217</x:v>
      </x:c>
      <x:c r="H15" s="14" t="str">
        <x:v>CHEMBL3853329</x:v>
      </x:c>
      <x:c r="I15" s="14" t="str">
        <x:v>Cc1ncoc1-c1nnc(SCCCN2CC[C@@]3(C[C@@H]3c3ccc(C(F)(F)F)cc3F)C2)n1C</x:v>
      </x:c>
      <x:c r="J15" s="14" t="str">
        <x:v>Cc1ncoc1-c1nnc(SCCCN2CC[C@@]3(C[C@@H]3c3ccc(C(F)(F)F)cc3F)C2)n1C</x:v>
      </x:c>
      <x:c r="K15" s="14" t="str">
        <x:v>source_reported_pKi</x:v>
      </x:c>
      <x:c r="L15" s="15" t="n">
        <x:v>6.01</x:v>
      </x:c>
      <x:c r="M15" s="15" t="n">
        <x:v>977.2372209558112</x:v>
      </x:c>
      <x:c r="N15" s="15" t="n">
        <x:v>977.24</x:v>
      </x:c>
      <x:c r="O15" s="15" t="n">
        <x:v>6.009998764965339</x:v>
      </x:c>
      <x:c r="P15" s="16" t="n">
        <x:v>-0.0000012350346612066687</x:v>
      </x:c>
      <x:c r="Q15" s="16" t="n">
        <x:v>0.0027790441888555506</x:v>
      </x:c>
      <x:c r="R15" s="15" t="n">
        <x:v>0.00501</x:v>
      </x:c>
      <x:c r="S15" s="14" t="str">
        <x:v>Cc1ncoc1-c1nnc(SCCCN2CC[C@@]3(C[C@@H]3c3ccc(C(F)(F)F)cc3F)C2)n1C</x:v>
      </x:c>
      <x:c r="T15" s="14" t="str">
        <x:v>Cc1ncoc1-c1nnc(SCCCN2CC[C@@]3(C[C@@H]3c3ccc(C(F)(F)F)cc3F)C2)n1C</x:v>
      </x:c>
      <x:c r="U15" s="14" t="str">
        <x:v>ZIQDGXNDXRMRPM-VGOFRKELSA-N</x:v>
      </x:c>
      <x:c r="V15" s="14" t="str">
        <x:v>Cc1ncoc1-c1nnc(SCCCN2CCC3(CC3c3ccc(C(F)(F)F)cc3F)C2)n1C</x:v>
      </x:c>
      <x:c r="W15" s="14" t="str">
        <x:v>3a87350678a10d266285c519cd6d008e1adf4761974c26280d14b6f7333b44bd</x:v>
      </x:c>
      <x:c r="X15" s="14" t="str">
        <x:v>c1ccc(C2CC23CCN(CCCSc2nnc(-c4cnco4)[nH]2)C3)cc1</x:v>
      </x:c>
      <x:c r="Y15" s="14" t="str">
        <x:v>false</x:v>
      </x:c>
      <x:c r="Z15" s="17" t="n">
        <x:v>1</x:v>
      </x:c>
      <x:c r="AA15" s="14" t="str">
        <x:v>include</x:v>
      </x:c>
      <x:c r="AB15" s="14" t="str"/>
      <x:c r="AC15" s="14" t="str">
        <x:v>pKi</x:v>
      </x:c>
      <x:c r="AD15" s="14" t="str">
        <x:v>6.01</x:v>
      </x:c>
      <x:c r="AE15" s="14" t="str">
        <x:v>null</x:v>
      </x:c>
      <x:c r="AF15" s="14" t="str">
        <x:v>=</x:v>
      </x:c>
      <x:c r="AG15" s="14" t="str">
        <x:v>Ki</x:v>
      </x:c>
      <x:c r="AH15" s="15" t="n">
        <x:v>977.24</x:v>
      </x:c>
      <x:c r="AI15" s="14" t="str">
        <x:v>nM</x:v>
      </x:c>
      <x:c r="AJ15" s="14" t="str">
        <x:v>=</x:v>
      </x:c>
      <x:c r="AK15" s="15" t="n">
        <x:v>6.01</x:v>
      </x:c>
      <x:c r="AL15" s="17" t="n">
        <x:v>0</x:v>
      </x:c>
      <x:c r="AM15" s="14" t="str">
        <x:v>null</x:v>
      </x:c>
      <x:c r="AN15" s="14" t="str">
        <x:v>null</x:v>
      </x:c>
      <x:c r="AO15" s="14" t="str">
        <x:v>https://www.ebi.ac.uk/chembl/api/data/activity/16670169.json</x:v>
      </x:c>
    </x:row>
    <x:row r="16" ht="36" customHeight="1">
      <x:c r="A16" s="9" t="str">
        <x:v>ZIQDGXNDXRMRPM-HTAPYJJXSA-N</x:v>
      </x:c>
      <x:c r="B16" s="9" t="str">
        <x:v>CHEMBL3955505</x:v>
      </x:c>
      <x:c r="C16" s="9" t="str">
        <x:v>CHEMBL3955505</x:v>
      </x:c>
      <x:c r="D16" s="9" t="str">
        <x:v>16670172</x:v>
      </x:c>
      <x:c r="E16" s="9" t="str">
        <x:v>16670172</x:v>
      </x:c>
      <x:c r="F16" s="9" t="str">
        <x:v>CHEMBL3855278</x:v>
      </x:c>
      <x:c r="G16" s="9" t="str">
        <x:v>CHEMBL217</x:v>
      </x:c>
      <x:c r="H16" s="9" t="str">
        <x:v>CHEMBL3853329</x:v>
      </x:c>
      <x:c r="I16" s="9" t="str">
        <x:v>Cc1ncoc1-c1nnc(SCCCN2CC[C@@]3(C[C@H]3c3ccc(C(F)(F)F)cc3F)C2)n1C</x:v>
      </x:c>
      <x:c r="J16" s="9" t="str">
        <x:v>Cc1ncoc1-c1nnc(SCCCN2CC[C@@]3(C[C@H]3c3ccc(C(F)(F)F)cc3F)C2)n1C</x:v>
      </x:c>
      <x:c r="K16" s="9" t="str">
        <x:v>source_reported_pKi</x:v>
      </x:c>
      <x:c r="L16" s="11" t="n">
        <x:v>6.65</x:v>
      </x:c>
      <x:c r="M16" s="11" t="n">
        <x:v>223.87211385683378</x:v>
      </x:c>
      <x:c r="N16" s="11" t="n">
        <x:v>223.87</x:v>
      </x:c>
      <x:c r="O16" s="11" t="n">
        <x:v>6.650004100737144</x:v>
      </x:c>
      <x:c r="P16" s="12" t="n">
        <x:v>0.000004100737143630795</x:v>
      </x:c>
      <x:c r="Q16" s="12" t="n">
        <x:v>-0.0021138568337732977</x:v>
      </x:c>
      <x:c r="R16" s="11" t="n">
        <x:v>0.00501</x:v>
      </x:c>
      <x:c r="S16" s="9" t="str">
        <x:v>Cc1ncoc1-c1nnc(SCCCN2CC[C@@]3(C[C@H]3c3ccc(C(F)(F)F)cc3F)C2)n1C</x:v>
      </x:c>
      <x:c r="T16" s="9" t="str">
        <x:v>Cc1ncoc1-c1nnc(SCCCN2CC[C@@]3(C[C@H]3c3ccc(C(F)(F)F)cc3F)C2)n1C</x:v>
      </x:c>
      <x:c r="U16" s="9" t="str">
        <x:v>ZIQDGXNDXRMRPM-HTAPYJJXSA-N</x:v>
      </x:c>
      <x:c r="V16" s="9" t="str">
        <x:v>Cc1ncoc1-c1nnc(SCCCN2CCC3(CC3c3ccc(C(F)(F)F)cc3F)C2)n1C</x:v>
      </x:c>
      <x:c r="W16" s="9" t="str">
        <x:v>3a87350678a10d266285c519cd6d008e1adf4761974c26280d14b6f7333b44bd</x:v>
      </x:c>
      <x:c r="X16" s="9" t="str">
        <x:v>c1ccc(C2CC23CCN(CCCSc2nnc(-c4cnco4)[nH]2)C3)cc1</x:v>
      </x:c>
      <x:c r="Y16" s="9" t="str">
        <x:v>false</x:v>
      </x:c>
      <x:c r="Z16" s="13" t="n">
        <x:v>1</x:v>
      </x:c>
      <x:c r="AA16" s="9" t="str">
        <x:v>include</x:v>
      </x:c>
      <x:c r="AB16" s="9" t="str"/>
      <x:c r="AC16" s="9" t="str">
        <x:v>pKi</x:v>
      </x:c>
      <x:c r="AD16" s="9" t="str">
        <x:v>6.65</x:v>
      </x:c>
      <x:c r="AE16" s="9" t="str">
        <x:v>null</x:v>
      </x:c>
      <x:c r="AF16" s="9" t="str">
        <x:v>=</x:v>
      </x:c>
      <x:c r="AG16" s="9" t="str">
        <x:v>Ki</x:v>
      </x:c>
      <x:c r="AH16" s="11" t="n">
        <x:v>223.87</x:v>
      </x:c>
      <x:c r="AI16" s="9" t="str">
        <x:v>nM</x:v>
      </x:c>
      <x:c r="AJ16" s="9" t="str">
        <x:v>=</x:v>
      </x:c>
      <x:c r="AK16" s="11" t="n">
        <x:v>6.65</x:v>
      </x:c>
      <x:c r="AL16" s="13" t="n">
        <x:v>0</x:v>
      </x:c>
      <x:c r="AM16" s="9" t="str">
        <x:v>null</x:v>
      </x:c>
      <x:c r="AN16" s="9" t="str">
        <x:v>null</x:v>
      </x:c>
      <x:c r="AO16" s="9" t="str">
        <x:v>https://www.ebi.ac.uk/chembl/api/data/activity/16670172.json</x:v>
      </x:c>
    </x:row>
    <x:row r="17" ht="36" customHeight="1">
      <x:c r="A17" s="14" t="str">
        <x:v>LRMWMKQIJLOEPF-AVRDEDQJSA-N</x:v>
      </x:c>
      <x:c r="B17" s="14" t="str">
        <x:v>CHEMBL3985877</x:v>
      </x:c>
      <x:c r="C17" s="14" t="str">
        <x:v>CHEMBL3985877</x:v>
      </x:c>
      <x:c r="D17" s="14" t="str">
        <x:v>16670173</x:v>
      </x:c>
      <x:c r="E17" s="14" t="str">
        <x:v>16670173</x:v>
      </x:c>
      <x:c r="F17" s="14" t="str">
        <x:v>CHEMBL3855278</x:v>
      </x:c>
      <x:c r="G17" s="14" t="str">
        <x:v>CHEMBL217</x:v>
      </x:c>
      <x:c r="H17" s="14" t="str">
        <x:v>CHEMBL3853329</x:v>
      </x:c>
      <x:c r="I17" s="14" t="str">
        <x:v>Cc1ncoc1-c1nnc(SCCCN2CC[C@]3(C[C@H]3c3ccc(F)cc3C(F)(F)F)C2)n1C</x:v>
      </x:c>
      <x:c r="J17" s="14" t="str">
        <x:v>Cc1ncoc1-c1nnc(SCCCN2CC[C@]3(C[C@H]3c3ccc(F)cc3C(F)(F)F)C2)n1C</x:v>
      </x:c>
      <x:c r="K17" s="14" t="str">
        <x:v>source_reported_pKi</x:v>
      </x:c>
      <x:c r="L17" s="15" t="n">
        <x:v>6.78</x:v>
      </x:c>
      <x:c r="M17" s="15" t="n">
        <x:v>165.95869074375597</x:v>
      </x:c>
      <x:c r="N17" s="15" t="n">
        <x:v>165.96</x:v>
      </x:c>
      <x:c r="O17" s="15" t="n">
        <x:v>6.779996573843064</x:v>
      </x:c>
      <x:c r="P17" s="16" t="n">
        <x:v>-0.0000034261569359372857</x:v>
      </x:c>
      <x:c r="Q17" s="16" t="n">
        <x:v>0.0013092562440419897</x:v>
      </x:c>
      <x:c r="R17" s="15" t="n">
        <x:v>0.00501</x:v>
      </x:c>
      <x:c r="S17" s="14" t="str">
        <x:v>Cc1ncoc1-c1nnc(SCCCN2CC[C@]3(C[C@H]3c3ccc(F)cc3C(F)(F)F)C2)n1C</x:v>
      </x:c>
      <x:c r="T17" s="14" t="str">
        <x:v>Cc1ncoc1-c1nnc(SCCCN2CC[C@]3(C[C@H]3c3ccc(F)cc3C(F)(F)F)C2)n1C</x:v>
      </x:c>
      <x:c r="U17" s="14" t="str">
        <x:v>LRMWMKQIJLOEPF-AVRDEDQJSA-N</x:v>
      </x:c>
      <x:c r="V17" s="14" t="str">
        <x:v>Cc1ncoc1-c1nnc(SCCCN2CCC3(CC3c3ccc(F)cc3C(F)(F)F)C2)n1C</x:v>
      </x:c>
      <x:c r="W17" s="14" t="str">
        <x:v>ecd0a33a54e86ee86092bde14ba6502a5f45358129e40fb8939f2550280752bb</x:v>
      </x:c>
      <x:c r="X17" s="14" t="str">
        <x:v>c1ccc(C2CC23CCN(CCCSc2nnc(-c4cnco4)[nH]2)C3)cc1</x:v>
      </x:c>
      <x:c r="Y17" s="14" t="str">
        <x:v>false</x:v>
      </x:c>
      <x:c r="Z17" s="17" t="n">
        <x:v>1</x:v>
      </x:c>
      <x:c r="AA17" s="14" t="str">
        <x:v>include</x:v>
      </x:c>
      <x:c r="AB17" s="14" t="str"/>
      <x:c r="AC17" s="14" t="str">
        <x:v>pKi</x:v>
      </x:c>
      <x:c r="AD17" s="14" t="str">
        <x:v>6.78</x:v>
      </x:c>
      <x:c r="AE17" s="14" t="str">
        <x:v>null</x:v>
      </x:c>
      <x:c r="AF17" s="14" t="str">
        <x:v>=</x:v>
      </x:c>
      <x:c r="AG17" s="14" t="str">
        <x:v>Ki</x:v>
      </x:c>
      <x:c r="AH17" s="15" t="n">
        <x:v>165.96</x:v>
      </x:c>
      <x:c r="AI17" s="14" t="str">
        <x:v>nM</x:v>
      </x:c>
      <x:c r="AJ17" s="14" t="str">
        <x:v>=</x:v>
      </x:c>
      <x:c r="AK17" s="15" t="n">
        <x:v>6.78</x:v>
      </x:c>
      <x:c r="AL17" s="17" t="n">
        <x:v>0</x:v>
      </x:c>
      <x:c r="AM17" s="14" t="str">
        <x:v>null</x:v>
      </x:c>
      <x:c r="AN17" s="14" t="str">
        <x:v>null</x:v>
      </x:c>
      <x:c r="AO17" s="14" t="str">
        <x:v>https://www.ebi.ac.uk/chembl/api/data/activity/16670173.json</x:v>
      </x:c>
    </x:row>
    <x:row r="18" ht="36" customHeight="1">
      <x:c r="A18" s="9" t="str">
        <x:v>LRMWMKQIJLOEPF-XMSQKQJNSA-N</x:v>
      </x:c>
      <x:c r="B18" s="9" t="str">
        <x:v>CHEMBL3966647</x:v>
      </x:c>
      <x:c r="C18" s="9" t="str">
        <x:v>CHEMBL3966647</x:v>
      </x:c>
      <x:c r="D18" s="9" t="str">
        <x:v>16670174</x:v>
      </x:c>
      <x:c r="E18" s="9" t="str">
        <x:v>16670174</x:v>
      </x:c>
      <x:c r="F18" s="9" t="str">
        <x:v>CHEMBL3855278</x:v>
      </x:c>
      <x:c r="G18" s="9" t="str">
        <x:v>CHEMBL217</x:v>
      </x:c>
      <x:c r="H18" s="9" t="str">
        <x:v>CHEMBL3853329</x:v>
      </x:c>
      <x:c r="I18" s="9" t="str">
        <x:v>Cc1ncoc1-c1nnc(SCCCN2CC[C@@]3(C[C@@H]3c3ccc(F)cc3C(F)(F)F)C2)n1C</x:v>
      </x:c>
      <x:c r="J18" s="9" t="str">
        <x:v>Cc1ncoc1-c1nnc(SCCCN2CC[C@@]3(C[C@@H]3c3ccc(F)cc3C(F)(F)F)C2)n1C</x:v>
      </x:c>
      <x:c r="K18" s="9" t="str">
        <x:v>source_reported_pKi</x:v>
      </x:c>
      <x:c r="L18" s="11" t="n">
        <x:v>5.66</x:v>
      </x:c>
      <x:c r="M18" s="11" t="n">
        <x:v>2187.761623949552</x:v>
      </x:c>
      <x:c r="N18" s="11" t="n">
        <x:v>2187.76</x:v>
      </x:c>
      <x:c r="O18" s="11" t="n">
        <x:v>5.660000322371772</x:v>
      </x:c>
      <x:c r="P18" s="12" t="n">
        <x:v>3.223717719436081e-7</x:v>
      </x:c>
      <x:c r="Q18" s="12" t="n">
        <x:v>-0.001623949551685655</x:v>
      </x:c>
      <x:c r="R18" s="11" t="n">
        <x:v>0.00501</x:v>
      </x:c>
      <x:c r="S18" s="9" t="str">
        <x:v>Cc1ncoc1-c1nnc(SCCCN2CC[C@@]3(C[C@@H]3c3ccc(F)cc3C(F)(F)F)C2)n1C</x:v>
      </x:c>
      <x:c r="T18" s="9" t="str">
        <x:v>Cc1ncoc1-c1nnc(SCCCN2CC[C@@]3(C[C@@H]3c3ccc(F)cc3C(F)(F)F)C2)n1C</x:v>
      </x:c>
      <x:c r="U18" s="9" t="str">
        <x:v>LRMWMKQIJLOEPF-XMSQKQJNSA-N</x:v>
      </x:c>
      <x:c r="V18" s="9" t="str">
        <x:v>Cc1ncoc1-c1nnc(SCCCN2CCC3(CC3c3ccc(F)cc3C(F)(F)F)C2)n1C</x:v>
      </x:c>
      <x:c r="W18" s="9" t="str">
        <x:v>ecd0a33a54e86ee86092bde14ba6502a5f45358129e40fb8939f2550280752bb</x:v>
      </x:c>
      <x:c r="X18" s="9" t="str">
        <x:v>c1ccc(C2CC23CCN(CCCSc2nnc(-c4cnco4)[nH]2)C3)cc1</x:v>
      </x:c>
      <x:c r="Y18" s="9" t="str">
        <x:v>false</x:v>
      </x:c>
      <x:c r="Z18" s="13" t="n">
        <x:v>1</x:v>
      </x:c>
      <x:c r="AA18" s="9" t="str">
        <x:v>include</x:v>
      </x:c>
      <x:c r="AB18" s="9" t="str"/>
      <x:c r="AC18" s="9" t="str">
        <x:v>pKi</x:v>
      </x:c>
      <x:c r="AD18" s="9" t="str">
        <x:v>5.66</x:v>
      </x:c>
      <x:c r="AE18" s="9" t="str">
        <x:v>null</x:v>
      </x:c>
      <x:c r="AF18" s="9" t="str">
        <x:v>=</x:v>
      </x:c>
      <x:c r="AG18" s="9" t="str">
        <x:v>Ki</x:v>
      </x:c>
      <x:c r="AH18" s="11" t="n">
        <x:v>2187.76</x:v>
      </x:c>
      <x:c r="AI18" s="9" t="str">
        <x:v>nM</x:v>
      </x:c>
      <x:c r="AJ18" s="9" t="str">
        <x:v>=</x:v>
      </x:c>
      <x:c r="AK18" s="11" t="n">
        <x:v>5.66</x:v>
      </x:c>
      <x:c r="AL18" s="13" t="n">
        <x:v>0</x:v>
      </x:c>
      <x:c r="AM18" s="9" t="str">
        <x:v>null</x:v>
      </x:c>
      <x:c r="AN18" s="9" t="str">
        <x:v>null</x:v>
      </x:c>
      <x:c r="AO18" s="9" t="str">
        <x:v>https://www.ebi.ac.uk/chembl/api/data/activity/16670174.json</x:v>
      </x:c>
    </x:row>
    <x:row r="19" ht="36" customHeight="1">
      <x:c r="A19" s="14" t="str">
        <x:v>LRMWMKQIJLOEPF-GCJKJVERSA-N</x:v>
      </x:c>
      <x:c r="B19" s="14" t="str">
        <x:v>CHEMBL3945776</x:v>
      </x:c>
      <x:c r="C19" s="14" t="str">
        <x:v>CHEMBL3945776</x:v>
      </x:c>
      <x:c r="D19" s="14" t="str">
        <x:v>16670175</x:v>
      </x:c>
      <x:c r="E19" s="14" t="str">
        <x:v>16670175</x:v>
      </x:c>
      <x:c r="F19" s="14" t="str">
        <x:v>CHEMBL3855278</x:v>
      </x:c>
      <x:c r="G19" s="14" t="str">
        <x:v>CHEMBL217</x:v>
      </x:c>
      <x:c r="H19" s="14" t="str">
        <x:v>CHEMBL3853329</x:v>
      </x:c>
      <x:c r="I19" s="14" t="str">
        <x:v>Cc1ncoc1-c1nnc(SCCCN2CC[C@]3(C[C@@H]3c3ccc(F)cc3C(F)(F)F)C2)n1C</x:v>
      </x:c>
      <x:c r="J19" s="14" t="str">
        <x:v>Cc1ncoc1-c1nnc(SCCCN2CC[C@]3(C[C@@H]3c3ccc(F)cc3C(F)(F)F)C2)n1C</x:v>
      </x:c>
      <x:c r="K19" s="14" t="str">
        <x:v>source_reported_pKi</x:v>
      </x:c>
      <x:c r="L19" s="15" t="n">
        <x:v>5.42</x:v>
      </x:c>
      <x:c r="M19" s="15" t="n">
        <x:v>3801.8939632056126</x:v>
      </x:c>
      <x:c r="N19" s="15" t="n">
        <x:v>3801.89</x:v>
      </x:c>
      <x:c r="O19" s="15" t="n">
        <x:v>5.420000452721522</x:v>
      </x:c>
      <x:c r="P19" s="16" t="n">
        <x:v>4.527215224925385e-7</x:v>
      </x:c>
      <x:c r="Q19" s="16" t="n">
        <x:v>-0.003963205612762977</x:v>
      </x:c>
      <x:c r="R19" s="15" t="n">
        <x:v>0.00501</x:v>
      </x:c>
      <x:c r="S19" s="14" t="str">
        <x:v>Cc1ncoc1-c1nnc(SCCCN2CC[C@]3(C[C@@H]3c3ccc(F)cc3C(F)(F)F)C2)n1C</x:v>
      </x:c>
      <x:c r="T19" s="14" t="str">
        <x:v>Cc1ncoc1-c1nnc(SCCCN2CC[C@]3(C[C@@H]3c3ccc(F)cc3C(F)(F)F)C2)n1C</x:v>
      </x:c>
      <x:c r="U19" s="14" t="str">
        <x:v>LRMWMKQIJLOEPF-GCJKJVERSA-N</x:v>
      </x:c>
      <x:c r="V19" s="14" t="str">
        <x:v>Cc1ncoc1-c1nnc(SCCCN2CCC3(CC3c3ccc(F)cc3C(F)(F)F)C2)n1C</x:v>
      </x:c>
      <x:c r="W19" s="14" t="str">
        <x:v>ecd0a33a54e86ee86092bde14ba6502a5f45358129e40fb8939f2550280752bb</x:v>
      </x:c>
      <x:c r="X19" s="14" t="str">
        <x:v>c1ccc(C2CC23CCN(CCCSc2nnc(-c4cnco4)[nH]2)C3)cc1</x:v>
      </x:c>
      <x:c r="Y19" s="14" t="str">
        <x:v>false</x:v>
      </x:c>
      <x:c r="Z19" s="17" t="n">
        <x:v>1</x:v>
      </x:c>
      <x:c r="AA19" s="14" t="str">
        <x:v>include</x:v>
      </x:c>
      <x:c r="AB19" s="14" t="str"/>
      <x:c r="AC19" s="14" t="str">
        <x:v>pKi</x:v>
      </x:c>
      <x:c r="AD19" s="14" t="str">
        <x:v>5.42</x:v>
      </x:c>
      <x:c r="AE19" s="14" t="str">
        <x:v>null</x:v>
      </x:c>
      <x:c r="AF19" s="14" t="str">
        <x:v>=</x:v>
      </x:c>
      <x:c r="AG19" s="14" t="str">
        <x:v>Ki</x:v>
      </x:c>
      <x:c r="AH19" s="15" t="n">
        <x:v>3801.89</x:v>
      </x:c>
      <x:c r="AI19" s="14" t="str">
        <x:v>nM</x:v>
      </x:c>
      <x:c r="AJ19" s="14" t="str">
        <x:v>=</x:v>
      </x:c>
      <x:c r="AK19" s="15" t="n">
        <x:v>5.42</x:v>
      </x:c>
      <x:c r="AL19" s="17" t="n">
        <x:v>0</x:v>
      </x:c>
      <x:c r="AM19" s="14" t="str">
        <x:v>null</x:v>
      </x:c>
      <x:c r="AN19" s="14" t="str">
        <x:v>null</x:v>
      </x:c>
      <x:c r="AO19" s="14" t="str">
        <x:v>https://www.ebi.ac.uk/chembl/api/data/activity/16670175.json</x:v>
      </x:c>
    </x:row>
    <x:row r="20" ht="36" customHeight="1">
      <x:c r="A20" s="9" t="str">
        <x:v>LRMWMKQIJLOEPF-PGRDOPGGSA-N</x:v>
      </x:c>
      <x:c r="B20" s="9" t="str">
        <x:v>CHEMBL3975147</x:v>
      </x:c>
      <x:c r="C20" s="9" t="str">
        <x:v>CHEMBL3975147</x:v>
      </x:c>
      <x:c r="D20" s="9" t="str">
        <x:v>16670176</x:v>
      </x:c>
      <x:c r="E20" s="9" t="str">
        <x:v>16670176</x:v>
      </x:c>
      <x:c r="F20" s="9" t="str">
        <x:v>CHEMBL3855278</x:v>
      </x:c>
      <x:c r="G20" s="9" t="str">
        <x:v>CHEMBL217</x:v>
      </x:c>
      <x:c r="H20" s="9" t="str">
        <x:v>CHEMBL3853329</x:v>
      </x:c>
      <x:c r="I20" s="9" t="str">
        <x:v>Cc1ncoc1-c1nnc(SCCCN2CC[C@@]3(C[C@H]3c3ccc(F)cc3C(F)(F)F)C2)n1C</x:v>
      </x:c>
      <x:c r="J20" s="9" t="str">
        <x:v>Cc1ncoc1-c1nnc(SCCCN2CC[C@@]3(C[C@H]3c3ccc(F)cc3C(F)(F)F)C2)n1C</x:v>
      </x:c>
      <x:c r="K20" s="9" t="str">
        <x:v>source_reported_pKi</x:v>
      </x:c>
      <x:c r="L20" s="11" t="n">
        <x:v>5.89</x:v>
      </x:c>
      <x:c r="M20" s="11" t="n">
        <x:v>1288.249551693135</x:v>
      </x:c>
      <x:c r="N20" s="11" t="n">
        <x:v>1288.25</x:v>
      </x:c>
      <x:c r="O20" s="11" t="n">
        <x:v>5.889999848866887</x:v>
      </x:c>
      <x:c r="P20" s="12" t="n">
        <x:v>-1.5113311224723702e-7</x:v>
      </x:c>
      <x:c r="Q20" s="12" t="n">
        <x:v>0.000448306865109771</x:v>
      </x:c>
      <x:c r="R20" s="11" t="n">
        <x:v>0.00501</x:v>
      </x:c>
      <x:c r="S20" s="9" t="str">
        <x:v>Cc1ncoc1-c1nnc(SCCCN2CC[C@@]3(C[C@H]3c3ccc(F)cc3C(F)(F)F)C2)n1C</x:v>
      </x:c>
      <x:c r="T20" s="9" t="str">
        <x:v>Cc1ncoc1-c1nnc(SCCCN2CC[C@@]3(C[C@H]3c3ccc(F)cc3C(F)(F)F)C2)n1C</x:v>
      </x:c>
      <x:c r="U20" s="9" t="str">
        <x:v>LRMWMKQIJLOEPF-PGRDOPGGSA-N</x:v>
      </x:c>
      <x:c r="V20" s="9" t="str">
        <x:v>Cc1ncoc1-c1nnc(SCCCN2CCC3(CC3c3ccc(F)cc3C(F)(F)F)C2)n1C</x:v>
      </x:c>
      <x:c r="W20" s="9" t="str">
        <x:v>ecd0a33a54e86ee86092bde14ba6502a5f45358129e40fb8939f2550280752bb</x:v>
      </x:c>
      <x:c r="X20" s="9" t="str">
        <x:v>c1ccc(C2CC23CCN(CCCSc2nnc(-c4cnco4)[nH]2)C3)cc1</x:v>
      </x:c>
      <x:c r="Y20" s="9" t="str">
        <x:v>false</x:v>
      </x:c>
      <x:c r="Z20" s="13" t="n">
        <x:v>1</x:v>
      </x:c>
      <x:c r="AA20" s="9" t="str">
        <x:v>include</x:v>
      </x:c>
      <x:c r="AB20" s="9" t="str"/>
      <x:c r="AC20" s="9" t="str">
        <x:v>pKi</x:v>
      </x:c>
      <x:c r="AD20" s="9" t="str">
        <x:v>5.89</x:v>
      </x:c>
      <x:c r="AE20" s="9" t="str">
        <x:v>null</x:v>
      </x:c>
      <x:c r="AF20" s="9" t="str">
        <x:v>=</x:v>
      </x:c>
      <x:c r="AG20" s="9" t="str">
        <x:v>Ki</x:v>
      </x:c>
      <x:c r="AH20" s="11" t="n">
        <x:v>1288.25</x:v>
      </x:c>
      <x:c r="AI20" s="9" t="str">
        <x:v>nM</x:v>
      </x:c>
      <x:c r="AJ20" s="9" t="str">
        <x:v>=</x:v>
      </x:c>
      <x:c r="AK20" s="11" t="n">
        <x:v>5.89</x:v>
      </x:c>
      <x:c r="AL20" s="13" t="n">
        <x:v>0</x:v>
      </x:c>
      <x:c r="AM20" s="9" t="str">
        <x:v>null</x:v>
      </x:c>
      <x:c r="AN20" s="9" t="str">
        <x:v>null</x:v>
      </x:c>
      <x:c r="AO20" s="9" t="str">
        <x:v>https://www.ebi.ac.uk/chembl/api/data/activity/16670176.json</x:v>
      </x:c>
    </x:row>
    <x:row r="21" ht="36" customHeight="1">
      <x:c r="A21" s="14" t="str">
        <x:v>GNVATANRVUMZDM-RXJZEZJSSA-N</x:v>
      </x:c>
      <x:c r="B21" s="14" t="str">
        <x:v>CHEMBL3954490</x:v>
      </x:c>
      <x:c r="C21" s="14" t="str">
        <x:v>CHEMBL3954490</x:v>
      </x:c>
      <x:c r="D21" s="14" t="str">
        <x:v>16670177</x:v>
      </x:c>
      <x:c r="E21" s="14" t="str">
        <x:v>16670177</x:v>
      </x:c>
      <x:c r="F21" s="14" t="str">
        <x:v>CHEMBL3855278</x:v>
      </x:c>
      <x:c r="G21" s="14" t="str">
        <x:v>CHEMBL217</x:v>
      </x:c>
      <x:c r="H21" s="14" t="str">
        <x:v>CHEMBL3853329</x:v>
      </x:c>
      <x:c r="I21" s="14" t="str">
        <x:v>Cc1ncoc1-c1nnc(SCC(O)CN2CC[C@@]3(C[C@H]3c3ccc(C(F)(F)F)cc3)C2)n1C</x:v>
      </x:c>
      <x:c r="J21" s="14" t="str">
        <x:v>Cc1ncoc1-c1nnc(SCC(O)CN2CC[C@@]3(C[C@H]3c3ccc(C(F)(F)F)cc3)C2)n1C</x:v>
      </x:c>
      <x:c r="K21" s="14" t="str">
        <x:v>source_reported_pKi</x:v>
      </x:c>
      <x:c r="L21" s="15" t="n">
        <x:v>5.76</x:v>
      </x:c>
      <x:c r="M21" s="15" t="n">
        <x:v>1737.8008287493763</x:v>
      </x:c>
      <x:c r="N21" s="15" t="n">
        <x:v>1737.8</x:v>
      </x:c>
      <x:c r="O21" s="15" t="n">
        <x:v>5.760000207113128</x:v>
      </x:c>
      <x:c r="P21" s="16" t="n">
        <x:v>2.0711312842536245e-7</x:v>
      </x:c>
      <x:c r="Q21" s="16" t="n">
        <x:v>-0.0008287493762964004</x:v>
      </x:c>
      <x:c r="R21" s="15" t="n">
        <x:v>0.00501</x:v>
      </x:c>
      <x:c r="S21" s="14" t="str">
        <x:v>Cc1ncoc1-c1nnc(SCC(O)CN2CC[C@@]3(C[C@H]3c3ccc(C(F)(F)F)cc3)C2)n1C</x:v>
      </x:c>
      <x:c r="T21" s="14" t="str">
        <x:v>Cc1ncoc1-c1nnc(SCC(O)CN2CC[C@@]3(C[C@H]3c3ccc(C(F)(F)F)cc3)C2)n1C</x:v>
      </x:c>
      <x:c r="U21" s="14" t="str">
        <x:v>GNVATANRVUMZDM-RXJZEZJSSA-N</x:v>
      </x:c>
      <x:c r="V21" s="14" t="str">
        <x:v>Cc1ncoc1-c1nnc(SCC(O)CN2CCC3(CC3c3ccc(C(F)(F)F)cc3)C2)n1C</x:v>
      </x:c>
      <x:c r="W21" s="14" t="str">
        <x:v>f9dd1a7b94a4e018fc1d145ad30a4628e11311dbe1188f815f403d1b098521b5</x:v>
      </x:c>
      <x:c r="X21" s="14" t="str">
        <x:v>c1ccc(C2CC23CCN(CCCSc2nnc(-c4cnco4)[nH]2)C3)cc1</x:v>
      </x:c>
      <x:c r="Y21" s="14" t="str">
        <x:v>false</x:v>
      </x:c>
      <x:c r="Z21" s="17" t="n">
        <x:v>1</x:v>
      </x:c>
      <x:c r="AA21" s="14" t="str">
        <x:v>include</x:v>
      </x:c>
      <x:c r="AB21" s="14" t="str"/>
      <x:c r="AC21" s="14" t="str">
        <x:v>pKi</x:v>
      </x:c>
      <x:c r="AD21" s="14" t="str">
        <x:v>5.76</x:v>
      </x:c>
      <x:c r="AE21" s="14" t="str">
        <x:v>null</x:v>
      </x:c>
      <x:c r="AF21" s="14" t="str">
        <x:v>=</x:v>
      </x:c>
      <x:c r="AG21" s="14" t="str">
        <x:v>Ki</x:v>
      </x:c>
      <x:c r="AH21" s="15" t="n">
        <x:v>1737.8</x:v>
      </x:c>
      <x:c r="AI21" s="14" t="str">
        <x:v>nM</x:v>
      </x:c>
      <x:c r="AJ21" s="14" t="str">
        <x:v>=</x:v>
      </x:c>
      <x:c r="AK21" s="15" t="n">
        <x:v>5.76</x:v>
      </x:c>
      <x:c r="AL21" s="17" t="n">
        <x:v>0</x:v>
      </x:c>
      <x:c r="AM21" s="14" t="str">
        <x:v>null</x:v>
      </x:c>
      <x:c r="AN21" s="14" t="str">
        <x:v>null</x:v>
      </x:c>
      <x:c r="AO21" s="14" t="str">
        <x:v>https://www.ebi.ac.uk/chembl/api/data/activity/16670177.json</x:v>
      </x:c>
    </x:row>
    <x:row r="22" ht="36" customHeight="1">
      <x:c r="A22" s="9" t="str">
        <x:v>FCYQRIODPYABJL-AVRDEDQJSA-N</x:v>
      </x:c>
      <x:c r="B22" s="9" t="str">
        <x:v>CHEMBL3983121</x:v>
      </x:c>
      <x:c r="C22" s="9" t="str">
        <x:v>CHEMBL3983121</x:v>
      </x:c>
      <x:c r="D22" s="9" t="str">
        <x:v>16670178</x:v>
      </x:c>
      <x:c r="E22" s="9" t="str">
        <x:v>16670178</x:v>
      </x:c>
      <x:c r="F22" s="9" t="str">
        <x:v>CHEMBL3855278</x:v>
      </x:c>
      <x:c r="G22" s="9" t="str">
        <x:v>CHEMBL217</x:v>
      </x:c>
      <x:c r="H22" s="9" t="str">
        <x:v>CHEMBL3853329</x:v>
      </x:c>
      <x:c r="I22" s="9" t="str">
        <x:v>Cc1ncoc1-c1nnc(SCCCN2CC[C@]3(C[C@H]3c3cc(Cl)cc(Cl)c3)C2)n1C</x:v>
      </x:c>
      <x:c r="J22" s="9" t="str">
        <x:v>Cc1ncoc1-c1nnc(SCCCN2CC[C@]3(C[C@H]3c3cc(Cl)cc(Cl)c3)C2)n1C</x:v>
      </x:c>
      <x:c r="K22" s="9" t="str">
        <x:v>source_reported_pKi</x:v>
      </x:c>
      <x:c r="L22" s="11" t="n">
        <x:v>7.18</x:v>
      </x:c>
      <x:c r="M22" s="11" t="n">
        <x:v>66.06934480075964</x:v>
      </x:c>
      <x:c r="N22" s="11" t="n">
        <x:v>66.07</x:v>
      </x:c>
      <x:c r="O22" s="11" t="n">
        <x:v>7.179995693191682</x:v>
      </x:c>
      <x:c r="P22" s="12" t="n">
        <x:v>-0.000004306808317977584</x:v>
      </x:c>
      <x:c r="Q22" s="12" t="n">
        <x:v>0.0006551992403558415</x:v>
      </x:c>
      <x:c r="R22" s="11" t="n">
        <x:v>0.00501</x:v>
      </x:c>
      <x:c r="S22" s="9" t="str">
        <x:v>Cc1ncoc1-c1nnc(SCCCN2CC[C@]3(C[C@H]3c3cc(Cl)cc(Cl)c3)C2)n1C</x:v>
      </x:c>
      <x:c r="T22" s="9" t="str">
        <x:v>Cc1ncoc1-c1nnc(SCCCN2CC[C@]3(C[C@H]3c3cc(Cl)cc(Cl)c3)C2)n1C</x:v>
      </x:c>
      <x:c r="U22" s="9" t="str">
        <x:v>FCYQRIODPYABJL-AVRDEDQJSA-N</x:v>
      </x:c>
      <x:c r="V22" s="9" t="str">
        <x:v>Cc1ncoc1-c1nnc(SCCCN2CCC3(CC3c3cc(Cl)cc(Cl)c3)C2)n1C</x:v>
      </x:c>
      <x:c r="W22" s="9" t="str">
        <x:v>3d1b01f172b95fa970bdbde7a881107f16a11e0edc4e493db8df12af9404d052</x:v>
      </x:c>
      <x:c r="X22" s="9" t="str">
        <x:v>c1ccc(C2CC23CCN(CCCSc2nnc(-c4cnco4)[nH]2)C3)cc1</x:v>
      </x:c>
      <x:c r="Y22" s="9" t="str">
        <x:v>false</x:v>
      </x:c>
      <x:c r="Z22" s="13" t="n">
        <x:v>1</x:v>
      </x:c>
      <x:c r="AA22" s="9" t="str">
        <x:v>include</x:v>
      </x:c>
      <x:c r="AB22" s="9" t="str"/>
      <x:c r="AC22" s="9" t="str">
        <x:v>pKi</x:v>
      </x:c>
      <x:c r="AD22" s="9" t="str">
        <x:v>7.18</x:v>
      </x:c>
      <x:c r="AE22" s="9" t="str">
        <x:v>null</x:v>
      </x:c>
      <x:c r="AF22" s="9" t="str">
        <x:v>=</x:v>
      </x:c>
      <x:c r="AG22" s="9" t="str">
        <x:v>Ki</x:v>
      </x:c>
      <x:c r="AH22" s="11" t="n">
        <x:v>66.07</x:v>
      </x:c>
      <x:c r="AI22" s="9" t="str">
        <x:v>nM</x:v>
      </x:c>
      <x:c r="AJ22" s="9" t="str">
        <x:v>=</x:v>
      </x:c>
      <x:c r="AK22" s="11" t="n">
        <x:v>7.18</x:v>
      </x:c>
      <x:c r="AL22" s="13" t="n">
        <x:v>0</x:v>
      </x:c>
      <x:c r="AM22" s="9" t="str">
        <x:v>null</x:v>
      </x:c>
      <x:c r="AN22" s="9" t="str">
        <x:v>null</x:v>
      </x:c>
      <x:c r="AO22" s="9" t="str">
        <x:v>https://www.ebi.ac.uk/chembl/api/data/activity/16670178.json</x:v>
      </x:c>
    </x:row>
    <x:row r="23" ht="36" customHeight="1">
      <x:c r="A23" s="14" t="str">
        <x:v>FCYQRIODPYABJL-GCJKJVERSA-N</x:v>
      </x:c>
      <x:c r="B23" s="14" t="str">
        <x:v>CHEMBL3899336</x:v>
      </x:c>
      <x:c r="C23" s="14" t="str">
        <x:v>CHEMBL3899336</x:v>
      </x:c>
      <x:c r="D23" s="14" t="str">
        <x:v>16670179</x:v>
      </x:c>
      <x:c r="E23" s="14" t="str">
        <x:v>16670179</x:v>
      </x:c>
      <x:c r="F23" s="14" t="str">
        <x:v>CHEMBL3855278</x:v>
      </x:c>
      <x:c r="G23" s="14" t="str">
        <x:v>CHEMBL217</x:v>
      </x:c>
      <x:c r="H23" s="14" t="str">
        <x:v>CHEMBL3853329</x:v>
      </x:c>
      <x:c r="I23" s="14" t="str">
        <x:v>Cc1ncoc1-c1nnc(SCCCN2CC[C@]3(C[C@@H]3c3cc(Cl)cc(Cl)c3)C2)n1C</x:v>
      </x:c>
      <x:c r="J23" s="14" t="str">
        <x:v>Cc1ncoc1-c1nnc(SCCCN2CC[C@]3(C[C@@H]3c3cc(Cl)cc(Cl)c3)C2)n1C</x:v>
      </x:c>
      <x:c r="K23" s="14" t="str">
        <x:v>source_reported_pKi</x:v>
      </x:c>
      <x:c r="L23" s="15" t="n">
        <x:v>7.21</x:v>
      </x:c>
      <x:c r="M23" s="15" t="n">
        <x:v>61.65950018614822</x:v>
      </x:c>
      <x:c r="N23" s="15" t="n">
        <x:v>61.66</x:v>
      </x:c>
      <x:c r="O23" s="15" t="n">
        <x:v>7.209996479609511</x:v>
      </x:c>
      <x:c r="P23" s="16" t="n">
        <x:v>-0.0000035203904893421623</x:v>
      </x:c>
      <x:c r="Q23" s="16" t="n">
        <x:v>0.0004998138517748885</x:v>
      </x:c>
      <x:c r="R23" s="15" t="n">
        <x:v>0.00501</x:v>
      </x:c>
      <x:c r="S23" s="14" t="str">
        <x:v>Cc1ncoc1-c1nnc(SCCCN2CC[C@]3(C[C@@H]3c3cc(Cl)cc(Cl)c3)C2)n1C</x:v>
      </x:c>
      <x:c r="T23" s="14" t="str">
        <x:v>Cc1ncoc1-c1nnc(SCCCN2CC[C@]3(C[C@@H]3c3cc(Cl)cc(Cl)c3)C2)n1C</x:v>
      </x:c>
      <x:c r="U23" s="14" t="str">
        <x:v>FCYQRIODPYABJL-GCJKJVERSA-N</x:v>
      </x:c>
      <x:c r="V23" s="14" t="str">
        <x:v>Cc1ncoc1-c1nnc(SCCCN2CCC3(CC3c3cc(Cl)cc(Cl)c3)C2)n1C</x:v>
      </x:c>
      <x:c r="W23" s="14" t="str">
        <x:v>3d1b01f172b95fa970bdbde7a881107f16a11e0edc4e493db8df12af9404d052</x:v>
      </x:c>
      <x:c r="X23" s="14" t="str">
        <x:v>c1ccc(C2CC23CCN(CCCSc2nnc(-c4cnco4)[nH]2)C3)cc1</x:v>
      </x:c>
      <x:c r="Y23" s="14" t="str">
        <x:v>false</x:v>
      </x:c>
      <x:c r="Z23" s="17" t="n">
        <x:v>1</x:v>
      </x:c>
      <x:c r="AA23" s="14" t="str">
        <x:v>include</x:v>
      </x:c>
      <x:c r="AB23" s="14" t="str"/>
      <x:c r="AC23" s="14" t="str">
        <x:v>pKi</x:v>
      </x:c>
      <x:c r="AD23" s="14" t="str">
        <x:v>7.21</x:v>
      </x:c>
      <x:c r="AE23" s="14" t="str">
        <x:v>null</x:v>
      </x:c>
      <x:c r="AF23" s="14" t="str">
        <x:v>=</x:v>
      </x:c>
      <x:c r="AG23" s="14" t="str">
        <x:v>Ki</x:v>
      </x:c>
      <x:c r="AH23" s="15" t="n">
        <x:v>61.66</x:v>
      </x:c>
      <x:c r="AI23" s="14" t="str">
        <x:v>nM</x:v>
      </x:c>
      <x:c r="AJ23" s="14" t="str">
        <x:v>=</x:v>
      </x:c>
      <x:c r="AK23" s="15" t="n">
        <x:v>7.21</x:v>
      </x:c>
      <x:c r="AL23" s="17" t="n">
        <x:v>0</x:v>
      </x:c>
      <x:c r="AM23" s="14" t="str">
        <x:v>null</x:v>
      </x:c>
      <x:c r="AN23" s="14" t="str">
        <x:v>null</x:v>
      </x:c>
      <x:c r="AO23" s="14" t="str">
        <x:v>https://www.ebi.ac.uk/chembl/api/data/activity/16670179.json</x:v>
      </x:c>
    </x:row>
    <x:row r="24" ht="36" customHeight="1">
      <x:c r="A24" s="9" t="str">
        <x:v>NFIANDWIUXYLJZ-AVRDEDQJSA-N</x:v>
      </x:c>
      <x:c r="B24" s="9" t="str">
        <x:v>CHEMBL3894257</x:v>
      </x:c>
      <x:c r="C24" s="9" t="str">
        <x:v>CHEMBL3894257</x:v>
      </x:c>
      <x:c r="D24" s="9" t="str">
        <x:v>16670256</x:v>
      </x:c>
      <x:c r="E24" s="9" t="str">
        <x:v>16670256</x:v>
      </x:c>
      <x:c r="F24" s="9" t="str">
        <x:v>CHEMBL3855278</x:v>
      </x:c>
      <x:c r="G24" s="9" t="str">
        <x:v>CHEMBL217</x:v>
      </x:c>
      <x:c r="H24" s="9" t="str">
        <x:v>CHEMBL3853329</x:v>
      </x:c>
      <x:c r="I24" s="9" t="str">
        <x:v>Cc1ncsc1-c1nnc(SCCCN2CC[C@]3(C[C@H]3c3ccc(C(F)(F)F)cc3)C2)n1C</x:v>
      </x:c>
      <x:c r="J24" s="9" t="str">
        <x:v>Cc1ncsc1-c1nnc(SCCCN2CC[C@]3(C[C@H]3c3ccc(C(F)(F)F)cc3)C2)n1C</x:v>
      </x:c>
      <x:c r="K24" s="9" t="str">
        <x:v>source_reported_pKi</x:v>
      </x:c>
      <x:c r="L24" s="11" t="n">
        <x:v>5.91</x:v>
      </x:c>
      <x:c r="M24" s="11" t="n">
        <x:v>1230.268770812381</x:v>
      </x:c>
      <x:c r="N24" s="11" t="n">
        <x:v>1230.27</x:v>
      </x:c>
      <x:c r="O24" s="11" t="n">
        <x:v>5.90999956608739</x:v>
      </x:c>
      <x:c r="P24" s="12" t="n">
        <x:v>-4.3391260984293467e-7</x:v>
      </x:c>
      <x:c r="Q24" s="12" t="n">
        <x:v>0.0012291876189465256</x:v>
      </x:c>
      <x:c r="R24" s="11" t="n">
        <x:v>0.00501</x:v>
      </x:c>
      <x:c r="S24" s="9" t="str">
        <x:v>Cc1ncsc1-c1nnc(SCCCN2CC[C@]3(C[C@H]3c3ccc(C(F)(F)F)cc3)C2)n1C</x:v>
      </x:c>
      <x:c r="T24" s="9" t="str">
        <x:v>Cc1ncsc1-c1nnc(SCCCN2CC[C@]3(C[C@H]3c3ccc(C(F)(F)F)cc3)C2)n1C</x:v>
      </x:c>
      <x:c r="U24" s="9" t="str">
        <x:v>NFIANDWIUXYLJZ-AVRDEDQJSA-N</x:v>
      </x:c>
      <x:c r="V24" s="9" t="str">
        <x:v>Cc1ncsc1-c1nnc(SCCCN2CCC3(CC3c3ccc(C(F)(F)F)cc3)C2)n1C</x:v>
      </x:c>
      <x:c r="W24" s="9" t="str">
        <x:v>aa93f130e59cdde1eb0297d2ae3c90ed4403c6728ea01dda8ebf759b0dbc77c9</x:v>
      </x:c>
      <x:c r="X24" s="9" t="str">
        <x:v>c1ccc(C2CC23CCN(CCCSc2nnc(-c4cncs4)[nH]2)C3)cc1</x:v>
      </x:c>
      <x:c r="Y24" s="9" t="str">
        <x:v>false</x:v>
      </x:c>
      <x:c r="Z24" s="13" t="n">
        <x:v>1</x:v>
      </x:c>
      <x:c r="AA24" s="9" t="str">
        <x:v>include</x:v>
      </x:c>
      <x:c r="AB24" s="9" t="str"/>
      <x:c r="AC24" s="9" t="str">
        <x:v>pKi</x:v>
      </x:c>
      <x:c r="AD24" s="9" t="str">
        <x:v>5.91</x:v>
      </x:c>
      <x:c r="AE24" s="9" t="str">
        <x:v>null</x:v>
      </x:c>
      <x:c r="AF24" s="9" t="str">
        <x:v>=</x:v>
      </x:c>
      <x:c r="AG24" s="9" t="str">
        <x:v>Ki</x:v>
      </x:c>
      <x:c r="AH24" s="11" t="n">
        <x:v>1230.27</x:v>
      </x:c>
      <x:c r="AI24" s="9" t="str">
        <x:v>nM</x:v>
      </x:c>
      <x:c r="AJ24" s="9" t="str">
        <x:v>=</x:v>
      </x:c>
      <x:c r="AK24" s="11" t="n">
        <x:v>5.91</x:v>
      </x:c>
      <x:c r="AL24" s="13" t="n">
        <x:v>0</x:v>
      </x:c>
      <x:c r="AM24" s="9" t="str">
        <x:v>null</x:v>
      </x:c>
      <x:c r="AN24" s="9" t="str">
        <x:v>null</x:v>
      </x:c>
      <x:c r="AO24" s="9" t="str">
        <x:v>https://www.ebi.ac.uk/chembl/api/data/activity/16670256.json</x:v>
      </x:c>
    </x:row>
    <x:row r="25" ht="36" customHeight="1">
      <x:c r="A25" s="14" t="str">
        <x:v>NFIANDWIUXYLJZ-GCJKJVERSA-N</x:v>
      </x:c>
      <x:c r="B25" s="14" t="str">
        <x:v>CHEMBL3923578</x:v>
      </x:c>
      <x:c r="C25" s="14" t="str">
        <x:v>CHEMBL3923578</x:v>
      </x:c>
      <x:c r="D25" s="14" t="str">
        <x:v>16670257</x:v>
      </x:c>
      <x:c r="E25" s="14" t="str">
        <x:v>16670257</x:v>
      </x:c>
      <x:c r="F25" s="14" t="str">
        <x:v>CHEMBL3855278</x:v>
      </x:c>
      <x:c r="G25" s="14" t="str">
        <x:v>CHEMBL217</x:v>
      </x:c>
      <x:c r="H25" s="14" t="str">
        <x:v>CHEMBL3853329</x:v>
      </x:c>
      <x:c r="I25" s="14" t="str">
        <x:v>Cc1ncsc1-c1nnc(SCCCN2CC[C@]3(C[C@@H]3c3ccc(C(F)(F)F)cc3)C2)n1C</x:v>
      </x:c>
      <x:c r="J25" s="14" t="str">
        <x:v>Cc1ncsc1-c1nnc(SCCCN2CC[C@]3(C[C@@H]3c3ccc(C(F)(F)F)cc3)C2)n1C</x:v>
      </x:c>
      <x:c r="K25" s="14" t="str">
        <x:v>source_reported_pKi</x:v>
      </x:c>
      <x:c r="L25" s="15" t="n">
        <x:v>5.79</x:v>
      </x:c>
      <x:c r="M25" s="15" t="n">
        <x:v>1621.8100973589299</x:v>
      </x:c>
      <x:c r="N25" s="15" t="n">
        <x:v>1621.81</x:v>
      </x:c>
      <x:c r="O25" s="15" t="n">
        <x:v>5.790000026071146</x:v>
      </x:c>
      <x:c r="P25" s="16" t="n">
        <x:v>2.6071146130846046e-8</x:v>
      </x:c>
      <x:c r="Q25" s="16" t="n">
        <x:v>-0.00009735892990647699</x:v>
      </x:c>
      <x:c r="R25" s="15" t="n">
        <x:v>0.00501</x:v>
      </x:c>
      <x:c r="S25" s="14" t="str">
        <x:v>Cc1ncsc1-c1nnc(SCCCN2CC[C@]3(C[C@@H]3c3ccc(C(F)(F)F)cc3)C2)n1C</x:v>
      </x:c>
      <x:c r="T25" s="14" t="str">
        <x:v>Cc1ncsc1-c1nnc(SCCCN2CC[C@]3(C[C@@H]3c3ccc(C(F)(F)F)cc3)C2)n1C</x:v>
      </x:c>
      <x:c r="U25" s="14" t="str">
        <x:v>NFIANDWIUXYLJZ-GCJKJVERSA-N</x:v>
      </x:c>
      <x:c r="V25" s="14" t="str">
        <x:v>Cc1ncsc1-c1nnc(SCCCN2CCC3(CC3c3ccc(C(F)(F)F)cc3)C2)n1C</x:v>
      </x:c>
      <x:c r="W25" s="14" t="str">
        <x:v>aa93f130e59cdde1eb0297d2ae3c90ed4403c6728ea01dda8ebf759b0dbc77c9</x:v>
      </x:c>
      <x:c r="X25" s="14" t="str">
        <x:v>c1ccc(C2CC23CCN(CCCSc2nnc(-c4cncs4)[nH]2)C3)cc1</x:v>
      </x:c>
      <x:c r="Y25" s="14" t="str">
        <x:v>false</x:v>
      </x:c>
      <x:c r="Z25" s="17" t="n">
        <x:v>1</x:v>
      </x:c>
      <x:c r="AA25" s="14" t="str">
        <x:v>include</x:v>
      </x:c>
      <x:c r="AB25" s="14" t="str"/>
      <x:c r="AC25" s="14" t="str">
        <x:v>pKi</x:v>
      </x:c>
      <x:c r="AD25" s="14" t="str">
        <x:v>5.79</x:v>
      </x:c>
      <x:c r="AE25" s="14" t="str">
        <x:v>null</x:v>
      </x:c>
      <x:c r="AF25" s="14" t="str">
        <x:v>=</x:v>
      </x:c>
      <x:c r="AG25" s="14" t="str">
        <x:v>Ki</x:v>
      </x:c>
      <x:c r="AH25" s="15" t="n">
        <x:v>1621.81</x:v>
      </x:c>
      <x:c r="AI25" s="14" t="str">
        <x:v>nM</x:v>
      </x:c>
      <x:c r="AJ25" s="14" t="str">
        <x:v>=</x:v>
      </x:c>
      <x:c r="AK25" s="15" t="n">
        <x:v>5.79</x:v>
      </x:c>
      <x:c r="AL25" s="17" t="n">
        <x:v>0</x:v>
      </x:c>
      <x:c r="AM25" s="14" t="str">
        <x:v>null</x:v>
      </x:c>
      <x:c r="AN25" s="14" t="str">
        <x:v>null</x:v>
      </x:c>
      <x:c r="AO25" s="14" t="str">
        <x:v>https://www.ebi.ac.uk/chembl/api/data/activity/16670257.json</x:v>
      </x:c>
    </x:row>
    <x:row r="26" ht="36" customHeight="1">
      <x:c r="A26" s="9" t="str">
        <x:v>YMMKVLDFUKHZTJ-UWJYYQICSA-N</x:v>
      </x:c>
      <x:c r="B26" s="9" t="str">
        <x:v>CHEMBL3895585</x:v>
      </x:c>
      <x:c r="C26" s="9" t="str">
        <x:v>CHEMBL3895585</x:v>
      </x:c>
      <x:c r="D26" s="9" t="str">
        <x:v>16670258</x:v>
      </x:c>
      <x:c r="E26" s="9" t="str">
        <x:v>16670258</x:v>
      </x:c>
      <x:c r="F26" s="9" t="str">
        <x:v>CHEMBL3855278</x:v>
      </x:c>
      <x:c r="G26" s="9" t="str">
        <x:v>CHEMBL217</x:v>
      </x:c>
      <x:c r="H26" s="9" t="str">
        <x:v>CHEMBL3853329</x:v>
      </x:c>
      <x:c r="I26" s="9" t="str">
        <x:v>Cn1c(SCCCN2CC[C@]3(C[C@H]3c3ccc(C(F)(F)F)cc3)C2)nnc1-c1nccs1</x:v>
      </x:c>
      <x:c r="J26" s="9" t="str">
        <x:v>Cn1c(SCCCN2CC[C@]3(C[C@H]3c3ccc(C(F)(F)F)cc3)C2)nnc1-c1nccs1</x:v>
      </x:c>
      <x:c r="K26" s="9" t="str">
        <x:v>source_reported_pKi</x:v>
      </x:c>
      <x:c r="L26" s="11" t="n">
        <x:v>6.33</x:v>
      </x:c>
      <x:c r="M26" s="11" t="n">
        <x:v>467.73514128719813</x:v>
      </x:c>
      <x:c r="N26" s="11" t="n">
        <x:v>467.74</x:v>
      </x:c>
      <x:c r="O26" s="11" t="n">
        <x:v>6.329995488683631</x:v>
      </x:c>
      <x:c r="P26" s="12" t="n">
        <x:v>-0.0000045113163693599745</x:v>
      </x:c>
      <x:c r="Q26" s="12" t="n">
        <x:v>0.0048587128018766634</x:v>
      </x:c>
      <x:c r="R26" s="11" t="n">
        <x:v>0.00501</x:v>
      </x:c>
      <x:c r="S26" s="9" t="str">
        <x:v>Cn1c(SCCCN2CC[C@]3(C[C@H]3c3ccc(C(F)(F)F)cc3)C2)nnc1-c1nccs1</x:v>
      </x:c>
      <x:c r="T26" s="9" t="str">
        <x:v>Cn1c(SCCCN2CC[C@]3(C[C@H]3c3ccc(C(F)(F)F)cc3)C2)nnc1-c1nccs1</x:v>
      </x:c>
      <x:c r="U26" s="9" t="str">
        <x:v>YMMKVLDFUKHZTJ-UWJYYQICSA-N</x:v>
      </x:c>
      <x:c r="V26" s="9" t="str">
        <x:v>Cn1c(SCCCN2CCC3(CC3c3ccc(C(F)(F)F)cc3)C2)nnc1-c1nccs1</x:v>
      </x:c>
      <x:c r="W26" s="9" t="str">
        <x:v>da8edb5b33e4d90c3f6aec243a3bff1fcafe26434a7eb4fe62fa45b4c05f0700</x:v>
      </x:c>
      <x:c r="X26" s="9" t="str">
        <x:v>c1ccc(C2CC23CCN(CCCSc2nnc(-c4nccs4)[nH]2)C3)cc1</x:v>
      </x:c>
      <x:c r="Y26" s="9" t="str">
        <x:v>false</x:v>
      </x:c>
      <x:c r="Z26" s="13" t="n">
        <x:v>1</x:v>
      </x:c>
      <x:c r="AA26" s="9" t="str">
        <x:v>include</x:v>
      </x:c>
      <x:c r="AB26" s="9" t="str"/>
      <x:c r="AC26" s="9" t="str">
        <x:v>pKi</x:v>
      </x:c>
      <x:c r="AD26" s="9" t="str">
        <x:v>6.33</x:v>
      </x:c>
      <x:c r="AE26" s="9" t="str">
        <x:v>null</x:v>
      </x:c>
      <x:c r="AF26" s="9" t="str">
        <x:v>=</x:v>
      </x:c>
      <x:c r="AG26" s="9" t="str">
        <x:v>Ki</x:v>
      </x:c>
      <x:c r="AH26" s="11" t="n">
        <x:v>467.74</x:v>
      </x:c>
      <x:c r="AI26" s="9" t="str">
        <x:v>nM</x:v>
      </x:c>
      <x:c r="AJ26" s="9" t="str">
        <x:v>=</x:v>
      </x:c>
      <x:c r="AK26" s="11" t="n">
        <x:v>6.33</x:v>
      </x:c>
      <x:c r="AL26" s="13" t="n">
        <x:v>0</x:v>
      </x:c>
      <x:c r="AM26" s="9" t="str">
        <x:v>null</x:v>
      </x:c>
      <x:c r="AN26" s="9" t="str">
        <x:v>null</x:v>
      </x:c>
      <x:c r="AO26" s="9" t="str">
        <x:v>https://www.ebi.ac.uk/chembl/api/data/activity/16670258.json</x:v>
      </x:c>
    </x:row>
    <x:row r="27" ht="36" customHeight="1">
      <x:c r="A27" s="14" t="str">
        <x:v>YMMKVLDFUKHZTJ-UTKZUKDTSA-N</x:v>
      </x:c>
      <x:c r="B27" s="14" t="str">
        <x:v>CHEMBL3914556</x:v>
      </x:c>
      <x:c r="C27" s="14" t="str">
        <x:v>CHEMBL3914556</x:v>
      </x:c>
      <x:c r="D27" s="14" t="str">
        <x:v>16670259</x:v>
      </x:c>
      <x:c r="E27" s="14" t="str">
        <x:v>16670259</x:v>
      </x:c>
      <x:c r="F27" s="14" t="str">
        <x:v>CHEMBL3855278</x:v>
      </x:c>
      <x:c r="G27" s="14" t="str">
        <x:v>CHEMBL217</x:v>
      </x:c>
      <x:c r="H27" s="14" t="str">
        <x:v>CHEMBL3853329</x:v>
      </x:c>
      <x:c r="I27" s="14" t="str">
        <x:v>Cn1c(SCCCN2CC[C@]3(C[C@@H]3c3ccc(C(F)(F)F)cc3)C2)nnc1-c1nccs1</x:v>
      </x:c>
      <x:c r="J27" s="14" t="str">
        <x:v>Cn1c(SCCCN2CC[C@]3(C[C@@H]3c3ccc(C(F)(F)F)cc3)C2)nnc1-c1nccs1</x:v>
      </x:c>
      <x:c r="K27" s="14" t="str">
        <x:v>source_reported_pKi</x:v>
      </x:c>
      <x:c r="L27" s="15" t="n">
        <x:v>6.37</x:v>
      </x:c>
      <x:c r="M27" s="15" t="n">
        <x:v>426.57951880159254</x:v>
      </x:c>
      <x:c r="N27" s="15" t="n">
        <x:v>426.58</x:v>
      </x:c>
      <x:c r="O27" s="15" t="n">
        <x:v>6.369999510099088</x:v>
      </x:c>
      <x:c r="P27" s="16" t="n">
        <x:v>-4.899009118375375e-7</x:v>
      </x:c>
      <x:c r="Q27" s="16" t="n">
        <x:v>0.0004811984074422071</x:v>
      </x:c>
      <x:c r="R27" s="15" t="n">
        <x:v>0.00501</x:v>
      </x:c>
      <x:c r="S27" s="14" t="str">
        <x:v>Cn1c(SCCCN2CC[C@]3(C[C@@H]3c3ccc(C(F)(F)F)cc3)C2)nnc1-c1nccs1</x:v>
      </x:c>
      <x:c r="T27" s="14" t="str">
        <x:v>Cn1c(SCCCN2CC[C@]3(C[C@@H]3c3ccc(C(F)(F)F)cc3)C2)nnc1-c1nccs1</x:v>
      </x:c>
      <x:c r="U27" s="14" t="str">
        <x:v>YMMKVLDFUKHZTJ-UTKZUKDTSA-N</x:v>
      </x:c>
      <x:c r="V27" s="14" t="str">
        <x:v>Cn1c(SCCCN2CCC3(CC3c3ccc(C(F)(F)F)cc3)C2)nnc1-c1nccs1</x:v>
      </x:c>
      <x:c r="W27" s="14" t="str">
        <x:v>da8edb5b33e4d90c3f6aec243a3bff1fcafe26434a7eb4fe62fa45b4c05f0700</x:v>
      </x:c>
      <x:c r="X27" s="14" t="str">
        <x:v>c1ccc(C2CC23CCN(CCCSc2nnc(-c4nccs4)[nH]2)C3)cc1</x:v>
      </x:c>
      <x:c r="Y27" s="14" t="str">
        <x:v>false</x:v>
      </x:c>
      <x:c r="Z27" s="17" t="n">
        <x:v>1</x:v>
      </x:c>
      <x:c r="AA27" s="14" t="str">
        <x:v>include</x:v>
      </x:c>
      <x:c r="AB27" s="14" t="str"/>
      <x:c r="AC27" s="14" t="str">
        <x:v>pKi</x:v>
      </x:c>
      <x:c r="AD27" s="14" t="str">
        <x:v>6.37</x:v>
      </x:c>
      <x:c r="AE27" s="14" t="str">
        <x:v>null</x:v>
      </x:c>
      <x:c r="AF27" s="14" t="str">
        <x:v>=</x:v>
      </x:c>
      <x:c r="AG27" s="14" t="str">
        <x:v>Ki</x:v>
      </x:c>
      <x:c r="AH27" s="15" t="n">
        <x:v>426.58</x:v>
      </x:c>
      <x:c r="AI27" s="14" t="str">
        <x:v>nM</x:v>
      </x:c>
      <x:c r="AJ27" s="14" t="str">
        <x:v>=</x:v>
      </x:c>
      <x:c r="AK27" s="15" t="n">
        <x:v>6.37</x:v>
      </x:c>
      <x:c r="AL27" s="17" t="n">
        <x:v>0</x:v>
      </x:c>
      <x:c r="AM27" s="14" t="str">
        <x:v>null</x:v>
      </x:c>
      <x:c r="AN27" s="14" t="str">
        <x:v>null</x:v>
      </x:c>
      <x:c r="AO27" s="14" t="str">
        <x:v>https://www.ebi.ac.uk/chembl/api/data/activity/16670259.json</x:v>
      </x:c>
    </x:row>
    <x:row r="28" ht="36" customHeight="1">
      <x:c r="A28" s="9" t="str">
        <x:v>KDMBMLINAPXLCW-JXFKEZNVSA-N</x:v>
      </x:c>
      <x:c r="B28" s="9" t="str">
        <x:v>CHEMBL3984387</x:v>
      </x:c>
      <x:c r="C28" s="9" t="str">
        <x:v>CHEMBL3984387</x:v>
      </x:c>
      <x:c r="D28" s="9" t="str">
        <x:v>16670260</x:v>
      </x:c>
      <x:c r="E28" s="9" t="str">
        <x:v>16670260</x:v>
      </x:c>
      <x:c r="F28" s="9" t="str">
        <x:v>CHEMBL3855278</x:v>
      </x:c>
      <x:c r="G28" s="9" t="str">
        <x:v>CHEMBL217</x:v>
      </x:c>
      <x:c r="H28" s="9" t="str">
        <x:v>CHEMBL3853329</x:v>
      </x:c>
      <x:c r="I28" s="9" t="str">
        <x:v>Cn1c(SCCCN2CC[C@]3(C[C@H]3c3ccc(C(F)(F)F)cc3)C2)nnc1-c1csnn1</x:v>
      </x:c>
      <x:c r="J28" s="9" t="str">
        <x:v>Cn1c(SCCCN2CC[C@]3(C[C@H]3c3ccc(C(F)(F)F)cc3)C2)nnc1-c1csnn1</x:v>
      </x:c>
      <x:c r="K28" s="9" t="str">
        <x:v>source_reported_pKi</x:v>
      </x:c>
      <x:c r="L28" s="11" t="n">
        <x:v>6.93</x:v>
      </x:c>
      <x:c r="M28" s="11" t="n">
        <x:v>117.48975549395303</x:v>
      </x:c>
      <x:c r="N28" s="11" t="n">
        <x:v>117.49</x:v>
      </x:c>
      <x:c r="O28" s="11" t="n">
        <x:v>6.929999096197655</x:v>
      </x:c>
      <x:c r="P28" s="12" t="n">
        <x:v>-9.038023449647881e-7</x:v>
      </x:c>
      <x:c r="Q28" s="12" t="n">
        <x:v>0.0002445060469682403</x:v>
      </x:c>
      <x:c r="R28" s="11" t="n">
        <x:v>0.00501</x:v>
      </x:c>
      <x:c r="S28" s="9" t="str">
        <x:v>Cn1c(SCCCN2CC[C@]3(C[C@H]3c3ccc(C(F)(F)F)cc3)C2)nnc1-c1csnn1</x:v>
      </x:c>
      <x:c r="T28" s="9" t="str">
        <x:v>Cn1c(SCCCN2CC[C@]3(C[C@H]3c3ccc(C(F)(F)F)cc3)C2)nnc1-c1csnn1</x:v>
      </x:c>
      <x:c r="U28" s="9" t="str">
        <x:v>KDMBMLINAPXLCW-JXFKEZNVSA-N</x:v>
      </x:c>
      <x:c r="V28" s="9" t="str">
        <x:v>Cn1c(SCCCN2CCC3(CC3c3ccc(C(F)(F)F)cc3)C2)nnc1-c1csnn1</x:v>
      </x:c>
      <x:c r="W28" s="9" t="str">
        <x:v>da9d442a1c5a36ff02ea697bd698ae7d2efd2ce5f010ac4715e4baf981cb464b</x:v>
      </x:c>
      <x:c r="X28" s="9" t="str">
        <x:v>c1ccc(C2CC23CCN(CCCSc2nnc(-c4csnn4)[nH]2)C3)cc1</x:v>
      </x:c>
      <x:c r="Y28" s="9" t="str">
        <x:v>false</x:v>
      </x:c>
      <x:c r="Z28" s="13" t="n">
        <x:v>1</x:v>
      </x:c>
      <x:c r="AA28" s="9" t="str">
        <x:v>include</x:v>
      </x:c>
      <x:c r="AB28" s="9" t="str"/>
      <x:c r="AC28" s="9" t="str">
        <x:v>pKi</x:v>
      </x:c>
      <x:c r="AD28" s="9" t="str">
        <x:v>6.93</x:v>
      </x:c>
      <x:c r="AE28" s="9" t="str">
        <x:v>null</x:v>
      </x:c>
      <x:c r="AF28" s="9" t="str">
        <x:v>=</x:v>
      </x:c>
      <x:c r="AG28" s="9" t="str">
        <x:v>Ki</x:v>
      </x:c>
      <x:c r="AH28" s="11" t="n">
        <x:v>117.49</x:v>
      </x:c>
      <x:c r="AI28" s="9" t="str">
        <x:v>nM</x:v>
      </x:c>
      <x:c r="AJ28" s="9" t="str">
        <x:v>=</x:v>
      </x:c>
      <x:c r="AK28" s="11" t="n">
        <x:v>6.93</x:v>
      </x:c>
      <x:c r="AL28" s="13" t="n">
        <x:v>0</x:v>
      </x:c>
      <x:c r="AM28" s="9" t="str">
        <x:v>null</x:v>
      </x:c>
      <x:c r="AN28" s="9" t="str">
        <x:v>null</x:v>
      </x:c>
      <x:c r="AO28" s="9" t="str">
        <x:v>https://www.ebi.ac.uk/chembl/api/data/activity/16670260.json</x:v>
      </x:c>
    </x:row>
    <x:row r="29" ht="36" customHeight="1">
      <x:c r="A29" s="14" t="str">
        <x:v>KDMBMLINAPXLCW-UZLBHIALSA-N</x:v>
      </x:c>
      <x:c r="B29" s="14" t="str">
        <x:v>CHEMBL3905582</x:v>
      </x:c>
      <x:c r="C29" s="14" t="str">
        <x:v>CHEMBL3905582</x:v>
      </x:c>
      <x:c r="D29" s="14" t="str">
        <x:v>16670261</x:v>
      </x:c>
      <x:c r="E29" s="14" t="str">
        <x:v>16670261</x:v>
      </x:c>
      <x:c r="F29" s="14" t="str">
        <x:v>CHEMBL3855278</x:v>
      </x:c>
      <x:c r="G29" s="14" t="str">
        <x:v>CHEMBL217</x:v>
      </x:c>
      <x:c r="H29" s="14" t="str">
        <x:v>CHEMBL3853329</x:v>
      </x:c>
      <x:c r="I29" s="14" t="str">
        <x:v>Cn1c(SCCCN2CC[C@]3(C[C@@H]3c3ccc(C(F)(F)F)cc3)C2)nnc1-c1csnn1</x:v>
      </x:c>
      <x:c r="J29" s="14" t="str">
        <x:v>Cn1c(SCCCN2CC[C@]3(C[C@@H]3c3ccc(C(F)(F)F)cc3)C2)nnc1-c1csnn1</x:v>
      </x:c>
      <x:c r="K29" s="14" t="str">
        <x:v>source_reported_pKi</x:v>
      </x:c>
      <x:c r="L29" s="15" t="n">
        <x:v>6.89</x:v>
      </x:c>
      <x:c r="M29" s="15" t="n">
        <x:v>128.82495516931348</x:v>
      </x:c>
      <x:c r="N29" s="15" t="n">
        <x:v>128.82</x:v>
      </x:c>
      <x:c r="O29" s="15" t="n">
        <x:v>6.890016705180107</x:v>
      </x:c>
      <x:c r="P29" s="16" t="n">
        <x:v>0.00001670518010765676</x:v>
      </x:c>
      <x:c r="Q29" s="16" t="n">
        <x:v>-0.00495516931349016</x:v>
      </x:c>
      <x:c r="R29" s="15" t="n">
        <x:v>0.00501</x:v>
      </x:c>
      <x:c r="S29" s="14" t="str">
        <x:v>Cn1c(SCCCN2CC[C@]3(C[C@@H]3c3ccc(C(F)(F)F)cc3)C2)nnc1-c1csnn1</x:v>
      </x:c>
      <x:c r="T29" s="14" t="str">
        <x:v>Cn1c(SCCCN2CC[C@]3(C[C@@H]3c3ccc(C(F)(F)F)cc3)C2)nnc1-c1csnn1</x:v>
      </x:c>
      <x:c r="U29" s="14" t="str">
        <x:v>KDMBMLINAPXLCW-UZLBHIALSA-N</x:v>
      </x:c>
      <x:c r="V29" s="14" t="str">
        <x:v>Cn1c(SCCCN2CCC3(CC3c3ccc(C(F)(F)F)cc3)C2)nnc1-c1csnn1</x:v>
      </x:c>
      <x:c r="W29" s="14" t="str">
        <x:v>da9d442a1c5a36ff02ea697bd698ae7d2efd2ce5f010ac4715e4baf981cb464b</x:v>
      </x:c>
      <x:c r="X29" s="14" t="str">
        <x:v>c1ccc(C2CC23CCN(CCCSc2nnc(-c4csnn4)[nH]2)C3)cc1</x:v>
      </x:c>
      <x:c r="Y29" s="14" t="str">
        <x:v>false</x:v>
      </x:c>
      <x:c r="Z29" s="17" t="n">
        <x:v>1</x:v>
      </x:c>
      <x:c r="AA29" s="14" t="str">
        <x:v>include</x:v>
      </x:c>
      <x:c r="AB29" s="14" t="str"/>
      <x:c r="AC29" s="14" t="str">
        <x:v>pKi</x:v>
      </x:c>
      <x:c r="AD29" s="14" t="str">
        <x:v>6.89</x:v>
      </x:c>
      <x:c r="AE29" s="14" t="str">
        <x:v>null</x:v>
      </x:c>
      <x:c r="AF29" s="14" t="str">
        <x:v>=</x:v>
      </x:c>
      <x:c r="AG29" s="14" t="str">
        <x:v>Ki</x:v>
      </x:c>
      <x:c r="AH29" s="15" t="n">
        <x:v>128.82</x:v>
      </x:c>
      <x:c r="AI29" s="14" t="str">
        <x:v>nM</x:v>
      </x:c>
      <x:c r="AJ29" s="14" t="str">
        <x:v>=</x:v>
      </x:c>
      <x:c r="AK29" s="15" t="n">
        <x:v>6.89</x:v>
      </x:c>
      <x:c r="AL29" s="17" t="n">
        <x:v>0</x:v>
      </x:c>
      <x:c r="AM29" s="14" t="str">
        <x:v>null</x:v>
      </x:c>
      <x:c r="AN29" s="14" t="str">
        <x:v>null</x:v>
      </x:c>
      <x:c r="AO29" s="14" t="str">
        <x:v>https://www.ebi.ac.uk/chembl/api/data/activity/16670261.json</x:v>
      </x:c>
    </x:row>
    <x:row r="30" ht="36" customHeight="1">
      <x:c r="A30" s="9" t="str">
        <x:v>ZWINHZKEJACBFT-GCJKJVERSA-N</x:v>
      </x:c>
      <x:c r="B30" s="9" t="str">
        <x:v>CHEMBL3976319</x:v>
      </x:c>
      <x:c r="C30" s="9" t="str">
        <x:v>CHEMBL3976319</x:v>
      </x:c>
      <x:c r="D30" s="9" t="str">
        <x:v>16670262</x:v>
      </x:c>
      <x:c r="E30" s="9" t="str">
        <x:v>16670262</x:v>
      </x:c>
      <x:c r="F30" s="9" t="str">
        <x:v>CHEMBL3855278</x:v>
      </x:c>
      <x:c r="G30" s="9" t="str">
        <x:v>CHEMBL217</x:v>
      </x:c>
      <x:c r="H30" s="9" t="str">
        <x:v>CHEMBL3853329</x:v>
      </x:c>
      <x:c r="I30" s="9" t="str">
        <x:v>Cn1c(SCCCN2CC[C@]3(C[C@@H]3c3ccc(C(F)(F)F)cc3)C2)nnc1-c1cccs1</x:v>
      </x:c>
      <x:c r="J30" s="9" t="str">
        <x:v>Cn1c(SCCCN2CC[C@]3(C[C@@H]3c3ccc(C(F)(F)F)cc3)C2)nnc1-c1cccs1</x:v>
      </x:c>
      <x:c r="K30" s="9" t="str">
        <x:v>source_reported_pKi</x:v>
      </x:c>
      <x:c r="L30" s="11" t="n">
        <x:v>6.46</x:v>
      </x:c>
      <x:c r="M30" s="11" t="n">
        <x:v>346.73685045253166</x:v>
      </x:c>
      <x:c r="N30" s="11" t="n">
        <x:v>346.74</x:v>
      </x:c>
      <x:c r="O30" s="11" t="n">
        <x:v>6.459996055149974</x:v>
      </x:c>
      <x:c r="P30" s="12" t="n">
        <x:v>-0.000003944850026194047</x:v>
      </x:c>
      <x:c r="Q30" s="12" t="n">
        <x:v>0.0031495474683538305</x:v>
      </x:c>
      <x:c r="R30" s="11" t="n">
        <x:v>0.00501</x:v>
      </x:c>
      <x:c r="S30" s="9" t="str">
        <x:v>Cn1c(SCCCN2CC[C@]3(C[C@@H]3c3ccc(C(F)(F)F)cc3)C2)nnc1-c1cccs1</x:v>
      </x:c>
      <x:c r="T30" s="9" t="str">
        <x:v>Cn1c(SCCCN2CC[C@]3(C[C@@H]3c3ccc(C(F)(F)F)cc3)C2)nnc1-c1cccs1</x:v>
      </x:c>
      <x:c r="U30" s="9" t="str">
        <x:v>ZWINHZKEJACBFT-GCJKJVERSA-N</x:v>
      </x:c>
      <x:c r="V30" s="9" t="str">
        <x:v>Cn1c(SCCCN2CCC3(CC3c3ccc(C(F)(F)F)cc3)C2)nnc1-c1cccs1</x:v>
      </x:c>
      <x:c r="W30" s="9" t="str">
        <x:v>9bb34131081e1fd76aad54c44ebdec1acb17d1e4c9a76cc731007a6ad6437833</x:v>
      </x:c>
      <x:c r="X30" s="9" t="str">
        <x:v>c1ccc(C2CC23CCN(CCCSc2nnc(-c4cccs4)[nH]2)C3)cc1</x:v>
      </x:c>
      <x:c r="Y30" s="9" t="str">
        <x:v>false</x:v>
      </x:c>
      <x:c r="Z30" s="13" t="n">
        <x:v>1</x:v>
      </x:c>
      <x:c r="AA30" s="9" t="str">
        <x:v>include</x:v>
      </x:c>
      <x:c r="AB30" s="9" t="str"/>
      <x:c r="AC30" s="9" t="str">
        <x:v>pKi</x:v>
      </x:c>
      <x:c r="AD30" s="9" t="str">
        <x:v>6.46</x:v>
      </x:c>
      <x:c r="AE30" s="9" t="str">
        <x:v>null</x:v>
      </x:c>
      <x:c r="AF30" s="9" t="str">
        <x:v>=</x:v>
      </x:c>
      <x:c r="AG30" s="9" t="str">
        <x:v>Ki</x:v>
      </x:c>
      <x:c r="AH30" s="11" t="n">
        <x:v>346.74</x:v>
      </x:c>
      <x:c r="AI30" s="9" t="str">
        <x:v>nM</x:v>
      </x:c>
      <x:c r="AJ30" s="9" t="str">
        <x:v>=</x:v>
      </x:c>
      <x:c r="AK30" s="11" t="n">
        <x:v>6.46</x:v>
      </x:c>
      <x:c r="AL30" s="13" t="n">
        <x:v>0</x:v>
      </x:c>
      <x:c r="AM30" s="9" t="str">
        <x:v>null</x:v>
      </x:c>
      <x:c r="AN30" s="9" t="str">
        <x:v>null</x:v>
      </x:c>
      <x:c r="AO30" s="9" t="str">
        <x:v>https://www.ebi.ac.uk/chembl/api/data/activity/16670262.json</x:v>
      </x:c>
    </x:row>
    <x:row r="31" ht="36" customHeight="1">
      <x:c r="A31" s="14" t="str">
        <x:v>SPXBIHAHCCAKBB-KNQAVFIVSA-N</x:v>
      </x:c>
      <x:c r="B31" s="14" t="str">
        <x:v>CHEMBL3896638</x:v>
      </x:c>
      <x:c r="C31" s="14" t="str">
        <x:v>CHEMBL3896638</x:v>
      </x:c>
      <x:c r="D31" s="14" t="str">
        <x:v>16670263</x:v>
      </x:c>
      <x:c r="E31" s="14" t="str">
        <x:v>16670263</x:v>
      </x:c>
      <x:c r="F31" s="14" t="str">
        <x:v>CHEMBL3855278</x:v>
      </x:c>
      <x:c r="G31" s="14" t="str">
        <x:v>CHEMBL217</x:v>
      </x:c>
      <x:c r="H31" s="14" t="str">
        <x:v>CHEMBL3853329</x:v>
      </x:c>
      <x:c r="I31" s="14" t="str">
        <x:v>Cn1c(SCCCN2CC[C@]3(C[C@@H]3c3ccc(C(F)(F)F)cc3)C2)nnc1-c1ccsc1</x:v>
      </x:c>
      <x:c r="J31" s="14" t="str">
        <x:v>Cn1c(SCCCN2CC[C@]3(C[C@@H]3c3ccc(C(F)(F)F)cc3)C2)nnc1-c1ccsc1</x:v>
      </x:c>
      <x:c r="K31" s="14" t="str">
        <x:v>source_reported_pKi</x:v>
      </x:c>
      <x:c r="L31" s="15" t="n">
        <x:v>6.48</x:v>
      </x:c>
      <x:c r="M31" s="15" t="n">
        <x:v>331.13112148259074</x:v>
      </x:c>
      <x:c r="N31" s="15" t="n">
        <x:v>331.13</x:v>
      </x:c>
      <x:c r="O31" s="15" t="n">
        <x:v>6.480001470881152</x:v>
      </x:c>
      <x:c r="P31" s="16" t="n">
        <x:v>0.0000014708811519881237</x:v>
      </x:c>
      <x:c r="Q31" s="16" t="n">
        <x:v>-0.0011214825907472914</x:v>
      </x:c>
      <x:c r="R31" s="15" t="n">
        <x:v>0.00501</x:v>
      </x:c>
      <x:c r="S31" s="14" t="str">
        <x:v>Cn1c(SCCCN2CC[C@]3(C[C@@H]3c3ccc(C(F)(F)F)cc3)C2)nnc1-c1ccsc1</x:v>
      </x:c>
      <x:c r="T31" s="14" t="str">
        <x:v>Cn1c(SCCCN2CC[C@]3(C[C@@H]3c3ccc(C(F)(F)F)cc3)C2)nnc1-c1ccsc1</x:v>
      </x:c>
      <x:c r="U31" s="14" t="str">
        <x:v>SPXBIHAHCCAKBB-KNQAVFIVSA-N</x:v>
      </x:c>
      <x:c r="V31" s="14" t="str">
        <x:v>Cn1c(SCCCN2CCC3(CC3c3ccc(C(F)(F)F)cc3)C2)nnc1-c1ccsc1</x:v>
      </x:c>
      <x:c r="W31" s="14" t="str">
        <x:v>a336df216fd140810fe569d838fe0d18d2c2eb0376748da1fd75ac2718c59b64</x:v>
      </x:c>
      <x:c r="X31" s="14" t="str">
        <x:v>c1ccc(C2CC23CCN(CCCSc2nnc(-c4ccsc4)[nH]2)C3)cc1</x:v>
      </x:c>
      <x:c r="Y31" s="14" t="str">
        <x:v>false</x:v>
      </x:c>
      <x:c r="Z31" s="17" t="n">
        <x:v>1</x:v>
      </x:c>
      <x:c r="AA31" s="14" t="str">
        <x:v>include</x:v>
      </x:c>
      <x:c r="AB31" s="14" t="str"/>
      <x:c r="AC31" s="14" t="str">
        <x:v>pKi</x:v>
      </x:c>
      <x:c r="AD31" s="14" t="str">
        <x:v>6.48</x:v>
      </x:c>
      <x:c r="AE31" s="14" t="str">
        <x:v>null</x:v>
      </x:c>
      <x:c r="AF31" s="14" t="str">
        <x:v>=</x:v>
      </x:c>
      <x:c r="AG31" s="14" t="str">
        <x:v>Ki</x:v>
      </x:c>
      <x:c r="AH31" s="15" t="n">
        <x:v>331.13</x:v>
      </x:c>
      <x:c r="AI31" s="14" t="str">
        <x:v>nM</x:v>
      </x:c>
      <x:c r="AJ31" s="14" t="str">
        <x:v>=</x:v>
      </x:c>
      <x:c r="AK31" s="15" t="n">
        <x:v>6.48</x:v>
      </x:c>
      <x:c r="AL31" s="17" t="n">
        <x:v>0</x:v>
      </x:c>
      <x:c r="AM31" s="14" t="str">
        <x:v>null</x:v>
      </x:c>
      <x:c r="AN31" s="14" t="str">
        <x:v>null</x:v>
      </x:c>
      <x:c r="AO31" s="14" t="str">
        <x:v>https://www.ebi.ac.uk/chembl/api/data/activity/16670263.json</x:v>
      </x:c>
    </x:row>
    <x:row r="32" ht="36" customHeight="1">
      <x:c r="A32" s="9" t="str">
        <x:v>WPKZTODVTLZQPZ-GCJKJVERSA-N</x:v>
      </x:c>
      <x:c r="B32" s="9" t="str">
        <x:v>CHEMBL3967806</x:v>
      </x:c>
      <x:c r="C32" s="9" t="str">
        <x:v>CHEMBL3967806</x:v>
      </x:c>
      <x:c r="D32" s="9" t="str">
        <x:v>16670264</x:v>
      </x:c>
      <x:c r="E32" s="9" t="str">
        <x:v>16670264</x:v>
      </x:c>
      <x:c r="F32" s="9" t="str">
        <x:v>CHEMBL3855278</x:v>
      </x:c>
      <x:c r="G32" s="9" t="str">
        <x:v>CHEMBL217</x:v>
      </x:c>
      <x:c r="H32" s="9" t="str">
        <x:v>CHEMBL3853329</x:v>
      </x:c>
      <x:c r="I32" s="9" t="str">
        <x:v>Cn1c(SCCCN2CC[C@]3(C[C@@H]3c3ccc(C(F)(F)F)cc3)C2)nnc1-c1ccco1</x:v>
      </x:c>
      <x:c r="J32" s="9" t="str">
        <x:v>Cn1c(SCCCN2CC[C@]3(C[C@@H]3c3ccc(C(F)(F)F)cc3)C2)nnc1-c1ccco1</x:v>
      </x:c>
      <x:c r="K32" s="9" t="str">
        <x:v>source_reported_pKi</x:v>
      </x:c>
      <x:c r="L32" s="11" t="n">
        <x:v>6.32</x:v>
      </x:c>
      <x:c r="M32" s="11" t="n">
        <x:v>478.630092322638</x:v>
      </x:c>
      <x:c r="N32" s="11" t="n">
        <x:v>478.63</x:v>
      </x:c>
      <x:c r="O32" s="11" t="n">
        <x:v>6.32000008377078</x:v>
      </x:c>
      <x:c r="P32" s="12" t="n">
        <x:v>8.377077964638602e-8</x:v>
      </x:c>
      <x:c r="Q32" s="12" t="n">
        <x:v>-0.00009232263801095542</x:v>
      </x:c>
      <x:c r="R32" s="11" t="n">
        <x:v>0.00501</x:v>
      </x:c>
      <x:c r="S32" s="9" t="str">
        <x:v>Cn1c(SCCCN2CC[C@]3(C[C@@H]3c3ccc(C(F)(F)F)cc3)C2)nnc1-c1ccco1</x:v>
      </x:c>
      <x:c r="T32" s="9" t="str">
        <x:v>Cn1c(SCCCN2CC[C@]3(C[C@@H]3c3ccc(C(F)(F)F)cc3)C2)nnc1-c1ccco1</x:v>
      </x:c>
      <x:c r="U32" s="9" t="str">
        <x:v>WPKZTODVTLZQPZ-GCJKJVERSA-N</x:v>
      </x:c>
      <x:c r="V32" s="9" t="str">
        <x:v>Cn1c(SCCCN2CCC3(CC3c3ccc(C(F)(F)F)cc3)C2)nnc1-c1ccco1</x:v>
      </x:c>
      <x:c r="W32" s="9" t="str">
        <x:v>38cc9e86830164cf92368e2dc2601f44e58fbdce170d844e9d909fee90e95e68</x:v>
      </x:c>
      <x:c r="X32" s="9" t="str">
        <x:v>c1ccc(C2CC23CCN(CCCSc2nnc(-c4ccco4)[nH]2)C3)cc1</x:v>
      </x:c>
      <x:c r="Y32" s="9" t="str">
        <x:v>false</x:v>
      </x:c>
      <x:c r="Z32" s="13" t="n">
        <x:v>1</x:v>
      </x:c>
      <x:c r="AA32" s="9" t="str">
        <x:v>include</x:v>
      </x:c>
      <x:c r="AB32" s="9" t="str"/>
      <x:c r="AC32" s="9" t="str">
        <x:v>pKi</x:v>
      </x:c>
      <x:c r="AD32" s="9" t="str">
        <x:v>6.32</x:v>
      </x:c>
      <x:c r="AE32" s="9" t="str">
        <x:v>null</x:v>
      </x:c>
      <x:c r="AF32" s="9" t="str">
        <x:v>=</x:v>
      </x:c>
      <x:c r="AG32" s="9" t="str">
        <x:v>Ki</x:v>
      </x:c>
      <x:c r="AH32" s="11" t="n">
        <x:v>478.63</x:v>
      </x:c>
      <x:c r="AI32" s="9" t="str">
        <x:v>nM</x:v>
      </x:c>
      <x:c r="AJ32" s="9" t="str">
        <x:v>=</x:v>
      </x:c>
      <x:c r="AK32" s="11" t="n">
        <x:v>6.32</x:v>
      </x:c>
      <x:c r="AL32" s="13" t="n">
        <x:v>0</x:v>
      </x:c>
      <x:c r="AM32" s="9" t="str">
        <x:v>null</x:v>
      </x:c>
      <x:c r="AN32" s="9" t="str">
        <x:v>null</x:v>
      </x:c>
      <x:c r="AO32" s="9" t="str">
        <x:v>https://www.ebi.ac.uk/chembl/api/data/activity/16670264.json</x:v>
      </x:c>
    </x:row>
    <x:row r="33" ht="36" customHeight="1">
      <x:c r="A33" s="14" t="str">
        <x:v>VKQSAQSCKUZTCV-KNQAVFIVSA-N</x:v>
      </x:c>
      <x:c r="B33" s="14" t="str">
        <x:v>CHEMBL3985419</x:v>
      </x:c>
      <x:c r="C33" s="14" t="str">
        <x:v>CHEMBL3985419</x:v>
      </x:c>
      <x:c r="D33" s="14" t="str">
        <x:v>16670265</x:v>
      </x:c>
      <x:c r="E33" s="14" t="str">
        <x:v>16670265</x:v>
      </x:c>
      <x:c r="F33" s="14" t="str">
        <x:v>CHEMBL3855278</x:v>
      </x:c>
      <x:c r="G33" s="14" t="str">
        <x:v>CHEMBL217</x:v>
      </x:c>
      <x:c r="H33" s="14" t="str">
        <x:v>CHEMBL3853329</x:v>
      </x:c>
      <x:c r="I33" s="14" t="str">
        <x:v>Cn1c(SCCCN2CC[C@]3(C[C@@H]3c3ccc(C(F)(F)F)cc3)C2)nnc1-c1ccoc1</x:v>
      </x:c>
      <x:c r="J33" s="14" t="str">
        <x:v>Cn1c(SCCCN2CC[C@]3(C[C@@H]3c3ccc(C(F)(F)F)cc3)C2)nnc1-c1ccoc1</x:v>
      </x:c>
      <x:c r="K33" s="14" t="str">
        <x:v>source_reported_pKi</x:v>
      </x:c>
      <x:c r="L33" s="15" t="n">
        <x:v>6.3</x:v>
      </x:c>
      <x:c r="M33" s="15" t="n">
        <x:v>501.18723362727246</x:v>
      </x:c>
      <x:c r="N33" s="15" t="n">
        <x:v>501.19</x:v>
      </x:c>
      <x:c r="O33" s="15" t="n">
        <x:v>6.299997602857746</x:v>
      </x:c>
      <x:c r="P33" s="16" t="n">
        <x:v>-0.000002397142253585116</x:v>
      </x:c>
      <x:c r="Q33" s="16" t="n">
        <x:v>0.0027663727275353267</x:v>
      </x:c>
      <x:c r="R33" s="15" t="n">
        <x:v>0.00501</x:v>
      </x:c>
      <x:c r="S33" s="14" t="str">
        <x:v>Cn1c(SCCCN2CC[C@]3(C[C@@H]3c3ccc(C(F)(F)F)cc3)C2)nnc1-c1ccoc1</x:v>
      </x:c>
      <x:c r="T33" s="14" t="str">
        <x:v>Cn1c(SCCCN2CC[C@]3(C[C@@H]3c3ccc(C(F)(F)F)cc3)C2)nnc1-c1ccoc1</x:v>
      </x:c>
      <x:c r="U33" s="14" t="str">
        <x:v>VKQSAQSCKUZTCV-KNQAVFIVSA-N</x:v>
      </x:c>
      <x:c r="V33" s="14" t="str">
        <x:v>Cn1c(SCCCN2CCC3(CC3c3ccc(C(F)(F)F)cc3)C2)nnc1-c1ccoc1</x:v>
      </x:c>
      <x:c r="W33" s="14" t="str">
        <x:v>b589c072b35e32539259416a3d4258e40c6a8fe3479defa400007c42cda8e53f</x:v>
      </x:c>
      <x:c r="X33" s="14" t="str">
        <x:v>c1ccc(C2CC23CCN(CCCSc2nnc(-c4ccoc4)[nH]2)C3)cc1</x:v>
      </x:c>
      <x:c r="Y33" s="14" t="str">
        <x:v>false</x:v>
      </x:c>
      <x:c r="Z33" s="17" t="n">
        <x:v>1</x:v>
      </x:c>
      <x:c r="AA33" s="14" t="str">
        <x:v>include</x:v>
      </x:c>
      <x:c r="AB33" s="14" t="str"/>
      <x:c r="AC33" s="14" t="str">
        <x:v>pKi</x:v>
      </x:c>
      <x:c r="AD33" s="14" t="str">
        <x:v>6.3</x:v>
      </x:c>
      <x:c r="AE33" s="14" t="str">
        <x:v>null</x:v>
      </x:c>
      <x:c r="AF33" s="14" t="str">
        <x:v>=</x:v>
      </x:c>
      <x:c r="AG33" s="14" t="str">
        <x:v>Ki</x:v>
      </x:c>
      <x:c r="AH33" s="15" t="n">
        <x:v>501.19</x:v>
      </x:c>
      <x:c r="AI33" s="14" t="str">
        <x:v>nM</x:v>
      </x:c>
      <x:c r="AJ33" s="14" t="str">
        <x:v>=</x:v>
      </x:c>
      <x:c r="AK33" s="15" t="n">
        <x:v>6.3</x:v>
      </x:c>
      <x:c r="AL33" s="17" t="n">
        <x:v>0</x:v>
      </x:c>
      <x:c r="AM33" s="14" t="str">
        <x:v>null</x:v>
      </x:c>
      <x:c r="AN33" s="14" t="str">
        <x:v>null</x:v>
      </x:c>
      <x:c r="AO33" s="14" t="str">
        <x:v>https://www.ebi.ac.uk/chembl/api/data/activity/16670265.json</x:v>
      </x:c>
    </x:row>
    <x:row r="34" ht="36" customHeight="1">
      <x:c r="A34" s="9" t="str">
        <x:v>KIDLIVLNXRZSJP-KNQAVFIVSA-N</x:v>
      </x:c>
      <x:c r="B34" s="9" t="str">
        <x:v>CHEMBL3956758</x:v>
      </x:c>
      <x:c r="C34" s="9" t="str">
        <x:v>CHEMBL3956758</x:v>
      </x:c>
      <x:c r="D34" s="9" t="str">
        <x:v>16670266</x:v>
      </x:c>
      <x:c r="E34" s="9" t="str">
        <x:v>16670266</x:v>
      </x:c>
      <x:c r="F34" s="9" t="str">
        <x:v>CHEMBL3855278</x:v>
      </x:c>
      <x:c r="G34" s="9" t="str">
        <x:v>CHEMBL217</x:v>
      </x:c>
      <x:c r="H34" s="9" t="str">
        <x:v>CHEMBL3853329</x:v>
      </x:c>
      <x:c r="I34" s="9" t="str">
        <x:v>Cn1cc(-c2nnc(SCCCN3CC[C@]4(C[C@@H]4c4ccc(C(F)(F)F)cc4)C3)n2C)cn1</x:v>
      </x:c>
      <x:c r="J34" s="9" t="str">
        <x:v>Cn1cc(-c2nnc(SCCCN3CC[C@]4(C[C@@H]4c4ccc(C(F)(F)F)cc4)C3)n2C)cn1</x:v>
      </x:c>
      <x:c r="K34" s="9" t="str">
        <x:v>source_reported_pKi</x:v>
      </x:c>
      <x:c r="L34" s="11" t="n">
        <x:v>6.27</x:v>
      </x:c>
      <x:c r="M34" s="11" t="n">
        <x:v>537.0317963702532</x:v>
      </x:c>
      <x:c r="N34" s="11" t="n">
        <x:v>537.03</x:v>
      </x:c>
      <x:c r="O34" s="11" t="n">
        <x:v>6.270001452716578</x:v>
      </x:c>
      <x:c r="P34" s="12" t="n">
        <x:v>0.000001452716578143054</x:v>
      </x:c>
      <x:c r="Q34" s="12" t="n">
        <x:v>-0.001796370253259738</x:v>
      </x:c>
      <x:c r="R34" s="11" t="n">
        <x:v>0.00501</x:v>
      </x:c>
      <x:c r="S34" s="9" t="str">
        <x:v>Cn1cc(-c2nnc(SCCCN3CC[C@]4(C[C@@H]4c4ccc(C(F)(F)F)cc4)C3)n2C)cn1</x:v>
      </x:c>
      <x:c r="T34" s="9" t="str">
        <x:v>Cn1cc(-c2nnc(SCCCN3CC[C@]4(C[C@@H]4c4ccc(C(F)(F)F)cc4)C3)n2C)cn1</x:v>
      </x:c>
      <x:c r="U34" s="9" t="str">
        <x:v>KIDLIVLNXRZSJP-KNQAVFIVSA-N</x:v>
      </x:c>
      <x:c r="V34" s="9" t="str">
        <x:v>Cn1cc(-c2nnc(SCCCN3CCC4(CC4c4ccc(C(F)(F)F)cc4)C3)n2C)cn1</x:v>
      </x:c>
      <x:c r="W34" s="9" t="str">
        <x:v>ef906f7fe0f06b2ed46d3d85e5599857e4f34a84d9243aef1d108475e7deb80f</x:v>
      </x:c>
      <x:c r="X34" s="9" t="str">
        <x:v>c1ccc(C2CC23CCN(CCCSc2nnc(-c4cn[nH]c4)[nH]2)C3)cc1</x:v>
      </x:c>
      <x:c r="Y34" s="9" t="str">
        <x:v>false</x:v>
      </x:c>
      <x:c r="Z34" s="13" t="n">
        <x:v>1</x:v>
      </x:c>
      <x:c r="AA34" s="9" t="str">
        <x:v>include</x:v>
      </x:c>
      <x:c r="AB34" s="9" t="str"/>
      <x:c r="AC34" s="9" t="str">
        <x:v>pKi</x:v>
      </x:c>
      <x:c r="AD34" s="9" t="str">
        <x:v>6.27</x:v>
      </x:c>
      <x:c r="AE34" s="9" t="str">
        <x:v>null</x:v>
      </x:c>
      <x:c r="AF34" s="9" t="str">
        <x:v>=</x:v>
      </x:c>
      <x:c r="AG34" s="9" t="str">
        <x:v>Ki</x:v>
      </x:c>
      <x:c r="AH34" s="11" t="n">
        <x:v>537.03</x:v>
      </x:c>
      <x:c r="AI34" s="9" t="str">
        <x:v>nM</x:v>
      </x:c>
      <x:c r="AJ34" s="9" t="str">
        <x:v>=</x:v>
      </x:c>
      <x:c r="AK34" s="11" t="n">
        <x:v>6.27</x:v>
      </x:c>
      <x:c r="AL34" s="13" t="n">
        <x:v>0</x:v>
      </x:c>
      <x:c r="AM34" s="9" t="str">
        <x:v>null</x:v>
      </x:c>
      <x:c r="AN34" s="9" t="str">
        <x:v>null</x:v>
      </x:c>
      <x:c r="AO34" s="9" t="str">
        <x:v>https://www.ebi.ac.uk/chembl/api/data/activity/16670266.json</x:v>
      </x:c>
    </x:row>
    <x:row r="35" ht="36" customHeight="1">
      <x:c r="A35" s="14" t="str">
        <x:v>BADZIIJBCNPURN-GCJKJVERSA-N</x:v>
      </x:c>
      <x:c r="B35" s="14" t="str">
        <x:v>CHEMBL3908174</x:v>
      </x:c>
      <x:c r="C35" s="14" t="str">
        <x:v>CHEMBL3908174</x:v>
      </x:c>
      <x:c r="D35" s="14" t="str">
        <x:v>16670267</x:v>
      </x:c>
      <x:c r="E35" s="14" t="str">
        <x:v>16670267</x:v>
      </x:c>
      <x:c r="F35" s="14" t="str">
        <x:v>CHEMBL3855278</x:v>
      </x:c>
      <x:c r="G35" s="14" t="str">
        <x:v>CHEMBL217</x:v>
      </x:c>
      <x:c r="H35" s="14" t="str">
        <x:v>CHEMBL3853329</x:v>
      </x:c>
      <x:c r="I35" s="14" t="str">
        <x:v>Cn1nccc1-c1nnc(SCCCN2CC[C@]3(C[C@@H]3c3ccc(C(F)(F)F)cc3)C2)n1C</x:v>
      </x:c>
      <x:c r="J35" s="14" t="str">
        <x:v>Cn1nccc1-c1nnc(SCCCN2CC[C@]3(C[C@@H]3c3ccc(C(F)(F)F)cc3)C2)n1C</x:v>
      </x:c>
      <x:c r="K35" s="14" t="str">
        <x:v>source_reported_pKi</x:v>
      </x:c>
      <x:c r="L35" s="15" t="n">
        <x:v>6.07</x:v>
      </x:c>
      <x:c r="M35" s="15" t="n">
        <x:v>851.1380382023759</x:v>
      </x:c>
      <x:c r="N35" s="15" t="n">
        <x:v>851.14</x:v>
      </x:c>
      <x:c r="O35" s="15" t="n">
        <x:v>6.069998998990925</x:v>
      </x:c>
      <x:c r="P35" s="16" t="n">
        <x:v>-0.0000010010090756296108</x:v>
      </x:c>
      <x:c r="Q35" s="16" t="n">
        <x:v>0.0019617976240624557</x:v>
      </x:c>
      <x:c r="R35" s="15" t="n">
        <x:v>0.00501</x:v>
      </x:c>
      <x:c r="S35" s="14" t="str">
        <x:v>Cn1nccc1-c1nnc(SCCCN2CC[C@]3(C[C@@H]3c3ccc(C(F)(F)F)cc3)C2)n1C</x:v>
      </x:c>
      <x:c r="T35" s="14" t="str">
        <x:v>Cn1nccc1-c1nnc(SCCCN2CC[C@]3(C[C@@H]3c3ccc(C(F)(F)F)cc3)C2)n1C</x:v>
      </x:c>
      <x:c r="U35" s="14" t="str">
        <x:v>BADZIIJBCNPURN-GCJKJVERSA-N</x:v>
      </x:c>
      <x:c r="V35" s="14" t="str">
        <x:v>Cn1nccc1-c1nnc(SCCCN2CCC3(CC3c3ccc(C(F)(F)F)cc3)C2)n1C</x:v>
      </x:c>
      <x:c r="W35" s="14" t="str">
        <x:v>fd6095840b2b7cf376b0a0d8b10a2e6aba9a0a862519a0a76b7005c5aed7f5e7</x:v>
      </x:c>
      <x:c r="X35" s="14" t="str">
        <x:v>c1ccc(C2CC23CCN(CCCSc2nnc(-c4ccn[nH]4)[nH]2)C3)cc1</x:v>
      </x:c>
      <x:c r="Y35" s="14" t="str">
        <x:v>false</x:v>
      </x:c>
      <x:c r="Z35" s="17" t="n">
        <x:v>1</x:v>
      </x:c>
      <x:c r="AA35" s="14" t="str">
        <x:v>include</x:v>
      </x:c>
      <x:c r="AB35" s="14" t="str"/>
      <x:c r="AC35" s="14" t="str">
        <x:v>pKi</x:v>
      </x:c>
      <x:c r="AD35" s="14" t="str">
        <x:v>6.07</x:v>
      </x:c>
      <x:c r="AE35" s="14" t="str">
        <x:v>null</x:v>
      </x:c>
      <x:c r="AF35" s="14" t="str">
        <x:v>=</x:v>
      </x:c>
      <x:c r="AG35" s="14" t="str">
        <x:v>Ki</x:v>
      </x:c>
      <x:c r="AH35" s="15" t="n">
        <x:v>851.14</x:v>
      </x:c>
      <x:c r="AI35" s="14" t="str">
        <x:v>nM</x:v>
      </x:c>
      <x:c r="AJ35" s="14" t="str">
        <x:v>=</x:v>
      </x:c>
      <x:c r="AK35" s="15" t="n">
        <x:v>6.07</x:v>
      </x:c>
      <x:c r="AL35" s="17" t="n">
        <x:v>0</x:v>
      </x:c>
      <x:c r="AM35" s="14" t="str">
        <x:v>null</x:v>
      </x:c>
      <x:c r="AN35" s="14" t="str">
        <x:v>null</x:v>
      </x:c>
      <x:c r="AO35" s="14" t="str">
        <x:v>https://www.ebi.ac.uk/chembl/api/data/activity/16670267.json</x:v>
      </x:c>
    </x:row>
    <x:row r="36" ht="36" customHeight="1">
      <x:c r="A36" s="9" t="str">
        <x:v>TXEGIIUTZDNUKA-GCJKJVERSA-N</x:v>
      </x:c>
      <x:c r="B36" s="9" t="str">
        <x:v>CHEMBL3978613</x:v>
      </x:c>
      <x:c r="C36" s="9" t="str">
        <x:v>CHEMBL3978613</x:v>
      </x:c>
      <x:c r="D36" s="9" t="str">
        <x:v>16670268</x:v>
      </x:c>
      <x:c r="E36" s="9" t="str">
        <x:v>16670268</x:v>
      </x:c>
      <x:c r="F36" s="9" t="str">
        <x:v>CHEMBL3855278</x:v>
      </x:c>
      <x:c r="G36" s="9" t="str">
        <x:v>CHEMBL217</x:v>
      </x:c>
      <x:c r="H36" s="9" t="str">
        <x:v>CHEMBL3853329</x:v>
      </x:c>
      <x:c r="I36" s="9" t="str">
        <x:v>Cc1cc(-c2nnc(SCCCN3CC[C@]4(C[C@@H]4c4ccc(C(F)(F)F)cc4)C3)n2C)on1</x:v>
      </x:c>
      <x:c r="J36" s="9" t="str">
        <x:v>Cc1cc(-c2nnc(SCCCN3CC[C@]4(C[C@@H]4c4ccc(C(F)(F)F)cc4)C3)n2C)on1</x:v>
      </x:c>
      <x:c r="K36" s="9" t="str">
        <x:v>source_reported_pKi</x:v>
      </x:c>
      <x:c r="L36" s="11" t="n">
        <x:v>6.28</x:v>
      </x:c>
      <x:c r="M36" s="11" t="n">
        <x:v>524.8074602497722</x:v>
      </x:c>
      <x:c r="N36" s="11" t="n">
        <x:v>524.81</x:v>
      </x:c>
      <x:c r="O36" s="11" t="n">
        <x:v>6.279997898282849</x:v>
      </x:c>
      <x:c r="P36" s="12" t="n">
        <x:v>-0.0000021017171514259303</x:v>
      </x:c>
      <x:c r="Q36" s="12" t="n">
        <x:v>0.0025397502276973682</x:v>
      </x:c>
      <x:c r="R36" s="11" t="n">
        <x:v>0.00501</x:v>
      </x:c>
      <x:c r="S36" s="9" t="str">
        <x:v>Cc1cc(-c2nnc(SCCCN3CC[C@]4(C[C@@H]4c4ccc(C(F)(F)F)cc4)C3)n2C)on1</x:v>
      </x:c>
      <x:c r="T36" s="9" t="str">
        <x:v>Cc1cc(-c2nnc(SCCCN3CC[C@]4(C[C@@H]4c4ccc(C(F)(F)F)cc4)C3)n2C)on1</x:v>
      </x:c>
      <x:c r="U36" s="9" t="str">
        <x:v>TXEGIIUTZDNUKA-GCJKJVERSA-N</x:v>
      </x:c>
      <x:c r="V36" s="9" t="str">
        <x:v>Cc1cc(-c2nnc(SCCCN3CCC4(CC4c4ccc(C(F)(F)F)cc4)C3)n2C)on1</x:v>
      </x:c>
      <x:c r="W36" s="9" t="str">
        <x:v>5f14a541ce08ba6b745449e8d8616c2a694232f6494a1298bfc2d58a9ddb0526</x:v>
      </x:c>
      <x:c r="X36" s="9" t="str">
        <x:v>c1ccc(C2CC23CCN(CCCSc2nnc(-c4ccno4)[nH]2)C3)cc1</x:v>
      </x:c>
      <x:c r="Y36" s="9" t="str">
        <x:v>false</x:v>
      </x:c>
      <x:c r="Z36" s="13" t="n">
        <x:v>1</x:v>
      </x:c>
      <x:c r="AA36" s="9" t="str">
        <x:v>include</x:v>
      </x:c>
      <x:c r="AB36" s="9" t="str"/>
      <x:c r="AC36" s="9" t="str">
        <x:v>pKi</x:v>
      </x:c>
      <x:c r="AD36" s="9" t="str">
        <x:v>6.28</x:v>
      </x:c>
      <x:c r="AE36" s="9" t="str">
        <x:v>null</x:v>
      </x:c>
      <x:c r="AF36" s="9" t="str">
        <x:v>=</x:v>
      </x:c>
      <x:c r="AG36" s="9" t="str">
        <x:v>Ki</x:v>
      </x:c>
      <x:c r="AH36" s="11" t="n">
        <x:v>524.81</x:v>
      </x:c>
      <x:c r="AI36" s="9" t="str">
        <x:v>nM</x:v>
      </x:c>
      <x:c r="AJ36" s="9" t="str">
        <x:v>=</x:v>
      </x:c>
      <x:c r="AK36" s="11" t="n">
        <x:v>6.28</x:v>
      </x:c>
      <x:c r="AL36" s="13" t="n">
        <x:v>0</x:v>
      </x:c>
      <x:c r="AM36" s="9" t="str">
        <x:v>null</x:v>
      </x:c>
      <x:c r="AN36" s="9" t="str">
        <x:v>null</x:v>
      </x:c>
      <x:c r="AO36" s="9" t="str">
        <x:v>https://www.ebi.ac.uk/chembl/api/data/activity/16670268.json</x:v>
      </x:c>
    </x:row>
    <x:row r="37" ht="36" customHeight="1">
      <x:c r="A37" s="14" t="str">
        <x:v>DGRHJZMAQQIHDX-BWKNWUBXSA-N</x:v>
      </x:c>
      <x:c r="B37" s="14" t="str">
        <x:v>CHEMBL3899125</x:v>
      </x:c>
      <x:c r="C37" s="14" t="str">
        <x:v>CHEMBL3899125</x:v>
      </x:c>
      <x:c r="D37" s="14" t="str">
        <x:v>16670299</x:v>
      </x:c>
      <x:c r="E37" s="14" t="str">
        <x:v>16670299</x:v>
      </x:c>
      <x:c r="F37" s="14" t="str">
        <x:v>CHEMBL3855278</x:v>
      </x:c>
      <x:c r="G37" s="14" t="str">
        <x:v>CHEMBL217</x:v>
      </x:c>
      <x:c r="H37" s="14" t="str">
        <x:v>CHEMBL3853329</x:v>
      </x:c>
      <x:c r="I37" s="14" t="str">
        <x:v>Cn1c(SCCCN2CC[C@]3(C[C@@H]3c3ccc(C(F)(F)F)cc3)C2)nnc1-c1ccc(C(N)=O)cc1</x:v>
      </x:c>
      <x:c r="J37" s="14" t="str">
        <x:v>Cn1c(SCCCN2CC[C@]3(C[C@@H]3c3ccc(C(F)(F)F)cc3)C2)nnc1-c1ccc(C(N)=O)cc1</x:v>
      </x:c>
      <x:c r="K37" s="14" t="str">
        <x:v>source_reported_pKi</x:v>
      </x:c>
      <x:c r="L37" s="15" t="n">
        <x:v>6.45</x:v>
      </x:c>
      <x:c r="M37" s="15" t="n">
        <x:v>354.8133892335753</x:v>
      </x:c>
      <x:c r="N37" s="15" t="n">
        <x:v>354.81</x:v>
      </x:c>
      <x:c r="O37" s="15" t="n">
        <x:v>6.450004148469349</x:v>
      </x:c>
      <x:c r="P37" s="16" t="n">
        <x:v>0.000004148469348486117</x:v>
      </x:c>
      <x:c r="Q37" s="16" t="n">
        <x:v>-0.0033892335753193947</x:v>
      </x:c>
      <x:c r="R37" s="15" t="n">
        <x:v>0.00501</x:v>
      </x:c>
      <x:c r="S37" s="14" t="str">
        <x:v>Cn1c(SCCCN2CC[C@]3(C[C@@H]3c3ccc(C(F)(F)F)cc3)C2)nnc1-c1ccc(C(N)=O)cc1</x:v>
      </x:c>
      <x:c r="T37" s="14" t="str">
        <x:v>Cn1c(SCCCN2CC[C@]3(C[C@@H]3c3ccc(C(F)(F)F)cc3)C2)nnc1-c1ccc(C(N)=O)cc1</x:v>
      </x:c>
      <x:c r="U37" s="14" t="str">
        <x:v>DGRHJZMAQQIHDX-BWKNWUBXSA-N</x:v>
      </x:c>
      <x:c r="V37" s="14" t="str">
        <x:v>Cn1c(SCCCN2CCC3(CC3c3ccc(C(F)(F)F)cc3)C2)nnc1-c1ccc(C(N)=O)cc1</x:v>
      </x:c>
      <x:c r="W37" s="14" t="str">
        <x:v>0635ef682e930ef699a39956879b226f7593a360c4a32b6808aaca97ff220a17</x:v>
      </x:c>
      <x:c r="X37" s="14" t="str">
        <x:v>c1ccc(-c2nnc(SCCCN3CCC4(CC4c4ccccc4)C3)[nH]2)cc1</x:v>
      </x:c>
      <x:c r="Y37" s="14" t="str">
        <x:v>false</x:v>
      </x:c>
      <x:c r="Z37" s="17" t="n">
        <x:v>1</x:v>
      </x:c>
      <x:c r="AA37" s="14" t="str">
        <x:v>include</x:v>
      </x:c>
      <x:c r="AB37" s="14" t="str"/>
      <x:c r="AC37" s="14" t="str">
        <x:v>pKi</x:v>
      </x:c>
      <x:c r="AD37" s="14" t="str">
        <x:v>6.45</x:v>
      </x:c>
      <x:c r="AE37" s="14" t="str">
        <x:v>null</x:v>
      </x:c>
      <x:c r="AF37" s="14" t="str">
        <x:v>=</x:v>
      </x:c>
      <x:c r="AG37" s="14" t="str">
        <x:v>Ki</x:v>
      </x:c>
      <x:c r="AH37" s="15" t="n">
        <x:v>354.81</x:v>
      </x:c>
      <x:c r="AI37" s="14" t="str">
        <x:v>nM</x:v>
      </x:c>
      <x:c r="AJ37" s="14" t="str">
        <x:v>=</x:v>
      </x:c>
      <x:c r="AK37" s="15" t="n">
        <x:v>6.45</x:v>
      </x:c>
      <x:c r="AL37" s="17" t="n">
        <x:v>0</x:v>
      </x:c>
      <x:c r="AM37" s="14" t="str">
        <x:v>null</x:v>
      </x:c>
      <x:c r="AN37" s="14" t="str">
        <x:v>null</x:v>
      </x:c>
      <x:c r="AO37" s="14" t="str">
        <x:v>https://www.ebi.ac.uk/chembl/api/data/activity/16670299.json</x:v>
      </x:c>
    </x:row>
    <x:row r="38" ht="36" customHeight="1">
      <x:c r="A38" s="9" t="str">
        <x:v>XUTJSHVGYIHURB-BWKNWUBXSA-N</x:v>
      </x:c>
      <x:c r="B38" s="9" t="str">
        <x:v>CHEMBL3970323</x:v>
      </x:c>
      <x:c r="C38" s="9" t="str">
        <x:v>CHEMBL3970323</x:v>
      </x:c>
      <x:c r="D38" s="9" t="str">
        <x:v>16670300</x:v>
      </x:c>
      <x:c r="E38" s="9" t="str">
        <x:v>16670300</x:v>
      </x:c>
      <x:c r="F38" s="9" t="str">
        <x:v>CHEMBL3855278</x:v>
      </x:c>
      <x:c r="G38" s="9" t="str">
        <x:v>CHEMBL217</x:v>
      </x:c>
      <x:c r="H38" s="9" t="str">
        <x:v>CHEMBL3853329</x:v>
      </x:c>
      <x:c r="I38" s="9" t="str">
        <x:v>Cn1c(SCCCN2CC[C@]3(C[C@@H]3c3ccc(C(F)(F)F)cc3)C2)nnc1-c1cccc(C(N)=O)c1</x:v>
      </x:c>
      <x:c r="J38" s="9" t="str">
        <x:v>Cn1c(SCCCN2CC[C@]3(C[C@@H]3c3ccc(C(F)(F)F)cc3)C2)nnc1-c1cccc(C(N)=O)c1</x:v>
      </x:c>
      <x:c r="K38" s="9" t="str">
        <x:v>source_reported_pKi</x:v>
      </x:c>
      <x:c r="L38" s="11" t="n">
        <x:v>6.2</x:v>
      </x:c>
      <x:c r="M38" s="11" t="n">
        <x:v>630.957344480193</x:v>
      </x:c>
      <x:c r="N38" s="11" t="n">
        <x:v>630.96</x:v>
      </x:c>
      <x:c r="O38" s="11" t="n">
        <x:v>6.199998172182031</x:v>
      </x:c>
      <x:c r="P38" s="12" t="n">
        <x:v>-0.0000018278179689801277</x:v>
      </x:c>
      <x:c r="Q38" s="12" t="n">
        <x:v>0.002655519807035489</x:v>
      </x:c>
      <x:c r="R38" s="11" t="n">
        <x:v>0.00501</x:v>
      </x:c>
      <x:c r="S38" s="9" t="str">
        <x:v>Cn1c(SCCCN2CC[C@]3(C[C@@H]3c3ccc(C(F)(F)F)cc3)C2)nnc1-c1cccc(C(N)=O)c1</x:v>
      </x:c>
      <x:c r="T38" s="9" t="str">
        <x:v>Cn1c(SCCCN2CC[C@]3(C[C@@H]3c3ccc(C(F)(F)F)cc3)C2)nnc1-c1cccc(C(N)=O)c1</x:v>
      </x:c>
      <x:c r="U38" s="9" t="str">
        <x:v>XUTJSHVGYIHURB-BWKNWUBXSA-N</x:v>
      </x:c>
      <x:c r="V38" s="9" t="str">
        <x:v>Cn1c(SCCCN2CCC3(CC3c3ccc(C(F)(F)F)cc3)C2)nnc1-c1cccc(C(N)=O)c1</x:v>
      </x:c>
      <x:c r="W38" s="9" t="str">
        <x:v>78994a25e5beb7a4cc27ba58dc555a71f898cf81e548d21edd8c2f1a6b93ca62</x:v>
      </x:c>
      <x:c r="X38" s="9" t="str">
        <x:v>c1ccc(-c2nnc(SCCCN3CCC4(CC4c4ccccc4)C3)[nH]2)cc1</x:v>
      </x:c>
      <x:c r="Y38" s="9" t="str">
        <x:v>false</x:v>
      </x:c>
      <x:c r="Z38" s="13" t="n">
        <x:v>1</x:v>
      </x:c>
      <x:c r="AA38" s="9" t="str">
        <x:v>include</x:v>
      </x:c>
      <x:c r="AB38" s="9" t="str"/>
      <x:c r="AC38" s="9" t="str">
        <x:v>pKi</x:v>
      </x:c>
      <x:c r="AD38" s="9" t="str">
        <x:v>6.2</x:v>
      </x:c>
      <x:c r="AE38" s="9" t="str">
        <x:v>null</x:v>
      </x:c>
      <x:c r="AF38" s="9" t="str">
        <x:v>=</x:v>
      </x:c>
      <x:c r="AG38" s="9" t="str">
        <x:v>Ki</x:v>
      </x:c>
      <x:c r="AH38" s="11" t="n">
        <x:v>630.96</x:v>
      </x:c>
      <x:c r="AI38" s="9" t="str">
        <x:v>nM</x:v>
      </x:c>
      <x:c r="AJ38" s="9" t="str">
        <x:v>=</x:v>
      </x:c>
      <x:c r="AK38" s="11" t="n">
        <x:v>6.2</x:v>
      </x:c>
      <x:c r="AL38" s="13" t="n">
        <x:v>0</x:v>
      </x:c>
      <x:c r="AM38" s="9" t="str">
        <x:v>null</x:v>
      </x:c>
      <x:c r="AN38" s="9" t="str">
        <x:v>null</x:v>
      </x:c>
      <x:c r="AO38" s="9" t="str">
        <x:v>https://www.ebi.ac.uk/chembl/api/data/activity/16670300.json</x:v>
      </x:c>
    </x:row>
    <x:row r="39" ht="36" customHeight="1">
      <x:c r="A39" s="14" t="str">
        <x:v>PGNPMTAEFDKCKN-BWKNWUBXSA-N</x:v>
      </x:c>
      <x:c r="B39" s="14" t="str">
        <x:v>CHEMBL3890178</x:v>
      </x:c>
      <x:c r="C39" s="14" t="str">
        <x:v>CHEMBL3890178</x:v>
      </x:c>
      <x:c r="D39" s="14" t="str">
        <x:v>16670301</x:v>
      </x:c>
      <x:c r="E39" s="14" t="str">
        <x:v>16670301</x:v>
      </x:c>
      <x:c r="F39" s="14" t="str">
        <x:v>CHEMBL3855278</x:v>
      </x:c>
      <x:c r="G39" s="14" t="str">
        <x:v>CHEMBL217</x:v>
      </x:c>
      <x:c r="H39" s="14" t="str">
        <x:v>CHEMBL3853329</x:v>
      </x:c>
      <x:c r="I39" s="14" t="str">
        <x:v>Cn1c(SCCCN2CC[C@]3(C[C@@H]3c3ccc(C(F)(F)F)cc3)C2)nnc1-c1ccccc1C(N)=O</x:v>
      </x:c>
      <x:c r="J39" s="14" t="str">
        <x:v>Cn1c(SCCCN2CC[C@]3(C[C@@H]3c3ccc(C(F)(F)F)cc3)C2)nnc1-c1ccccc1C(N)=O</x:v>
      </x:c>
      <x:c r="K39" s="14" t="str">
        <x:v>source_reported_pKi</x:v>
      </x:c>
      <x:c r="L39" s="15" t="n">
        <x:v>7.4</x:v>
      </x:c>
      <x:c r="M39" s="15" t="n">
        <x:v>39.81071705534969</x:v>
      </x:c>
      <x:c r="N39" s="15" t="n">
        <x:v>39.81</x:v>
      </x:c>
      <x:c r="O39" s="15" t="n">
        <x:v>7.400007822415902</x:v>
      </x:c>
      <x:c r="P39" s="16" t="n">
        <x:v>0.000007822415901692636</x:v>
      </x:c>
      <x:c r="Q39" s="16" t="n">
        <x:v>-0.000717055349689133</x:v>
      </x:c>
      <x:c r="R39" s="15" t="n">
        <x:v>0.00501</x:v>
      </x:c>
      <x:c r="S39" s="14" t="str">
        <x:v>Cn1c(SCCCN2CC[C@]3(C[C@@H]3c3ccc(C(F)(F)F)cc3)C2)nnc1-c1ccccc1C(N)=O</x:v>
      </x:c>
      <x:c r="T39" s="14" t="str">
        <x:v>Cn1c(SCCCN2CC[C@]3(C[C@@H]3c3ccc(C(F)(F)F)cc3)C2)nnc1-c1ccccc1C(N)=O</x:v>
      </x:c>
      <x:c r="U39" s="14" t="str">
        <x:v>PGNPMTAEFDKCKN-BWKNWUBXSA-N</x:v>
      </x:c>
      <x:c r="V39" s="14" t="str">
        <x:v>Cn1c(SCCCN2CCC3(CC3c3ccc(C(F)(F)F)cc3)C2)nnc1-c1ccccc1C(N)=O</x:v>
      </x:c>
      <x:c r="W39" s="14" t="str">
        <x:v>6df6013354923bfff948bd55095e26cbd39551aa6c0b195764e3d2d157e3faea</x:v>
      </x:c>
      <x:c r="X39" s="14" t="str">
        <x:v>c1ccc(-c2nnc(SCCCN3CCC4(CC4c4ccccc4)C3)[nH]2)cc1</x:v>
      </x:c>
      <x:c r="Y39" s="14" t="str">
        <x:v>false</x:v>
      </x:c>
      <x:c r="Z39" s="17" t="n">
        <x:v>1</x:v>
      </x:c>
      <x:c r="AA39" s="14" t="str">
        <x:v>include</x:v>
      </x:c>
      <x:c r="AB39" s="14" t="str"/>
      <x:c r="AC39" s="14" t="str">
        <x:v>pKi</x:v>
      </x:c>
      <x:c r="AD39" s="14" t="str">
        <x:v>7.4</x:v>
      </x:c>
      <x:c r="AE39" s="14" t="str">
        <x:v>null</x:v>
      </x:c>
      <x:c r="AF39" s="14" t="str">
        <x:v>=</x:v>
      </x:c>
      <x:c r="AG39" s="14" t="str">
        <x:v>Ki</x:v>
      </x:c>
      <x:c r="AH39" s="15" t="n">
        <x:v>39.81</x:v>
      </x:c>
      <x:c r="AI39" s="14" t="str">
        <x:v>nM</x:v>
      </x:c>
      <x:c r="AJ39" s="14" t="str">
        <x:v>=</x:v>
      </x:c>
      <x:c r="AK39" s="15" t="n">
        <x:v>7.4</x:v>
      </x:c>
      <x:c r="AL39" s="17" t="n">
        <x:v>0</x:v>
      </x:c>
      <x:c r="AM39" s="14" t="str">
        <x:v>null</x:v>
      </x:c>
      <x:c r="AN39" s="14" t="str">
        <x:v>null</x:v>
      </x:c>
      <x:c r="AO39" s="14" t="str">
        <x:v>https://www.ebi.ac.uk/chembl/api/data/activity/16670301.json</x:v>
      </x:c>
    </x:row>
    <x:row r="40" ht="36" customHeight="1">
      <x:c r="A40" s="9" t="str">
        <x:v>HZISGJVOPZSKRZ-QPPBQGQZSA-N</x:v>
      </x:c>
      <x:c r="B40" s="9" t="str">
        <x:v>CHEMBL3959240</x:v>
      </x:c>
      <x:c r="C40" s="9" t="str">
        <x:v>CHEMBL3959240</x:v>
      </x:c>
      <x:c r="D40" s="9" t="str">
        <x:v>16670302</x:v>
      </x:c>
      <x:c r="E40" s="9" t="str">
        <x:v>16670302</x:v>
      </x:c>
      <x:c r="F40" s="9" t="str">
        <x:v>CHEMBL3855278</x:v>
      </x:c>
      <x:c r="G40" s="9" t="str">
        <x:v>CHEMBL217</x:v>
      </x:c>
      <x:c r="H40" s="9" t="str">
        <x:v>CHEMBL3853329</x:v>
      </x:c>
      <x:c r="I40" s="9" t="str">
        <x:v>Cn1c(SCCCN2CC[C@]3(C[C@@H]3c3ccc(C(F)(F)F)cc3)C2)nnc1-c1ccc(S(N)(=O)=O)cc1</x:v>
      </x:c>
      <x:c r="J40" s="9" t="str">
        <x:v>Cn1c(SCCCN2CC[C@]3(C[C@@H]3c3ccc(C(F)(F)F)cc3)C2)nnc1-c1ccc(S(N)(=O)=O)cc1</x:v>
      </x:c>
      <x:c r="K40" s="9" t="str">
        <x:v>source_reported_pKi</x:v>
      </x:c>
      <x:c r="L40" s="11" t="n">
        <x:v>6.66</x:v>
      </x:c>
      <x:c r="M40" s="11" t="n">
        <x:v>218.77616239495518</x:v>
      </x:c>
      <x:c r="N40" s="11" t="n">
        <x:v>218.78</x:v>
      </x:c>
      <x:c r="O40" s="11" t="n">
        <x:v>6.6599923820033275</x:v>
      </x:c>
      <x:c r="P40" s="12" t="n">
        <x:v>-0.000007617996672593108</x:v>
      </x:c>
      <x:c r="Q40" s="12" t="n">
        <x:v>0.003837605044822112</x:v>
      </x:c>
      <x:c r="R40" s="11" t="n">
        <x:v>0.00501</x:v>
      </x:c>
      <x:c r="S40" s="9" t="str">
        <x:v>Cn1c(SCCCN2CC[C@]3(C[C@@H]3c3ccc(C(F)(F)F)cc3)C2)nnc1-c1ccc(S(N)(=O)=O)cc1</x:v>
      </x:c>
      <x:c r="T40" s="9" t="str">
        <x:v>Cn1c(SCCCN2CC[C@]3(C[C@@H]3c3ccc(C(F)(F)F)cc3)C2)nnc1-c1ccc(S(N)(=O)=O)cc1</x:v>
      </x:c>
      <x:c r="U40" s="9" t="str">
        <x:v>HZISGJVOPZSKRZ-QPPBQGQZSA-N</x:v>
      </x:c>
      <x:c r="V40" s="9" t="str">
        <x:v>Cn1c(SCCCN2CCC3(CC3c3ccc(C(F)(F)F)cc3)C2)nnc1-c1ccc(S(N)(=O)=O)cc1</x:v>
      </x:c>
      <x:c r="W40" s="9" t="str">
        <x:v>31bbc93187b250370f93697653530b24c8b94d8964f0779c6710d0ecab131834</x:v>
      </x:c>
      <x:c r="X40" s="9" t="str">
        <x:v>c1ccc(-c2nnc(SCCCN3CCC4(CC4c4ccccc4)C3)[nH]2)cc1</x:v>
      </x:c>
      <x:c r="Y40" s="9" t="str">
        <x:v>false</x:v>
      </x:c>
      <x:c r="Z40" s="13" t="n">
        <x:v>1</x:v>
      </x:c>
      <x:c r="AA40" s="9" t="str">
        <x:v>include</x:v>
      </x:c>
      <x:c r="AB40" s="9" t="str"/>
      <x:c r="AC40" s="9" t="str">
        <x:v>pKi</x:v>
      </x:c>
      <x:c r="AD40" s="9" t="str">
        <x:v>6.66</x:v>
      </x:c>
      <x:c r="AE40" s="9" t="str">
        <x:v>null</x:v>
      </x:c>
      <x:c r="AF40" s="9" t="str">
        <x:v>=</x:v>
      </x:c>
      <x:c r="AG40" s="9" t="str">
        <x:v>Ki</x:v>
      </x:c>
      <x:c r="AH40" s="11" t="n">
        <x:v>218.78</x:v>
      </x:c>
      <x:c r="AI40" s="9" t="str">
        <x:v>nM</x:v>
      </x:c>
      <x:c r="AJ40" s="9" t="str">
        <x:v>=</x:v>
      </x:c>
      <x:c r="AK40" s="11" t="n">
        <x:v>6.66</x:v>
      </x:c>
      <x:c r="AL40" s="13" t="n">
        <x:v>0</x:v>
      </x:c>
      <x:c r="AM40" s="9" t="str">
        <x:v>null</x:v>
      </x:c>
      <x:c r="AN40" s="9" t="str">
        <x:v>null</x:v>
      </x:c>
      <x:c r="AO40" s="9" t="str">
        <x:v>https://www.ebi.ac.uk/chembl/api/data/activity/16670302.json</x:v>
      </x:c>
    </x:row>
    <x:row r="41" ht="36" customHeight="1">
      <x:c r="A41" s="14" t="str">
        <x:v>HMTJKRFRBLRBNL-BVAGGSTKSA-N</x:v>
      </x:c>
      <x:c r="B41" s="14" t="str">
        <x:v>CHEMBL3979523</x:v>
      </x:c>
      <x:c r="C41" s="14" t="str">
        <x:v>CHEMBL3979523</x:v>
      </x:c>
      <x:c r="D41" s="14" t="str">
        <x:v>16670303</x:v>
      </x:c>
      <x:c r="E41" s="14" t="str">
        <x:v>16670303</x:v>
      </x:c>
      <x:c r="F41" s="14" t="str">
        <x:v>CHEMBL3855278</x:v>
      </x:c>
      <x:c r="G41" s="14" t="str">
        <x:v>CHEMBL217</x:v>
      </x:c>
      <x:c r="H41" s="14" t="str">
        <x:v>CHEMBL3853329</x:v>
      </x:c>
      <x:c r="I41" s="14" t="str">
        <x:v>CC(=O)c1ccc(-c2nnc(SCCCN3CC[C@]4(C[C@@H]4c4ccc(C(F)(F)F)cc4)C3)n2C)cc1</x:v>
      </x:c>
      <x:c r="J41" s="14" t="str">
        <x:v>CC(=O)c1ccc(-c2nnc(SCCCN3CC[C@]4(C[C@@H]4c4ccc(C(F)(F)F)cc4)C3)n2C)cc1</x:v>
      </x:c>
      <x:c r="K41" s="14" t="str">
        <x:v>source_reported_pKi</x:v>
      </x:c>
      <x:c r="L41" s="15" t="n">
        <x:v>6.35</x:v>
      </x:c>
      <x:c r="M41" s="15" t="n">
        <x:v>446.6835921509635</x:v>
      </x:c>
      <x:c r="N41" s="15" t="n">
        <x:v>446.68</x:v>
      </x:c>
      <x:c r="O41" s="15" t="n">
        <x:v>6.350003492533959</x:v>
      </x:c>
      <x:c r="P41" s="16" t="n">
        <x:v>0.000003492533958926458</x:v>
      </x:c>
      <x:c r="Q41" s="16" t="n">
        <x:v>-0.0035921509634704307</x:v>
      </x:c>
      <x:c r="R41" s="15" t="n">
        <x:v>0.00501</x:v>
      </x:c>
      <x:c r="S41" s="14" t="str">
        <x:v>CC(=O)c1ccc(-c2nnc(SCCCN3CC[C@]4(C[C@@H]4c4ccc(C(F)(F)F)cc4)C3)n2C)cc1</x:v>
      </x:c>
      <x:c r="T41" s="14" t="str">
        <x:v>CC(=O)c1ccc(-c2nnc(SCCCN3CC[C@]4(C[C@@H]4c4ccc(C(F)(F)F)cc4)C3)n2C)cc1</x:v>
      </x:c>
      <x:c r="U41" s="14" t="str">
        <x:v>HMTJKRFRBLRBNL-BVAGGSTKSA-N</x:v>
      </x:c>
      <x:c r="V41" s="14" t="str">
        <x:v>CC(=O)c1ccc(-c2nnc(SCCCN3CCC4(CC4c4ccc(C(F)(F)F)cc4)C3)n2C)cc1</x:v>
      </x:c>
      <x:c r="W41" s="14" t="str">
        <x:v>937a5f4a510a2f6c5c20fbc83a11f4d7740ba04666162f3995b908ecc66e0f62</x:v>
      </x:c>
      <x:c r="X41" s="14" t="str">
        <x:v>c1ccc(-c2nnc(SCCCN3CCC4(CC4c4ccccc4)C3)[nH]2)cc1</x:v>
      </x:c>
      <x:c r="Y41" s="14" t="str">
        <x:v>false</x:v>
      </x:c>
      <x:c r="Z41" s="17" t="n">
        <x:v>1</x:v>
      </x:c>
      <x:c r="AA41" s="14" t="str">
        <x:v>include</x:v>
      </x:c>
      <x:c r="AB41" s="14" t="str"/>
      <x:c r="AC41" s="14" t="str">
        <x:v>pKi</x:v>
      </x:c>
      <x:c r="AD41" s="14" t="str">
        <x:v>6.35</x:v>
      </x:c>
      <x:c r="AE41" s="14" t="str">
        <x:v>null</x:v>
      </x:c>
      <x:c r="AF41" s="14" t="str">
        <x:v>=</x:v>
      </x:c>
      <x:c r="AG41" s="14" t="str">
        <x:v>Ki</x:v>
      </x:c>
      <x:c r="AH41" s="15" t="n">
        <x:v>446.68</x:v>
      </x:c>
      <x:c r="AI41" s="14" t="str">
        <x:v>nM</x:v>
      </x:c>
      <x:c r="AJ41" s="14" t="str">
        <x:v>=</x:v>
      </x:c>
      <x:c r="AK41" s="15" t="n">
        <x:v>6.35</x:v>
      </x:c>
      <x:c r="AL41" s="17" t="n">
        <x:v>0</x:v>
      </x:c>
      <x:c r="AM41" s="14" t="str">
        <x:v>null</x:v>
      </x:c>
      <x:c r="AN41" s="14" t="str">
        <x:v>null</x:v>
      </x:c>
      <x:c r="AO41" s="14" t="str">
        <x:v>https://www.ebi.ac.uk/chembl/api/data/activity/16670303.json</x:v>
      </x:c>
    </x:row>
    <x:row r="42" ht="36" customHeight="1">
      <x:c r="A42" s="9" t="str">
        <x:v>ITIATPRLDJMYTO-RDGATRHJSA-N</x:v>
      </x:c>
      <x:c r="B42" s="9" t="str">
        <x:v>CHEMBL3950540</x:v>
      </x:c>
      <x:c r="C42" s="9" t="str">
        <x:v>CHEMBL3950540</x:v>
      </x:c>
      <x:c r="D42" s="9" t="str">
        <x:v>16670304</x:v>
      </x:c>
      <x:c r="E42" s="9" t="str">
        <x:v>16670304</x:v>
      </x:c>
      <x:c r="F42" s="9" t="str">
        <x:v>CHEMBL3855278</x:v>
      </x:c>
      <x:c r="G42" s="9" t="str">
        <x:v>CHEMBL217</x:v>
      </x:c>
      <x:c r="H42" s="9" t="str">
        <x:v>CHEMBL3853329</x:v>
      </x:c>
      <x:c r="I42" s="9" t="str">
        <x:v>Cn1c(SCCCN2CC[C@]3(C[C@@H]3c3ccc(C(F)(F)F)cc3)C2)nnc1-c1ccc(C#N)cc1</x:v>
      </x:c>
      <x:c r="J42" s="9" t="str">
        <x:v>Cn1c(SCCCN2CC[C@]3(C[C@@H]3c3ccc(C(F)(F)F)cc3)C2)nnc1-c1ccc(C#N)cc1</x:v>
      </x:c>
      <x:c r="K42" s="9" t="str">
        <x:v>source_reported_pKi</x:v>
      </x:c>
      <x:c r="L42" s="11" t="n">
        <x:v>6.46</x:v>
      </x:c>
      <x:c r="M42" s="11" t="n">
        <x:v>346.73685045253166</x:v>
      </x:c>
      <x:c r="N42" s="11" t="n">
        <x:v>346.74</x:v>
      </x:c>
      <x:c r="O42" s="11" t="n">
        <x:v>6.459996055149974</x:v>
      </x:c>
      <x:c r="P42" s="12" t="n">
        <x:v>-0.000003944850026194047</x:v>
      </x:c>
      <x:c r="Q42" s="12" t="n">
        <x:v>0.0031495474683538305</x:v>
      </x:c>
      <x:c r="R42" s="11" t="n">
        <x:v>0.00501</x:v>
      </x:c>
      <x:c r="S42" s="9" t="str">
        <x:v>Cn1c(SCCCN2CC[C@]3(C[C@@H]3c3ccc(C(F)(F)F)cc3)C2)nnc1-c1ccc(C#N)cc1</x:v>
      </x:c>
      <x:c r="T42" s="9" t="str">
        <x:v>Cn1c(SCCCN2CC[C@]3(C[C@@H]3c3ccc(C(F)(F)F)cc3)C2)nnc1-c1ccc(C#N)cc1</x:v>
      </x:c>
      <x:c r="U42" s="9" t="str">
        <x:v>ITIATPRLDJMYTO-RDGATRHJSA-N</x:v>
      </x:c>
      <x:c r="V42" s="9" t="str">
        <x:v>Cn1c(SCCCN2CCC3(CC3c3ccc(C(F)(F)F)cc3)C2)nnc1-c1ccc(C#N)cc1</x:v>
      </x:c>
      <x:c r="W42" s="9" t="str">
        <x:v>87e7630fa76ee459b5d904476950fa622c73953c83840af36eeb4e85b24cf142</x:v>
      </x:c>
      <x:c r="X42" s="9" t="str">
        <x:v>c1ccc(-c2nnc(SCCCN3CCC4(CC4c4ccccc4)C3)[nH]2)cc1</x:v>
      </x:c>
      <x:c r="Y42" s="9" t="str">
        <x:v>false</x:v>
      </x:c>
      <x:c r="Z42" s="13" t="n">
        <x:v>1</x:v>
      </x:c>
      <x:c r="AA42" s="9" t="str">
        <x:v>include</x:v>
      </x:c>
      <x:c r="AB42" s="9" t="str"/>
      <x:c r="AC42" s="9" t="str">
        <x:v>pKi</x:v>
      </x:c>
      <x:c r="AD42" s="9" t="str">
        <x:v>6.46</x:v>
      </x:c>
      <x:c r="AE42" s="9" t="str">
        <x:v>null</x:v>
      </x:c>
      <x:c r="AF42" s="9" t="str">
        <x:v>=</x:v>
      </x:c>
      <x:c r="AG42" s="9" t="str">
        <x:v>Ki</x:v>
      </x:c>
      <x:c r="AH42" s="11" t="n">
        <x:v>346.74</x:v>
      </x:c>
      <x:c r="AI42" s="9" t="str">
        <x:v>nM</x:v>
      </x:c>
      <x:c r="AJ42" s="9" t="str">
        <x:v>=</x:v>
      </x:c>
      <x:c r="AK42" s="11" t="n">
        <x:v>6.46</x:v>
      </x:c>
      <x:c r="AL42" s="13" t="n">
        <x:v>0</x:v>
      </x:c>
      <x:c r="AM42" s="9" t="str">
        <x:v>null</x:v>
      </x:c>
      <x:c r="AN42" s="9" t="str">
        <x:v>null</x:v>
      </x:c>
      <x:c r="AO42" s="9" t="str">
        <x:v>https://www.ebi.ac.uk/chembl/api/data/activity/16670304.json</x:v>
      </x:c>
    </x:row>
    <x:row r="43" ht="36" customHeight="1">
      <x:c r="A43" s="14" t="str">
        <x:v>BCTUVZJFJIFLND-GJZUVCINSA-N</x:v>
      </x:c>
      <x:c r="B43" s="14" t="str">
        <x:v>CHEMBL3981856</x:v>
      </x:c>
      <x:c r="C43" s="14" t="str">
        <x:v>CHEMBL3981856</x:v>
      </x:c>
      <x:c r="D43" s="14" t="str">
        <x:v>16670305</x:v>
      </x:c>
      <x:c r="E43" s="14" t="str">
        <x:v>16670305</x:v>
      </x:c>
      <x:c r="F43" s="14" t="str">
        <x:v>CHEMBL3855278</x:v>
      </x:c>
      <x:c r="G43" s="14" t="str">
        <x:v>CHEMBL217</x:v>
      </x:c>
      <x:c r="H43" s="14" t="str">
        <x:v>CHEMBL3853329</x:v>
      </x:c>
      <x:c r="I43" s="14" t="str">
        <x:v>Cn1c(SCCCN2CC[C@]3(C[C@@H]3c3ccc(C(F)(F)F)cc3)C2)nnc1-c1ccc(CC(N)=O)cc1</x:v>
      </x:c>
      <x:c r="J43" s="14" t="str">
        <x:v>Cn1c(SCCCN2CC[C@]3(C[C@@H]3c3ccc(C(F)(F)F)cc3)C2)nnc1-c1ccc(CC(N)=O)cc1</x:v>
      </x:c>
      <x:c r="K43" s="14" t="str">
        <x:v>source_reported_pKi</x:v>
      </x:c>
      <x:c r="L43" s="15" t="n">
        <x:v>6.33</x:v>
      </x:c>
      <x:c r="M43" s="15" t="n">
        <x:v>467.73514128719813</x:v>
      </x:c>
      <x:c r="N43" s="15" t="n">
        <x:v>467.74</x:v>
      </x:c>
      <x:c r="O43" s="15" t="n">
        <x:v>6.329995488683631</x:v>
      </x:c>
      <x:c r="P43" s="16" t="n">
        <x:v>-0.0000045113163693599745</x:v>
      </x:c>
      <x:c r="Q43" s="16" t="n">
        <x:v>0.0048587128018766634</x:v>
      </x:c>
      <x:c r="R43" s="15" t="n">
        <x:v>0.00501</x:v>
      </x:c>
      <x:c r="S43" s="14" t="str">
        <x:v>Cn1c(SCCCN2CC[C@]3(C[C@@H]3c3ccc(C(F)(F)F)cc3)C2)nnc1-c1ccc(CC(N)=O)cc1</x:v>
      </x:c>
      <x:c r="T43" s="14" t="str">
        <x:v>Cn1c(SCCCN2CC[C@]3(C[C@@H]3c3ccc(C(F)(F)F)cc3)C2)nnc1-c1ccc(CC(N)=O)cc1</x:v>
      </x:c>
      <x:c r="U43" s="14" t="str">
        <x:v>BCTUVZJFJIFLND-GJZUVCINSA-N</x:v>
      </x:c>
      <x:c r="V43" s="14" t="str">
        <x:v>Cn1c(SCCCN2CCC3(CC3c3ccc(C(F)(F)F)cc3)C2)nnc1-c1ccc(CC(N)=O)cc1</x:v>
      </x:c>
      <x:c r="W43" s="14" t="str">
        <x:v>411434279c8dd5ea224d3ee66a301b20e492548db6d6e63d4c904ae6b2ee7597</x:v>
      </x:c>
      <x:c r="X43" s="14" t="str">
        <x:v>c1ccc(-c2nnc(SCCCN3CCC4(CC4c4ccccc4)C3)[nH]2)cc1</x:v>
      </x:c>
      <x:c r="Y43" s="14" t="str">
        <x:v>false</x:v>
      </x:c>
      <x:c r="Z43" s="17" t="n">
        <x:v>1</x:v>
      </x:c>
      <x:c r="AA43" s="14" t="str">
        <x:v>include</x:v>
      </x:c>
      <x:c r="AB43" s="14" t="str"/>
      <x:c r="AC43" s="14" t="str">
        <x:v>pKi</x:v>
      </x:c>
      <x:c r="AD43" s="14" t="str">
        <x:v>6.33</x:v>
      </x:c>
      <x:c r="AE43" s="14" t="str">
        <x:v>null</x:v>
      </x:c>
      <x:c r="AF43" s="14" t="str">
        <x:v>=</x:v>
      </x:c>
      <x:c r="AG43" s="14" t="str">
        <x:v>Ki</x:v>
      </x:c>
      <x:c r="AH43" s="15" t="n">
        <x:v>467.74</x:v>
      </x:c>
      <x:c r="AI43" s="14" t="str">
        <x:v>nM</x:v>
      </x:c>
      <x:c r="AJ43" s="14" t="str">
        <x:v>=</x:v>
      </x:c>
      <x:c r="AK43" s="15" t="n">
        <x:v>6.33</x:v>
      </x:c>
      <x:c r="AL43" s="17" t="n">
        <x:v>0</x:v>
      </x:c>
      <x:c r="AM43" s="14" t="str">
        <x:v>null</x:v>
      </x:c>
      <x:c r="AN43" s="14" t="str">
        <x:v>null</x:v>
      </x:c>
      <x:c r="AO43" s="14" t="str">
        <x:v>https://www.ebi.ac.uk/chembl/api/data/activity/16670305.json</x:v>
      </x:c>
    </x:row>
    <x:row r="44" ht="36" customHeight="1">
      <x:c r="A44" s="9" t="str">
        <x:v>NIFGQHGFOUMQJN-KCWPFWIISA-N</x:v>
      </x:c>
      <x:c r="B44" s="9" t="str">
        <x:v>CHEMBL3941818</x:v>
      </x:c>
      <x:c r="C44" s="9" t="str">
        <x:v>CHEMBL3941818</x:v>
      </x:c>
      <x:c r="D44" s="9" t="str">
        <x:v>16670306</x:v>
      </x:c>
      <x:c r="E44" s="9" t="str">
        <x:v>16670306</x:v>
      </x:c>
      <x:c r="F44" s="9" t="str">
        <x:v>CHEMBL3855278</x:v>
      </x:c>
      <x:c r="G44" s="9" t="str">
        <x:v>CHEMBL217</x:v>
      </x:c>
      <x:c r="H44" s="9" t="str">
        <x:v>CHEMBL3853329</x:v>
      </x:c>
      <x:c r="I44" s="9" t="str">
        <x:v>Cn1c(SCCCN2CC[C@]3(C[C@@H]3c3ccc(C(F)(F)F)cc3)C2)nnc1-c1ccc(-c2ncco2)cc1</x:v>
      </x:c>
      <x:c r="J44" s="9" t="str">
        <x:v>Cn1c(SCCCN2CC[C@]3(C[C@@H]3c3ccc(C(F)(F)F)cc3)C2)nnc1-c1ccc(-c2ncco2)cc1</x:v>
      </x:c>
      <x:c r="K44" s="9" t="str">
        <x:v>source_reported_pKi</x:v>
      </x:c>
      <x:c r="L44" s="11" t="n">
        <x:v>6.44</x:v>
      </x:c>
      <x:c r="M44" s="11" t="n">
        <x:v>363.078054770101</x:v>
      </x:c>
      <x:c r="N44" s="11" t="n">
        <x:v>363.08</x:v>
      </x:c>
      <x:c r="O44" s="11" t="n">
        <x:v>6.4399976732266335</x:v>
      </x:c>
      <x:c r="P44" s="12" t="n">
        <x:v>-0.000002326773366867485</x:v>
      </x:c>
      <x:c r="Q44" s="12" t="n">
        <x:v>0.0019452298989790506</x:v>
      </x:c>
      <x:c r="R44" s="11" t="n">
        <x:v>0.00501</x:v>
      </x:c>
      <x:c r="S44" s="9" t="str">
        <x:v>Cn1c(SCCCN2CC[C@]3(C[C@@H]3c3ccc(C(F)(F)F)cc3)C2)nnc1-c1ccc(-c2ncco2)cc1</x:v>
      </x:c>
      <x:c r="T44" s="9" t="str">
        <x:v>Cn1c(SCCCN2CC[C@]3(C[C@@H]3c3ccc(C(F)(F)F)cc3)C2)nnc1-c1ccc(-c2ncco2)cc1</x:v>
      </x:c>
      <x:c r="U44" s="9" t="str">
        <x:v>NIFGQHGFOUMQJN-KCWPFWIISA-N</x:v>
      </x:c>
      <x:c r="V44" s="9" t="str">
        <x:v>Cn1c(SCCCN2CCC3(CC3c3ccc(C(F)(F)F)cc3)C2)nnc1-c1ccc(-c2ncco2)cc1</x:v>
      </x:c>
      <x:c r="W44" s="9" t="str">
        <x:v>30976e9e06f7c731642413a37e92805222af3364a28811be87a92dc0cf0c7d2d</x:v>
      </x:c>
      <x:c r="X44" s="9" t="str">
        <x:v>c1ccc(C2CC23CCN(CCCSc2nnc(-c4ccc(-c5ncco5)cc4)[nH]2)C3)cc1</x:v>
      </x:c>
      <x:c r="Y44" s="9" t="str">
        <x:v>false</x:v>
      </x:c>
      <x:c r="Z44" s="13" t="n">
        <x:v>1</x:v>
      </x:c>
      <x:c r="AA44" s="9" t="str">
        <x:v>include</x:v>
      </x:c>
      <x:c r="AB44" s="9" t="str"/>
      <x:c r="AC44" s="9" t="str">
        <x:v>pKi</x:v>
      </x:c>
      <x:c r="AD44" s="9" t="str">
        <x:v>6.44</x:v>
      </x:c>
      <x:c r="AE44" s="9" t="str">
        <x:v>null</x:v>
      </x:c>
      <x:c r="AF44" s="9" t="str">
        <x:v>=</x:v>
      </x:c>
      <x:c r="AG44" s="9" t="str">
        <x:v>Ki</x:v>
      </x:c>
      <x:c r="AH44" s="11" t="n">
        <x:v>363.08</x:v>
      </x:c>
      <x:c r="AI44" s="9" t="str">
        <x:v>nM</x:v>
      </x:c>
      <x:c r="AJ44" s="9" t="str">
        <x:v>=</x:v>
      </x:c>
      <x:c r="AK44" s="11" t="n">
        <x:v>6.44</x:v>
      </x:c>
      <x:c r="AL44" s="13" t="n">
        <x:v>0</x:v>
      </x:c>
      <x:c r="AM44" s="9" t="str">
        <x:v>null</x:v>
      </x:c>
      <x:c r="AN44" s="9" t="str">
        <x:v>null</x:v>
      </x:c>
      <x:c r="AO44" s="9" t="str">
        <x:v>https://www.ebi.ac.uk/chembl/api/data/activity/16670306.json</x:v>
      </x:c>
    </x:row>
    <x:row r="45" ht="36" customHeight="1">
      <x:c r="A45" s="14" t="str">
        <x:v>NMEPMLDUQJFQOK-KCWPFWIISA-N</x:v>
      </x:c>
      <x:c r="B45" s="14" t="str">
        <x:v>CHEMBL3920167</x:v>
      </x:c>
      <x:c r="C45" s="14" t="str">
        <x:v>CHEMBL3920167</x:v>
      </x:c>
      <x:c r="D45" s="14" t="str">
        <x:v>16670307</x:v>
      </x:c>
      <x:c r="E45" s="14" t="str">
        <x:v>16670307</x:v>
      </x:c>
      <x:c r="F45" s="14" t="str">
        <x:v>CHEMBL3855278</x:v>
      </x:c>
      <x:c r="G45" s="14" t="str">
        <x:v>CHEMBL217</x:v>
      </x:c>
      <x:c r="H45" s="14" t="str">
        <x:v>CHEMBL3853329</x:v>
      </x:c>
      <x:c r="I45" s="14" t="str">
        <x:v>Cn1c(SCCCN2CC[C@]3(C[C@@H]3c3ccc(C(F)(F)F)cc3)C2)nnc1-c1cccc(-c2ncco2)c1</x:v>
      </x:c>
      <x:c r="J45" s="14" t="str">
        <x:v>Cn1c(SCCCN2CC[C@]3(C[C@@H]3c3ccc(C(F)(F)F)cc3)C2)nnc1-c1cccc(-c2ncco2)c1</x:v>
      </x:c>
      <x:c r="K45" s="14" t="str">
        <x:v>source_reported_pKi</x:v>
      </x:c>
      <x:c r="L45" s="15" t="n">
        <x:v>6.3</x:v>
      </x:c>
      <x:c r="M45" s="15" t="n">
        <x:v>501.18723362727246</x:v>
      </x:c>
      <x:c r="N45" s="15" t="n">
        <x:v>501.19</x:v>
      </x:c>
      <x:c r="O45" s="15" t="n">
        <x:v>6.299997602857746</x:v>
      </x:c>
      <x:c r="P45" s="16" t="n">
        <x:v>-0.000002397142253585116</x:v>
      </x:c>
      <x:c r="Q45" s="16" t="n">
        <x:v>0.0027663727275353267</x:v>
      </x:c>
      <x:c r="R45" s="15" t="n">
        <x:v>0.00501</x:v>
      </x:c>
      <x:c r="S45" s="14" t="str">
        <x:v>Cn1c(SCCCN2CC[C@]3(C[C@@H]3c3ccc(C(F)(F)F)cc3)C2)nnc1-c1cccc(-c2ncco2)c1</x:v>
      </x:c>
      <x:c r="T45" s="14" t="str">
        <x:v>Cn1c(SCCCN2CC[C@]3(C[C@@H]3c3ccc(C(F)(F)F)cc3)C2)nnc1-c1cccc(-c2ncco2)c1</x:v>
      </x:c>
      <x:c r="U45" s="14" t="str">
        <x:v>NMEPMLDUQJFQOK-KCWPFWIISA-N</x:v>
      </x:c>
      <x:c r="V45" s="14" t="str">
        <x:v>Cn1c(SCCCN2CCC3(CC3c3ccc(C(F)(F)F)cc3)C2)nnc1-c1cccc(-c2ncco2)c1</x:v>
      </x:c>
      <x:c r="W45" s="14" t="str">
        <x:v>28764455c1c52ec84bfcdc47fbdd7f951200696393581083dcb0a1b873472a1d</x:v>
      </x:c>
      <x:c r="X45" s="14" t="str">
        <x:v>c1ccc(C2CC23CCN(CCCSc2nnc(-c4cccc(-c5ncco5)c4)[nH]2)C3)cc1</x:v>
      </x:c>
      <x:c r="Y45" s="14" t="str">
        <x:v>false</x:v>
      </x:c>
      <x:c r="Z45" s="17" t="n">
        <x:v>1</x:v>
      </x:c>
      <x:c r="AA45" s="14" t="str">
        <x:v>include</x:v>
      </x:c>
      <x:c r="AB45" s="14" t="str"/>
      <x:c r="AC45" s="14" t="str">
        <x:v>pKi</x:v>
      </x:c>
      <x:c r="AD45" s="14" t="str">
        <x:v>6.3</x:v>
      </x:c>
      <x:c r="AE45" s="14" t="str">
        <x:v>null</x:v>
      </x:c>
      <x:c r="AF45" s="14" t="str">
        <x:v>=</x:v>
      </x:c>
      <x:c r="AG45" s="14" t="str">
        <x:v>Ki</x:v>
      </x:c>
      <x:c r="AH45" s="15" t="n">
        <x:v>501.19</x:v>
      </x:c>
      <x:c r="AI45" s="14" t="str">
        <x:v>nM</x:v>
      </x:c>
      <x:c r="AJ45" s="14" t="str">
        <x:v>=</x:v>
      </x:c>
      <x:c r="AK45" s="15" t="n">
        <x:v>6.3</x:v>
      </x:c>
      <x:c r="AL45" s="17" t="n">
        <x:v>0</x:v>
      </x:c>
      <x:c r="AM45" s="14" t="str">
        <x:v>null</x:v>
      </x:c>
      <x:c r="AN45" s="14" t="str">
        <x:v>null</x:v>
      </x:c>
      <x:c r="AO45" s="14" t="str">
        <x:v>https://www.ebi.ac.uk/chembl/api/data/activity/16670307.json</x:v>
      </x:c>
    </x:row>
    <x:row r="46" ht="36" customHeight="1">
      <x:c r="A46" s="9" t="str">
        <x:v>DWDIQEPGVYBABO-REWPJTCUSA-N</x:v>
      </x:c>
      <x:c r="B46" s="9" t="str">
        <x:v>CHEMBL3947961</x:v>
      </x:c>
      <x:c r="C46" s="9" t="str">
        <x:v>CHEMBL3947961</x:v>
      </x:c>
      <x:c r="D46" s="9" t="str">
        <x:v>16670402</x:v>
      </x:c>
      <x:c r="E46" s="9" t="str">
        <x:v>16670402</x:v>
      </x:c>
      <x:c r="F46" s="9" t="str">
        <x:v>CHEMBL3855278</x:v>
      </x:c>
      <x:c r="G46" s="9" t="str">
        <x:v>CHEMBL217</x:v>
      </x:c>
      <x:c r="H46" s="9" t="str">
        <x:v>CHEMBL3853329</x:v>
      </x:c>
      <x:c r="I46" s="9" t="str">
        <x:v>Cn1c(SCCCN2CC[C@]3(C[C@H]3c3ccc(C(F)(F)F)cc3)C2)nnc1-c1ccncc1</x:v>
      </x:c>
      <x:c r="J46" s="9" t="str">
        <x:v>Cn1c(SCCCN2CC[C@]3(C[C@H]3c3ccc(C(F)(F)F)cc3)C2)nnc1-c1ccncc1</x:v>
      </x:c>
      <x:c r="K46" s="9" t="str">
        <x:v>source_reported_pKi</x:v>
      </x:c>
      <x:c r="L46" s="11" t="n">
        <x:v>6.06</x:v>
      </x:c>
      <x:c r="M46" s="11" t="n">
        <x:v>870.9635899560815</x:v>
      </x:c>
      <x:c r="N46" s="11" t="n">
        <x:v>870.96</x:v>
      </x:c>
      <x:c r="O46" s="11" t="n">
        <x:v>6.060001790087838</x:v>
      </x:c>
      <x:c r="P46" s="12" t="n">
        <x:v>0.000001790087837960641</x:v>
      </x:c>
      <x:c r="Q46" s="12" t="n">
        <x:v>-0.0035899560814414144</x:v>
      </x:c>
      <x:c r="R46" s="11" t="n">
        <x:v>0.00501</x:v>
      </x:c>
      <x:c r="S46" s="9" t="str">
        <x:v>Cn1c(SCCCN2CC[C@]3(C[C@H]3c3ccc(C(F)(F)F)cc3)C2)nnc1-c1ccncc1</x:v>
      </x:c>
      <x:c r="T46" s="9" t="str">
        <x:v>Cn1c(SCCCN2CC[C@]3(C[C@H]3c3ccc(C(F)(F)F)cc3)C2)nnc1-c1ccncc1</x:v>
      </x:c>
      <x:c r="U46" s="9" t="str">
        <x:v>DWDIQEPGVYBABO-REWPJTCUSA-N</x:v>
      </x:c>
      <x:c r="V46" s="9" t="str">
        <x:v>Cn1c(SCCCN2CCC3(CC3c3ccc(C(F)(F)F)cc3)C2)nnc1-c1ccncc1</x:v>
      </x:c>
      <x:c r="W46" s="9" t="str">
        <x:v>5522edf84997096a309961b03bdedf323da8ac9d914587fed4da9d136ce2bdeb</x:v>
      </x:c>
      <x:c r="X46" s="9" t="str">
        <x:v>c1ccc(C2CC23CCN(CCCSc2nnc(-c4ccncc4)[nH]2)C3)cc1</x:v>
      </x:c>
      <x:c r="Y46" s="9" t="str">
        <x:v>false</x:v>
      </x:c>
      <x:c r="Z46" s="13" t="n">
        <x:v>1</x:v>
      </x:c>
      <x:c r="AA46" s="9" t="str">
        <x:v>include</x:v>
      </x:c>
      <x:c r="AB46" s="9" t="str"/>
      <x:c r="AC46" s="9" t="str">
        <x:v>pKi</x:v>
      </x:c>
      <x:c r="AD46" s="9" t="str">
        <x:v>6.06</x:v>
      </x:c>
      <x:c r="AE46" s="9" t="str">
        <x:v>null</x:v>
      </x:c>
      <x:c r="AF46" s="9" t="str">
        <x:v>=</x:v>
      </x:c>
      <x:c r="AG46" s="9" t="str">
        <x:v>Ki</x:v>
      </x:c>
      <x:c r="AH46" s="11" t="n">
        <x:v>870.96</x:v>
      </x:c>
      <x:c r="AI46" s="9" t="str">
        <x:v>nM</x:v>
      </x:c>
      <x:c r="AJ46" s="9" t="str">
        <x:v>=</x:v>
      </x:c>
      <x:c r="AK46" s="11" t="n">
        <x:v>6.06</x:v>
      </x:c>
      <x:c r="AL46" s="13" t="n">
        <x:v>0</x:v>
      </x:c>
      <x:c r="AM46" s="9" t="str">
        <x:v>null</x:v>
      </x:c>
      <x:c r="AN46" s="9" t="str">
        <x:v>null</x:v>
      </x:c>
      <x:c r="AO46" s="9" t="str">
        <x:v>https://www.ebi.ac.uk/chembl/api/data/activity/16670402.json</x:v>
      </x:c>
    </x:row>
    <x:row r="47" ht="36" customHeight="1">
      <x:c r="A47" s="14" t="str">
        <x:v>DWDIQEPGVYBABO-OFNKIYASSA-N</x:v>
      </x:c>
      <x:c r="B47" s="14" t="str">
        <x:v>CHEMBL3929083</x:v>
      </x:c>
      <x:c r="C47" s="14" t="str">
        <x:v>CHEMBL3929083</x:v>
      </x:c>
      <x:c r="D47" s="14" t="str">
        <x:v>16670403</x:v>
      </x:c>
      <x:c r="E47" s="14" t="str">
        <x:v>16670403</x:v>
      </x:c>
      <x:c r="F47" s="14" t="str">
        <x:v>CHEMBL3855278</x:v>
      </x:c>
      <x:c r="G47" s="14" t="str">
        <x:v>CHEMBL217</x:v>
      </x:c>
      <x:c r="H47" s="14" t="str">
        <x:v>CHEMBL3853329</x:v>
      </x:c>
      <x:c r="I47" s="14" t="str">
        <x:v>Cn1c(SCCCN2CC[C@]3(C[C@@H]3c3ccc(C(F)(F)F)cc3)C2)nnc1-c1ccncc1</x:v>
      </x:c>
      <x:c r="J47" s="14" t="str">
        <x:v>Cn1c(SCCCN2CC[C@]3(C[C@@H]3c3ccc(C(F)(F)F)cc3)C2)nnc1-c1ccncc1</x:v>
      </x:c>
      <x:c r="K47" s="14" t="str">
        <x:v>source_reported_pKi</x:v>
      </x:c>
      <x:c r="L47" s="15" t="n">
        <x:v>6.21</x:v>
      </x:c>
      <x:c r="M47" s="15" t="n">
        <x:v>616.5950018614822</x:v>
      </x:c>
      <x:c r="N47" s="15" t="n">
        <x:v>616.6</x:v>
      </x:c>
      <x:c r="O47" s="15" t="n">
        <x:v>6.209996479609511</x:v>
      </x:c>
      <x:c r="P47" s="16" t="n">
        <x:v>-0.0000035203904893421623</x:v>
      </x:c>
      <x:c r="Q47" s="16" t="n">
        <x:v>0.0049981385178625715</x:v>
      </x:c>
      <x:c r="R47" s="15" t="n">
        <x:v>0.00501</x:v>
      </x:c>
      <x:c r="S47" s="14" t="str">
        <x:v>Cn1c(SCCCN2CC[C@]3(C[C@@H]3c3ccc(C(F)(F)F)cc3)C2)nnc1-c1ccncc1</x:v>
      </x:c>
      <x:c r="T47" s="14" t="str">
        <x:v>Cn1c(SCCCN2CC[C@]3(C[C@@H]3c3ccc(C(F)(F)F)cc3)C2)nnc1-c1ccncc1</x:v>
      </x:c>
      <x:c r="U47" s="14" t="str">
        <x:v>DWDIQEPGVYBABO-OFNKIYASSA-N</x:v>
      </x:c>
      <x:c r="V47" s="14" t="str">
        <x:v>Cn1c(SCCCN2CCC3(CC3c3ccc(C(F)(F)F)cc3)C2)nnc1-c1ccncc1</x:v>
      </x:c>
      <x:c r="W47" s="14" t="str">
        <x:v>5522edf84997096a309961b03bdedf323da8ac9d914587fed4da9d136ce2bdeb</x:v>
      </x:c>
      <x:c r="X47" s="14" t="str">
        <x:v>c1ccc(C2CC23CCN(CCCSc2nnc(-c4ccncc4)[nH]2)C3)cc1</x:v>
      </x:c>
      <x:c r="Y47" s="14" t="str">
        <x:v>false</x:v>
      </x:c>
      <x:c r="Z47" s="17" t="n">
        <x:v>1</x:v>
      </x:c>
      <x:c r="AA47" s="14" t="str">
        <x:v>include</x:v>
      </x:c>
      <x:c r="AB47" s="14" t="str"/>
      <x:c r="AC47" s="14" t="str">
        <x:v>pKi</x:v>
      </x:c>
      <x:c r="AD47" s="14" t="str">
        <x:v>6.21</x:v>
      </x:c>
      <x:c r="AE47" s="14" t="str">
        <x:v>null</x:v>
      </x:c>
      <x:c r="AF47" s="14" t="str">
        <x:v>=</x:v>
      </x:c>
      <x:c r="AG47" s="14" t="str">
        <x:v>Ki</x:v>
      </x:c>
      <x:c r="AH47" s="15" t="n">
        <x:v>616.6</x:v>
      </x:c>
      <x:c r="AI47" s="14" t="str">
        <x:v>nM</x:v>
      </x:c>
      <x:c r="AJ47" s="14" t="str">
        <x:v>=</x:v>
      </x:c>
      <x:c r="AK47" s="15" t="n">
        <x:v>6.21</x:v>
      </x:c>
      <x:c r="AL47" s="17" t="n">
        <x:v>0</x:v>
      </x:c>
      <x:c r="AM47" s="14" t="str">
        <x:v>null</x:v>
      </x:c>
      <x:c r="AN47" s="14" t="str">
        <x:v>null</x:v>
      </x:c>
      <x:c r="AO47" s="14" t="str">
        <x:v>https://www.ebi.ac.uk/chembl/api/data/activity/16670403.json</x:v>
      </x:c>
    </x:row>
    <x:row r="48" ht="36" customHeight="1">
      <x:c r="A48" s="9" t="str">
        <x:v>ZDHMFNGMBGJLNF-REWPJTCUSA-N</x:v>
      </x:c>
      <x:c r="B48" s="9" t="str">
        <x:v>CHEMBL3956612</x:v>
      </x:c>
      <x:c r="C48" s="9" t="str">
        <x:v>CHEMBL3956612</x:v>
      </x:c>
      <x:c r="D48" s="9" t="str">
        <x:v>16670404</x:v>
      </x:c>
      <x:c r="E48" s="9" t="str">
        <x:v>16670404</x:v>
      </x:c>
      <x:c r="F48" s="9" t="str">
        <x:v>CHEMBL3855278</x:v>
      </x:c>
      <x:c r="G48" s="9" t="str">
        <x:v>CHEMBL217</x:v>
      </x:c>
      <x:c r="H48" s="9" t="str">
        <x:v>CHEMBL3853329</x:v>
      </x:c>
      <x:c r="I48" s="9" t="str">
        <x:v>Cn1c(SCCCN2CC[C@]3(C[C@H]3c3ccc(C(F)(F)F)cc3)C2)nnc1-c1cccnc1</x:v>
      </x:c>
      <x:c r="J48" s="9" t="str">
        <x:v>Cn1c(SCCCN2CC[C@]3(C[C@H]3c3ccc(C(F)(F)F)cc3)C2)nnc1-c1cccnc1</x:v>
      </x:c>
      <x:c r="K48" s="9" t="str">
        <x:v>source_reported_pKi</x:v>
      </x:c>
      <x:c r="L48" s="11" t="n">
        <x:v>5.87</x:v>
      </x:c>
      <x:c r="M48" s="11" t="n">
        <x:v>1348.9628825916532</x:v>
      </x:c>
      <x:c r="N48" s="11" t="n">
        <x:v>1348.96</x:v>
      </x:c>
      <x:c r="O48" s="11" t="n">
        <x:v>5.8700009280425745</x:v>
      </x:c>
      <x:c r="P48" s="12" t="n">
        <x:v>9.280425743440901e-7</x:v>
      </x:c>
      <x:c r="Q48" s="12" t="n">
        <x:v>-0.002882591653133204</x:v>
      </x:c>
      <x:c r="R48" s="11" t="n">
        <x:v>0.00501</x:v>
      </x:c>
      <x:c r="S48" s="9" t="str">
        <x:v>Cn1c(SCCCN2CC[C@]3(C[C@H]3c3ccc(C(F)(F)F)cc3)C2)nnc1-c1cccnc1</x:v>
      </x:c>
      <x:c r="T48" s="9" t="str">
        <x:v>Cn1c(SCCCN2CC[C@]3(C[C@H]3c3ccc(C(F)(F)F)cc3)C2)nnc1-c1cccnc1</x:v>
      </x:c>
      <x:c r="U48" s="9" t="str">
        <x:v>ZDHMFNGMBGJLNF-REWPJTCUSA-N</x:v>
      </x:c>
      <x:c r="V48" s="9" t="str">
        <x:v>Cn1c(SCCCN2CCC3(CC3c3ccc(C(F)(F)F)cc3)C2)nnc1-c1cccnc1</x:v>
      </x:c>
      <x:c r="W48" s="9" t="str">
        <x:v>87c0c996e232691977260b40109235ecd04862f1f26c3b32addaaa4ba5c4e385</x:v>
      </x:c>
      <x:c r="X48" s="9" t="str">
        <x:v>c1ccc(C2CC23CCN(CCCSc2nnc(-c4cccnc4)[nH]2)C3)cc1</x:v>
      </x:c>
      <x:c r="Y48" s="9" t="str">
        <x:v>false</x:v>
      </x:c>
      <x:c r="Z48" s="13" t="n">
        <x:v>1</x:v>
      </x:c>
      <x:c r="AA48" s="9" t="str">
        <x:v>include</x:v>
      </x:c>
      <x:c r="AB48" s="9" t="str"/>
      <x:c r="AC48" s="9" t="str">
        <x:v>pKi</x:v>
      </x:c>
      <x:c r="AD48" s="9" t="str">
        <x:v>5.87</x:v>
      </x:c>
      <x:c r="AE48" s="9" t="str">
        <x:v>null</x:v>
      </x:c>
      <x:c r="AF48" s="9" t="str">
        <x:v>=</x:v>
      </x:c>
      <x:c r="AG48" s="9" t="str">
        <x:v>Ki</x:v>
      </x:c>
      <x:c r="AH48" s="11" t="n">
        <x:v>1348.96</x:v>
      </x:c>
      <x:c r="AI48" s="9" t="str">
        <x:v>nM</x:v>
      </x:c>
      <x:c r="AJ48" s="9" t="str">
        <x:v>=</x:v>
      </x:c>
      <x:c r="AK48" s="11" t="n">
        <x:v>5.87</x:v>
      </x:c>
      <x:c r="AL48" s="13" t="n">
        <x:v>0</x:v>
      </x:c>
      <x:c r="AM48" s="9" t="str">
        <x:v>null</x:v>
      </x:c>
      <x:c r="AN48" s="9" t="str">
        <x:v>null</x:v>
      </x:c>
      <x:c r="AO48" s="9" t="str">
        <x:v>https://www.ebi.ac.uk/chembl/api/data/activity/16670404.json</x:v>
      </x:c>
    </x:row>
    <x:row r="49" ht="36" customHeight="1">
      <x:c r="A49" s="14" t="str">
        <x:v>ZDHMFNGMBGJLNF-OFNKIYASSA-N</x:v>
      </x:c>
      <x:c r="B49" s="14" t="str">
        <x:v>CHEMBL3938107</x:v>
      </x:c>
      <x:c r="C49" s="14" t="str">
        <x:v>CHEMBL3938107</x:v>
      </x:c>
      <x:c r="D49" s="14" t="str">
        <x:v>16670405</x:v>
      </x:c>
      <x:c r="E49" s="14" t="str">
        <x:v>16670405</x:v>
      </x:c>
      <x:c r="F49" s="14" t="str">
        <x:v>CHEMBL3855278</x:v>
      </x:c>
      <x:c r="G49" s="14" t="str">
        <x:v>CHEMBL217</x:v>
      </x:c>
      <x:c r="H49" s="14" t="str">
        <x:v>CHEMBL3853329</x:v>
      </x:c>
      <x:c r="I49" s="14" t="str">
        <x:v>Cn1c(SCCCN2CC[C@]3(C[C@@H]3c3ccc(C(F)(F)F)cc3)C2)nnc1-c1cccnc1</x:v>
      </x:c>
      <x:c r="J49" s="14" t="str">
        <x:v>Cn1c(SCCCN2CC[C@]3(C[C@@H]3c3ccc(C(F)(F)F)cc3)C2)nnc1-c1cccnc1</x:v>
      </x:c>
      <x:c r="K49" s="14" t="str">
        <x:v>source_reported_pKi</x:v>
      </x:c>
      <x:c r="L49" s="15" t="n">
        <x:v>6.05</x:v>
      </x:c>
      <x:c r="M49" s="15" t="n">
        <x:v>891.2509381337459</x:v>
      </x:c>
      <x:c r="N49" s="15" t="n">
        <x:v>891.25</x:v>
      </x:c>
      <x:c r="O49" s="15" t="n">
        <x:v>6.050000457140078</x:v>
      </x:c>
      <x:c r="P49" s="16" t="n">
        <x:v>4.571400777919621e-7</x:v>
      </x:c>
      <x:c r="Q49" s="16" t="n">
        <x:v>-0.0009381337458762573</x:v>
      </x:c>
      <x:c r="R49" s="15" t="n">
        <x:v>0.00501</x:v>
      </x:c>
      <x:c r="S49" s="14" t="str">
        <x:v>Cn1c(SCCCN2CC[C@]3(C[C@@H]3c3ccc(C(F)(F)F)cc3)C2)nnc1-c1cccnc1</x:v>
      </x:c>
      <x:c r="T49" s="14" t="str">
        <x:v>Cn1c(SCCCN2CC[C@]3(C[C@@H]3c3ccc(C(F)(F)F)cc3)C2)nnc1-c1cccnc1</x:v>
      </x:c>
      <x:c r="U49" s="14" t="str">
        <x:v>ZDHMFNGMBGJLNF-OFNKIYASSA-N</x:v>
      </x:c>
      <x:c r="V49" s="14" t="str">
        <x:v>Cn1c(SCCCN2CCC3(CC3c3ccc(C(F)(F)F)cc3)C2)nnc1-c1cccnc1</x:v>
      </x:c>
      <x:c r="W49" s="14" t="str">
        <x:v>87c0c996e232691977260b40109235ecd04862f1f26c3b32addaaa4ba5c4e385</x:v>
      </x:c>
      <x:c r="X49" s="14" t="str">
        <x:v>c1ccc(C2CC23CCN(CCCSc2nnc(-c4cccnc4)[nH]2)C3)cc1</x:v>
      </x:c>
      <x:c r="Y49" s="14" t="str">
        <x:v>false</x:v>
      </x:c>
      <x:c r="Z49" s="17" t="n">
        <x:v>1</x:v>
      </x:c>
      <x:c r="AA49" s="14" t="str">
        <x:v>include</x:v>
      </x:c>
      <x:c r="AB49" s="14" t="str"/>
      <x:c r="AC49" s="14" t="str">
        <x:v>pKi</x:v>
      </x:c>
      <x:c r="AD49" s="14" t="str">
        <x:v>6.05</x:v>
      </x:c>
      <x:c r="AE49" s="14" t="str">
        <x:v>null</x:v>
      </x:c>
      <x:c r="AF49" s="14" t="str">
        <x:v>=</x:v>
      </x:c>
      <x:c r="AG49" s="14" t="str">
        <x:v>Ki</x:v>
      </x:c>
      <x:c r="AH49" s="15" t="n">
        <x:v>891.25</x:v>
      </x:c>
      <x:c r="AI49" s="14" t="str">
        <x:v>nM</x:v>
      </x:c>
      <x:c r="AJ49" s="14" t="str">
        <x:v>=</x:v>
      </x:c>
      <x:c r="AK49" s="15" t="n">
        <x:v>6.05</x:v>
      </x:c>
      <x:c r="AL49" s="17" t="n">
        <x:v>0</x:v>
      </x:c>
      <x:c r="AM49" s="14" t="str">
        <x:v>null</x:v>
      </x:c>
      <x:c r="AN49" s="14" t="str">
        <x:v>null</x:v>
      </x:c>
      <x:c r="AO49" s="14" t="str">
        <x:v>https://www.ebi.ac.uk/chembl/api/data/activity/16670405.json</x:v>
      </x:c>
    </x:row>
    <x:row r="50" ht="36" customHeight="1">
      <x:c r="A50" s="9" t="str">
        <x:v>BGJXBVUWLFEJNM-CVDCTZTESA-N</x:v>
      </x:c>
      <x:c r="B50" s="9" t="str">
        <x:v>CHEMBL3967683</x:v>
      </x:c>
      <x:c r="C50" s="9" t="str">
        <x:v>CHEMBL3967683</x:v>
      </x:c>
      <x:c r="D50" s="9" t="str">
        <x:v>16670406</x:v>
      </x:c>
      <x:c r="E50" s="9" t="str">
        <x:v>16670406</x:v>
      </x:c>
      <x:c r="F50" s="9" t="str">
        <x:v>CHEMBL3855278</x:v>
      </x:c>
      <x:c r="G50" s="9" t="str">
        <x:v>CHEMBL217</x:v>
      </x:c>
      <x:c r="H50" s="9" t="str">
        <x:v>CHEMBL3853329</x:v>
      </x:c>
      <x:c r="I50" s="9" t="str">
        <x:v>Cn1c(SCCCN2CC[C@]3(C[C@H]3c3ccc(C(F)(F)F)cc3)C2)nnc1-c1ccccn1</x:v>
      </x:c>
      <x:c r="J50" s="9" t="str">
        <x:v>Cn1c(SCCCN2CC[C@]3(C[C@H]3c3ccc(C(F)(F)F)cc3)C2)nnc1-c1ccccn1</x:v>
      </x:c>
      <x:c r="K50" s="9" t="str">
        <x:v>source_reported_pKi</x:v>
      </x:c>
      <x:c r="L50" s="11" t="n">
        <x:v>6.2</x:v>
      </x:c>
      <x:c r="M50" s="11" t="n">
        <x:v>630.957344480193</x:v>
      </x:c>
      <x:c r="N50" s="11" t="n">
        <x:v>630.96</x:v>
      </x:c>
      <x:c r="O50" s="11" t="n">
        <x:v>6.199998172182031</x:v>
      </x:c>
      <x:c r="P50" s="12" t="n">
        <x:v>-0.0000018278179689801277</x:v>
      </x:c>
      <x:c r="Q50" s="12" t="n">
        <x:v>0.002655519807035489</x:v>
      </x:c>
      <x:c r="R50" s="11" t="n">
        <x:v>0.00501</x:v>
      </x:c>
      <x:c r="S50" s="9" t="str">
        <x:v>Cn1c(SCCCN2CC[C@]3(C[C@H]3c3ccc(C(F)(F)F)cc3)C2)nnc1-c1ccccn1</x:v>
      </x:c>
      <x:c r="T50" s="9" t="str">
        <x:v>Cn1c(SCCCN2CC[C@]3(C[C@H]3c3ccc(C(F)(F)F)cc3)C2)nnc1-c1ccccn1</x:v>
      </x:c>
      <x:c r="U50" s="9" t="str">
        <x:v>BGJXBVUWLFEJNM-CVDCTZTESA-N</x:v>
      </x:c>
      <x:c r="V50" s="9" t="str">
        <x:v>Cn1c(SCCCN2CCC3(CC3c3ccc(C(F)(F)F)cc3)C2)nnc1-c1ccccn1</x:v>
      </x:c>
      <x:c r="W50" s="9" t="str">
        <x:v>f95ba44392a179a9568ecf385183c5f7270a941463f51ea3b9510151b7e68e02</x:v>
      </x:c>
      <x:c r="X50" s="9" t="str">
        <x:v>c1ccc(C2CC23CCN(CCCSc2nnc(-c4ccccn4)[nH]2)C3)cc1</x:v>
      </x:c>
      <x:c r="Y50" s="9" t="str">
        <x:v>false</x:v>
      </x:c>
      <x:c r="Z50" s="13" t="n">
        <x:v>1</x:v>
      </x:c>
      <x:c r="AA50" s="9" t="str">
        <x:v>include</x:v>
      </x:c>
      <x:c r="AB50" s="9" t="str"/>
      <x:c r="AC50" s="9" t="str">
        <x:v>pKi</x:v>
      </x:c>
      <x:c r="AD50" s="9" t="str">
        <x:v>6.2</x:v>
      </x:c>
      <x:c r="AE50" s="9" t="str">
        <x:v>null</x:v>
      </x:c>
      <x:c r="AF50" s="9" t="str">
        <x:v>=</x:v>
      </x:c>
      <x:c r="AG50" s="9" t="str">
        <x:v>Ki</x:v>
      </x:c>
      <x:c r="AH50" s="11" t="n">
        <x:v>630.96</x:v>
      </x:c>
      <x:c r="AI50" s="9" t="str">
        <x:v>nM</x:v>
      </x:c>
      <x:c r="AJ50" s="9" t="str">
        <x:v>=</x:v>
      </x:c>
      <x:c r="AK50" s="11" t="n">
        <x:v>6.2</x:v>
      </x:c>
      <x:c r="AL50" s="13" t="n">
        <x:v>0</x:v>
      </x:c>
      <x:c r="AM50" s="9" t="str">
        <x:v>null</x:v>
      </x:c>
      <x:c r="AN50" s="9" t="str">
        <x:v>null</x:v>
      </x:c>
      <x:c r="AO50" s="9" t="str">
        <x:v>https://www.ebi.ac.uk/chembl/api/data/activity/16670406.json</x:v>
      </x:c>
    </x:row>
    <x:row r="51" ht="36" customHeight="1">
      <x:c r="A51" s="14" t="str">
        <x:v>BGJXBVUWLFEJNM-XXBNENTESA-N</x:v>
      </x:c>
      <x:c r="B51" s="14" t="str">
        <x:v>CHEMBL3946901</x:v>
      </x:c>
      <x:c r="C51" s="14" t="str">
        <x:v>CHEMBL3946901</x:v>
      </x:c>
      <x:c r="D51" s="14" t="str">
        <x:v>16670407</x:v>
      </x:c>
      <x:c r="E51" s="14" t="str">
        <x:v>16670407</x:v>
      </x:c>
      <x:c r="F51" s="14" t="str">
        <x:v>CHEMBL3855278</x:v>
      </x:c>
      <x:c r="G51" s="14" t="str">
        <x:v>CHEMBL217</x:v>
      </x:c>
      <x:c r="H51" s="14" t="str">
        <x:v>CHEMBL3853329</x:v>
      </x:c>
      <x:c r="I51" s="14" t="str">
        <x:v>Cn1c(SCCCN2CC[C@]3(C[C@@H]3c3ccc(C(F)(F)F)cc3)C2)nnc1-c1ccccn1</x:v>
      </x:c>
      <x:c r="J51" s="14" t="str">
        <x:v>Cn1c(SCCCN2CC[C@]3(C[C@@H]3c3ccc(C(F)(F)F)cc3)C2)nnc1-c1ccccn1</x:v>
      </x:c>
      <x:c r="K51" s="14" t="str">
        <x:v>source_reported_pKi</x:v>
      </x:c>
      <x:c r="L51" s="15" t="n">
        <x:v>6.28</x:v>
      </x:c>
      <x:c r="M51" s="15" t="n">
        <x:v>524.8074602497722</x:v>
      </x:c>
      <x:c r="N51" s="15" t="n">
        <x:v>524.81</x:v>
      </x:c>
      <x:c r="O51" s="15" t="n">
        <x:v>6.279997898282849</x:v>
      </x:c>
      <x:c r="P51" s="16" t="n">
        <x:v>-0.0000021017171514259303</x:v>
      </x:c>
      <x:c r="Q51" s="16" t="n">
        <x:v>0.0025397502276973682</x:v>
      </x:c>
      <x:c r="R51" s="15" t="n">
        <x:v>0.00501</x:v>
      </x:c>
      <x:c r="S51" s="14" t="str">
        <x:v>Cn1c(SCCCN2CC[C@]3(C[C@@H]3c3ccc(C(F)(F)F)cc3)C2)nnc1-c1ccccn1</x:v>
      </x:c>
      <x:c r="T51" s="14" t="str">
        <x:v>Cn1c(SCCCN2CC[C@]3(C[C@@H]3c3ccc(C(F)(F)F)cc3)C2)nnc1-c1ccccn1</x:v>
      </x:c>
      <x:c r="U51" s="14" t="str">
        <x:v>BGJXBVUWLFEJNM-XXBNENTESA-N</x:v>
      </x:c>
      <x:c r="V51" s="14" t="str">
        <x:v>Cn1c(SCCCN2CCC3(CC3c3ccc(C(F)(F)F)cc3)C2)nnc1-c1ccccn1</x:v>
      </x:c>
      <x:c r="W51" s="14" t="str">
        <x:v>f95ba44392a179a9568ecf385183c5f7270a941463f51ea3b9510151b7e68e02</x:v>
      </x:c>
      <x:c r="X51" s="14" t="str">
        <x:v>c1ccc(C2CC23CCN(CCCSc2nnc(-c4ccccn4)[nH]2)C3)cc1</x:v>
      </x:c>
      <x:c r="Y51" s="14" t="str">
        <x:v>false</x:v>
      </x:c>
      <x:c r="Z51" s="17" t="n">
        <x:v>1</x:v>
      </x:c>
      <x:c r="AA51" s="14" t="str">
        <x:v>include</x:v>
      </x:c>
      <x:c r="AB51" s="14" t="str"/>
      <x:c r="AC51" s="14" t="str">
        <x:v>pKi</x:v>
      </x:c>
      <x:c r="AD51" s="14" t="str">
        <x:v>6.28</x:v>
      </x:c>
      <x:c r="AE51" s="14" t="str">
        <x:v>null</x:v>
      </x:c>
      <x:c r="AF51" s="14" t="str">
        <x:v>=</x:v>
      </x:c>
      <x:c r="AG51" s="14" t="str">
        <x:v>Ki</x:v>
      </x:c>
      <x:c r="AH51" s="15" t="n">
        <x:v>524.81</x:v>
      </x:c>
      <x:c r="AI51" s="14" t="str">
        <x:v>nM</x:v>
      </x:c>
      <x:c r="AJ51" s="14" t="str">
        <x:v>=</x:v>
      </x:c>
      <x:c r="AK51" s="15" t="n">
        <x:v>6.28</x:v>
      </x:c>
      <x:c r="AL51" s="17" t="n">
        <x:v>0</x:v>
      </x:c>
      <x:c r="AM51" s="14" t="str">
        <x:v>null</x:v>
      </x:c>
      <x:c r="AN51" s="14" t="str">
        <x:v>null</x:v>
      </x:c>
      <x:c r="AO51" s="14" t="str">
        <x:v>https://www.ebi.ac.uk/chembl/api/data/activity/16670407.json</x:v>
      </x:c>
    </x:row>
    <x:row r="52" ht="36" customHeight="1">
      <x:c r="A52" s="9" t="str">
        <x:v>GPDZHKOGLHALQL-AVRDEDQJSA-N</x:v>
      </x:c>
      <x:c r="B52" s="9" t="str">
        <x:v>CHEMBL3976192</x:v>
      </x:c>
      <x:c r="C52" s="9" t="str">
        <x:v>CHEMBL3976192</x:v>
      </x:c>
      <x:c r="D52" s="9" t="str">
        <x:v>16670408</x:v>
      </x:c>
      <x:c r="E52" s="9" t="str">
        <x:v>16670408</x:v>
      </x:c>
      <x:c r="F52" s="9" t="str">
        <x:v>CHEMBL3855278</x:v>
      </x:c>
      <x:c r="G52" s="9" t="str">
        <x:v>CHEMBL217</x:v>
      </x:c>
      <x:c r="H52" s="9" t="str">
        <x:v>CHEMBL3853329</x:v>
      </x:c>
      <x:c r="I52" s="9" t="str">
        <x:v>Cn1c(SCCCN2CC[C@]3(C[C@H]3c3ccc(C(F)(F)F)cc3)C2)nnc1-c1cnccn1</x:v>
      </x:c>
      <x:c r="J52" s="9" t="str">
        <x:v>Cn1c(SCCCN2CC[C@]3(C[C@H]3c3ccc(C(F)(F)F)cc3)C2)nnc1-c1cnccn1</x:v>
      </x:c>
      <x:c r="K52" s="9" t="str">
        <x:v>source_reported_pKi</x:v>
      </x:c>
      <x:c r="L52" s="11" t="n">
        <x:v>5.84</x:v>
      </x:c>
      <x:c r="M52" s="11" t="n">
        <x:v>1445.439770745928</x:v>
      </x:c>
      <x:c r="N52" s="11" t="n">
        <x:v>1445.44</x:v>
      </x:c>
      <x:c r="O52" s="11" t="n">
        <x:v>5.839999931118699</x:v>
      </x:c>
      <x:c r="P52" s="12" t="n">
        <x:v>-6.888130066329268e-8</x:v>
      </x:c>
      <x:c r="Q52" s="12" t="n">
        <x:v>0.00022925407211005222</x:v>
      </x:c>
      <x:c r="R52" s="11" t="n">
        <x:v>0.00501</x:v>
      </x:c>
      <x:c r="S52" s="9" t="str">
        <x:v>Cn1c(SCCCN2CC[C@]3(C[C@H]3c3ccc(C(F)(F)F)cc3)C2)nnc1-c1cnccn1</x:v>
      </x:c>
      <x:c r="T52" s="9" t="str">
        <x:v>Cn1c(SCCCN2CC[C@]3(C[C@H]3c3ccc(C(F)(F)F)cc3)C2)nnc1-c1cnccn1</x:v>
      </x:c>
      <x:c r="U52" s="9" t="str">
        <x:v>GPDZHKOGLHALQL-AVRDEDQJSA-N</x:v>
      </x:c>
      <x:c r="V52" s="9" t="str">
        <x:v>Cn1c(SCCCN2CCC3(CC3c3ccc(C(F)(F)F)cc3)C2)nnc1-c1cnccn1</x:v>
      </x:c>
      <x:c r="W52" s="9" t="str">
        <x:v>bf8c337e163c734818a73277dfa77802c4776f2aeee9aac72227f5c033905c48</x:v>
      </x:c>
      <x:c r="X52" s="9" t="str">
        <x:v>c1ccc(C2CC23CCN(CCCSc2nnc(-c4cnccn4)[nH]2)C3)cc1</x:v>
      </x:c>
      <x:c r="Y52" s="9" t="str">
        <x:v>false</x:v>
      </x:c>
      <x:c r="Z52" s="13" t="n">
        <x:v>1</x:v>
      </x:c>
      <x:c r="AA52" s="9" t="str">
        <x:v>include</x:v>
      </x:c>
      <x:c r="AB52" s="9" t="str"/>
      <x:c r="AC52" s="9" t="str">
        <x:v>pKi</x:v>
      </x:c>
      <x:c r="AD52" s="9" t="str">
        <x:v>5.84</x:v>
      </x:c>
      <x:c r="AE52" s="9" t="str">
        <x:v>null</x:v>
      </x:c>
      <x:c r="AF52" s="9" t="str">
        <x:v>=</x:v>
      </x:c>
      <x:c r="AG52" s="9" t="str">
        <x:v>Ki</x:v>
      </x:c>
      <x:c r="AH52" s="11" t="n">
        <x:v>1445.44</x:v>
      </x:c>
      <x:c r="AI52" s="9" t="str">
        <x:v>nM</x:v>
      </x:c>
      <x:c r="AJ52" s="9" t="str">
        <x:v>=</x:v>
      </x:c>
      <x:c r="AK52" s="11" t="n">
        <x:v>5.84</x:v>
      </x:c>
      <x:c r="AL52" s="13" t="n">
        <x:v>0</x:v>
      </x:c>
      <x:c r="AM52" s="9" t="str">
        <x:v>null</x:v>
      </x:c>
      <x:c r="AN52" s="9" t="str">
        <x:v>null</x:v>
      </x:c>
      <x:c r="AO52" s="9" t="str">
        <x:v>https://www.ebi.ac.uk/chembl/api/data/activity/16670408.json</x:v>
      </x:c>
    </x:row>
    <x:row r="53" ht="36" customHeight="1">
      <x:c r="A53" s="14" t="str">
        <x:v>GPDZHKOGLHALQL-GCJKJVERSA-N</x:v>
      </x:c>
      <x:c r="B53" s="14" t="str">
        <x:v>CHEMBL3955608</x:v>
      </x:c>
      <x:c r="C53" s="14" t="str">
        <x:v>CHEMBL3955608</x:v>
      </x:c>
      <x:c r="D53" s="14" t="str">
        <x:v>16670409</x:v>
      </x:c>
      <x:c r="E53" s="14" t="str">
        <x:v>16670409</x:v>
      </x:c>
      <x:c r="F53" s="14" t="str">
        <x:v>CHEMBL3855278</x:v>
      </x:c>
      <x:c r="G53" s="14" t="str">
        <x:v>CHEMBL217</x:v>
      </x:c>
      <x:c r="H53" s="14" t="str">
        <x:v>CHEMBL3853329</x:v>
      </x:c>
      <x:c r="I53" s="14" t="str">
        <x:v>Cn1c(SCCCN2CC[C@]3(C[C@@H]3c3ccc(C(F)(F)F)cc3)C2)nnc1-c1cnccn1</x:v>
      </x:c>
      <x:c r="J53" s="14" t="str">
        <x:v>Cn1c(SCCCN2CC[C@]3(C[C@@H]3c3ccc(C(F)(F)F)cc3)C2)nnc1-c1cnccn1</x:v>
      </x:c>
      <x:c r="K53" s="14" t="str">
        <x:v>source_reported_pKi</x:v>
      </x:c>
      <x:c r="L53" s="15" t="n">
        <x:v>6.33</x:v>
      </x:c>
      <x:c r="M53" s="15" t="n">
        <x:v>467.73514128719813</x:v>
      </x:c>
      <x:c r="N53" s="15" t="n">
        <x:v>467.74</x:v>
      </x:c>
      <x:c r="O53" s="15" t="n">
        <x:v>6.329995488683631</x:v>
      </x:c>
      <x:c r="P53" s="16" t="n">
        <x:v>-0.0000045113163693599745</x:v>
      </x:c>
      <x:c r="Q53" s="16" t="n">
        <x:v>0.0048587128018766634</x:v>
      </x:c>
      <x:c r="R53" s="15" t="n">
        <x:v>0.00501</x:v>
      </x:c>
      <x:c r="S53" s="14" t="str">
        <x:v>Cn1c(SCCCN2CC[C@]3(C[C@@H]3c3ccc(C(F)(F)F)cc3)C2)nnc1-c1cnccn1</x:v>
      </x:c>
      <x:c r="T53" s="14" t="str">
        <x:v>Cn1c(SCCCN2CC[C@]3(C[C@@H]3c3ccc(C(F)(F)F)cc3)C2)nnc1-c1cnccn1</x:v>
      </x:c>
      <x:c r="U53" s="14" t="str">
        <x:v>GPDZHKOGLHALQL-GCJKJVERSA-N</x:v>
      </x:c>
      <x:c r="V53" s="14" t="str">
        <x:v>Cn1c(SCCCN2CCC3(CC3c3ccc(C(F)(F)F)cc3)C2)nnc1-c1cnccn1</x:v>
      </x:c>
      <x:c r="W53" s="14" t="str">
        <x:v>bf8c337e163c734818a73277dfa77802c4776f2aeee9aac72227f5c033905c48</x:v>
      </x:c>
      <x:c r="X53" s="14" t="str">
        <x:v>c1ccc(C2CC23CCN(CCCSc2nnc(-c4cnccn4)[nH]2)C3)cc1</x:v>
      </x:c>
      <x:c r="Y53" s="14" t="str">
        <x:v>false</x:v>
      </x:c>
      <x:c r="Z53" s="17" t="n">
        <x:v>1</x:v>
      </x:c>
      <x:c r="AA53" s="14" t="str">
        <x:v>include</x:v>
      </x:c>
      <x:c r="AB53" s="14" t="str"/>
      <x:c r="AC53" s="14" t="str">
        <x:v>pKi</x:v>
      </x:c>
      <x:c r="AD53" s="14" t="str">
        <x:v>6.33</x:v>
      </x:c>
      <x:c r="AE53" s="14" t="str">
        <x:v>null</x:v>
      </x:c>
      <x:c r="AF53" s="14" t="str">
        <x:v>=</x:v>
      </x:c>
      <x:c r="AG53" s="14" t="str">
        <x:v>Ki</x:v>
      </x:c>
      <x:c r="AH53" s="15" t="n">
        <x:v>467.74</x:v>
      </x:c>
      <x:c r="AI53" s="14" t="str">
        <x:v>nM</x:v>
      </x:c>
      <x:c r="AJ53" s="14" t="str">
        <x:v>=</x:v>
      </x:c>
      <x:c r="AK53" s="15" t="n">
        <x:v>6.33</x:v>
      </x:c>
      <x:c r="AL53" s="17" t="n">
        <x:v>0</x:v>
      </x:c>
      <x:c r="AM53" s="14" t="str">
        <x:v>null</x:v>
      </x:c>
      <x:c r="AN53" s="14" t="str">
        <x:v>null</x:v>
      </x:c>
      <x:c r="AO53" s="14" t="str">
        <x:v>https://www.ebi.ac.uk/chembl/api/data/activity/16670409.json</x:v>
      </x:c>
    </x:row>
    <x:row r="54" ht="36" customHeight="1">
      <x:c r="A54" s="9" t="str">
        <x:v>LKIZJVWLCHAZTJ-AVRDEDQJSA-N</x:v>
      </x:c>
      <x:c r="B54" s="9" t="str">
        <x:v>CHEMBL3984236</x:v>
      </x:c>
      <x:c r="C54" s="9" t="str">
        <x:v>CHEMBL3984236</x:v>
      </x:c>
      <x:c r="D54" s="9" t="str">
        <x:v>16670410</x:v>
      </x:c>
      <x:c r="E54" s="9" t="str">
        <x:v>16670410</x:v>
      </x:c>
      <x:c r="F54" s="9" t="str">
        <x:v>CHEMBL3855278</x:v>
      </x:c>
      <x:c r="G54" s="9" t="str">
        <x:v>CHEMBL217</x:v>
      </x:c>
      <x:c r="H54" s="9" t="str">
        <x:v>CHEMBL3853329</x:v>
      </x:c>
      <x:c r="I54" s="9" t="str">
        <x:v>Cn1c(SCCCN2CC[C@]3(C[C@H]3c3ccc(C(F)(F)F)cc3)C2)nnc1-c1ccncn1</x:v>
      </x:c>
      <x:c r="J54" s="9" t="str">
        <x:v>Cn1c(SCCCN2CC[C@]3(C[C@H]3c3ccc(C(F)(F)F)cc3)C2)nnc1-c1ccncn1</x:v>
      </x:c>
      <x:c r="K54" s="9" t="str">
        <x:v>source_reported_pKi</x:v>
      </x:c>
      <x:c r="L54" s="11" t="n">
        <x:v>6.36</x:v>
      </x:c>
      <x:c r="M54" s="11" t="n">
        <x:v>436.51583224016565</x:v>
      </x:c>
      <x:c r="N54" s="11" t="n">
        <x:v>436.52</x:v>
      </x:c>
      <x:c r="O54" s="11" t="n">
        <x:v>6.35999585346894</x:v>
      </x:c>
      <x:c r="P54" s="12" t="n">
        <x:v>-0.000004146531060733594</x:v>
      </x:c>
      <x:c r="Q54" s="12" t="n">
        <x:v>0.004167759834331264</x:v>
      </x:c>
      <x:c r="R54" s="11" t="n">
        <x:v>0.00501</x:v>
      </x:c>
      <x:c r="S54" s="9" t="str">
        <x:v>Cn1c(SCCCN2CC[C@]3(C[C@H]3c3ccc(C(F)(F)F)cc3)C2)nnc1-c1ccncn1</x:v>
      </x:c>
      <x:c r="T54" s="9" t="str">
        <x:v>Cn1c(SCCCN2CC[C@]3(C[C@H]3c3ccc(C(F)(F)F)cc3)C2)nnc1-c1ccncn1</x:v>
      </x:c>
      <x:c r="U54" s="9" t="str">
        <x:v>LKIZJVWLCHAZTJ-AVRDEDQJSA-N</x:v>
      </x:c>
      <x:c r="V54" s="9" t="str">
        <x:v>Cn1c(SCCCN2CCC3(CC3c3ccc(C(F)(F)F)cc3)C2)nnc1-c1ccncn1</x:v>
      </x:c>
      <x:c r="W54" s="9" t="str">
        <x:v>2e58078d38ef706dda1dd5c2ffc7a8906a06379b0de3f8a8e062e721b5075132</x:v>
      </x:c>
      <x:c r="X54" s="9" t="str">
        <x:v>c1ccc(C2CC23CCN(CCCSc2nnc(-c4ccncn4)[nH]2)C3)cc1</x:v>
      </x:c>
      <x:c r="Y54" s="9" t="str">
        <x:v>false</x:v>
      </x:c>
      <x:c r="Z54" s="13" t="n">
        <x:v>1</x:v>
      </x:c>
      <x:c r="AA54" s="9" t="str">
        <x:v>include</x:v>
      </x:c>
      <x:c r="AB54" s="9" t="str"/>
      <x:c r="AC54" s="9" t="str">
        <x:v>pKi</x:v>
      </x:c>
      <x:c r="AD54" s="9" t="str">
        <x:v>6.36</x:v>
      </x:c>
      <x:c r="AE54" s="9" t="str">
        <x:v>null</x:v>
      </x:c>
      <x:c r="AF54" s="9" t="str">
        <x:v>=</x:v>
      </x:c>
      <x:c r="AG54" s="9" t="str">
        <x:v>Ki</x:v>
      </x:c>
      <x:c r="AH54" s="11" t="n">
        <x:v>436.52</x:v>
      </x:c>
      <x:c r="AI54" s="9" t="str">
        <x:v>nM</x:v>
      </x:c>
      <x:c r="AJ54" s="9" t="str">
        <x:v>=</x:v>
      </x:c>
      <x:c r="AK54" s="11" t="n">
        <x:v>6.36</x:v>
      </x:c>
      <x:c r="AL54" s="13" t="n">
        <x:v>0</x:v>
      </x:c>
      <x:c r="AM54" s="9" t="str">
        <x:v>null</x:v>
      </x:c>
      <x:c r="AN54" s="9" t="str">
        <x:v>null</x:v>
      </x:c>
      <x:c r="AO54" s="9" t="str">
        <x:v>https://www.ebi.ac.uk/chembl/api/data/activity/16670410.json</x:v>
      </x:c>
    </x:row>
    <x:row r="55" ht="36" customHeight="1">
      <x:c r="A55" s="14" t="str">
        <x:v>LKIZJVWLCHAZTJ-GCJKJVERSA-N</x:v>
      </x:c>
      <x:c r="B55" s="14" t="str">
        <x:v>CHEMBL3958309</x:v>
      </x:c>
      <x:c r="C55" s="14" t="str">
        <x:v>CHEMBL3958309</x:v>
      </x:c>
      <x:c r="D55" s="14" t="str">
        <x:v>16670411</x:v>
      </x:c>
      <x:c r="E55" s="14" t="str">
        <x:v>16670411</x:v>
      </x:c>
      <x:c r="F55" s="14" t="str">
        <x:v>CHEMBL3855278</x:v>
      </x:c>
      <x:c r="G55" s="14" t="str">
        <x:v>CHEMBL217</x:v>
      </x:c>
      <x:c r="H55" s="14" t="str">
        <x:v>CHEMBL3853329</x:v>
      </x:c>
      <x:c r="I55" s="14" t="str">
        <x:v>Cn1c(SCCCN2CC[C@]3(C[C@@H]3c3ccc(C(F)(F)F)cc3)C2)nnc1-c1ccncn1</x:v>
      </x:c>
      <x:c r="J55" s="14" t="str">
        <x:v>Cn1c(SCCCN2CC[C@]3(C[C@@H]3c3ccc(C(F)(F)F)cc3)C2)nnc1-c1ccncn1</x:v>
      </x:c>
      <x:c r="K55" s="14" t="str">
        <x:v>source_reported_pKi</x:v>
      </x:c>
      <x:c r="L55" s="15" t="n">
        <x:v>6.53</x:v>
      </x:c>
      <x:c r="M55" s="15" t="n">
        <x:v>295.1209226666384</x:v>
      </x:c>
      <x:c r="N55" s="15" t="n">
        <x:v>295.12</x:v>
      </x:c>
      <x:c r="O55" s="15" t="n">
        <x:v>6.530001357781253</x:v>
      </x:c>
      <x:c r="P55" s="16" t="n">
        <x:v>0.0000013577812527643118</x:v>
      </x:c>
      <x:c r="Q55" s="16" t="n">
        <x:v>-0.0009226666384165583</x:v>
      </x:c>
      <x:c r="R55" s="15" t="n">
        <x:v>0.00501</x:v>
      </x:c>
      <x:c r="S55" s="14" t="str">
        <x:v>Cn1c(SCCCN2CC[C@]3(C[C@@H]3c3ccc(C(F)(F)F)cc3)C2)nnc1-c1ccncn1</x:v>
      </x:c>
      <x:c r="T55" s="14" t="str">
        <x:v>Cn1c(SCCCN2CC[C@]3(C[C@@H]3c3ccc(C(F)(F)F)cc3)C2)nnc1-c1ccncn1</x:v>
      </x:c>
      <x:c r="U55" s="14" t="str">
        <x:v>LKIZJVWLCHAZTJ-GCJKJVERSA-N</x:v>
      </x:c>
      <x:c r="V55" s="14" t="str">
        <x:v>Cn1c(SCCCN2CCC3(CC3c3ccc(C(F)(F)F)cc3)C2)nnc1-c1ccncn1</x:v>
      </x:c>
      <x:c r="W55" s="14" t="str">
        <x:v>2e58078d38ef706dda1dd5c2ffc7a8906a06379b0de3f8a8e062e721b5075132</x:v>
      </x:c>
      <x:c r="X55" s="14" t="str">
        <x:v>c1ccc(C2CC23CCN(CCCSc2nnc(-c4ccncn4)[nH]2)C3)cc1</x:v>
      </x:c>
      <x:c r="Y55" s="14" t="str">
        <x:v>false</x:v>
      </x:c>
      <x:c r="Z55" s="17" t="n">
        <x:v>1</x:v>
      </x:c>
      <x:c r="AA55" s="14" t="str">
        <x:v>include</x:v>
      </x:c>
      <x:c r="AB55" s="14" t="str"/>
      <x:c r="AC55" s="14" t="str">
        <x:v>pKi</x:v>
      </x:c>
      <x:c r="AD55" s="14" t="str">
        <x:v>6.53</x:v>
      </x:c>
      <x:c r="AE55" s="14" t="str">
        <x:v>null</x:v>
      </x:c>
      <x:c r="AF55" s="14" t="str">
        <x:v>=</x:v>
      </x:c>
      <x:c r="AG55" s="14" t="str">
        <x:v>Ki</x:v>
      </x:c>
      <x:c r="AH55" s="15" t="n">
        <x:v>295.12</x:v>
      </x:c>
      <x:c r="AI55" s="14" t="str">
        <x:v>nM</x:v>
      </x:c>
      <x:c r="AJ55" s="14" t="str">
        <x:v>=</x:v>
      </x:c>
      <x:c r="AK55" s="15" t="n">
        <x:v>6.53</x:v>
      </x:c>
      <x:c r="AL55" s="17" t="n">
        <x:v>0</x:v>
      </x:c>
      <x:c r="AM55" s="14" t="str">
        <x:v>null</x:v>
      </x:c>
      <x:c r="AN55" s="14" t="str">
        <x:v>null</x:v>
      </x:c>
      <x:c r="AO55" s="14" t="str">
        <x:v>https://www.ebi.ac.uk/chembl/api/data/activity/16670411.json</x:v>
      </x:c>
    </x:row>
    <x:row r="56" ht="36" customHeight="1">
      <x:c r="A56" s="9" t="str">
        <x:v>USSJQLOQXQBGTM-AVRDEDQJSA-N</x:v>
      </x:c>
      <x:c r="B56" s="9" t="str">
        <x:v>CHEMBL3930825</x:v>
      </x:c>
      <x:c r="C56" s="9" t="str">
        <x:v>CHEMBL3930825</x:v>
      </x:c>
      <x:c r="D56" s="9" t="str">
        <x:v>16670412</x:v>
      </x:c>
      <x:c r="E56" s="9" t="str">
        <x:v>16670412</x:v>
      </x:c>
      <x:c r="F56" s="9" t="str">
        <x:v>CHEMBL3855278</x:v>
      </x:c>
      <x:c r="G56" s="9" t="str">
        <x:v>CHEMBL217</x:v>
      </x:c>
      <x:c r="H56" s="9" t="str">
        <x:v>CHEMBL3853329</x:v>
      </x:c>
      <x:c r="I56" s="9" t="str">
        <x:v>Cn1c(SCCCN2CC[C@]3(C[C@H]3c3ccc(C(F)(F)F)cc3)C2)nnc1-c1cccnn1</x:v>
      </x:c>
      <x:c r="J56" s="9" t="str">
        <x:v>Cn1c(SCCCN2CC[C@]3(C[C@H]3c3ccc(C(F)(F)F)cc3)C2)nnc1-c1cccnn1</x:v>
      </x:c>
      <x:c r="K56" s="9" t="str">
        <x:v>source_reported_pKi</x:v>
      </x:c>
      <x:c r="L56" s="11" t="n">
        <x:v>5.75</x:v>
      </x:c>
      <x:c r="M56" s="11" t="n">
        <x:v>1778.2794100389228</x:v>
      </x:c>
      <x:c r="N56" s="11" t="n">
        <x:v>1778.28</x:v>
      </x:c>
      <x:c r="O56" s="11" t="n">
        <x:v>5.749999855918706</x:v>
      </x:c>
      <x:c r="P56" s="12" t="n">
        <x:v>-1.4408129356269228e-7</x:v>
      </x:c>
      <x:c r="Q56" s="12" t="n">
        <x:v>0.0005899610771393782</x:v>
      </x:c>
      <x:c r="R56" s="11" t="n">
        <x:v>0.00501</x:v>
      </x:c>
      <x:c r="S56" s="9" t="str">
        <x:v>Cn1c(SCCCN2CC[C@]3(C[C@H]3c3ccc(C(F)(F)F)cc3)C2)nnc1-c1cccnn1</x:v>
      </x:c>
      <x:c r="T56" s="9" t="str">
        <x:v>Cn1c(SCCCN2CC[C@]3(C[C@H]3c3ccc(C(F)(F)F)cc3)C2)nnc1-c1cccnn1</x:v>
      </x:c>
      <x:c r="U56" s="9" t="str">
        <x:v>USSJQLOQXQBGTM-AVRDEDQJSA-N</x:v>
      </x:c>
      <x:c r="V56" s="9" t="str">
        <x:v>Cn1c(SCCCN2CCC3(CC3c3ccc(C(F)(F)F)cc3)C2)nnc1-c1cccnn1</x:v>
      </x:c>
      <x:c r="W56" s="9" t="str">
        <x:v>356b794ceb6c6f7983e56fd1052b5fe303cb17c1c8052cc68a7c9c5de14d7d47</x:v>
      </x:c>
      <x:c r="X56" s="9" t="str">
        <x:v>c1ccc(C2CC23CCN(CCCSc2nnc(-c4cccnn4)[nH]2)C3)cc1</x:v>
      </x:c>
      <x:c r="Y56" s="9" t="str">
        <x:v>false</x:v>
      </x:c>
      <x:c r="Z56" s="13" t="n">
        <x:v>1</x:v>
      </x:c>
      <x:c r="AA56" s="9" t="str">
        <x:v>include</x:v>
      </x:c>
      <x:c r="AB56" s="9" t="str"/>
      <x:c r="AC56" s="9" t="str">
        <x:v>pKi</x:v>
      </x:c>
      <x:c r="AD56" s="9" t="str">
        <x:v>5.75</x:v>
      </x:c>
      <x:c r="AE56" s="9" t="str">
        <x:v>null</x:v>
      </x:c>
      <x:c r="AF56" s="9" t="str">
        <x:v>=</x:v>
      </x:c>
      <x:c r="AG56" s="9" t="str">
        <x:v>Ki</x:v>
      </x:c>
      <x:c r="AH56" s="11" t="n">
        <x:v>1778.28</x:v>
      </x:c>
      <x:c r="AI56" s="9" t="str">
        <x:v>nM</x:v>
      </x:c>
      <x:c r="AJ56" s="9" t="str">
        <x:v>=</x:v>
      </x:c>
      <x:c r="AK56" s="11" t="n">
        <x:v>5.75</x:v>
      </x:c>
      <x:c r="AL56" s="13" t="n">
        <x:v>0</x:v>
      </x:c>
      <x:c r="AM56" s="9" t="str">
        <x:v>null</x:v>
      </x:c>
      <x:c r="AN56" s="9" t="str">
        <x:v>null</x:v>
      </x:c>
      <x:c r="AO56" s="9" t="str">
        <x:v>https://www.ebi.ac.uk/chembl/api/data/activity/16670412.json</x:v>
      </x:c>
    </x:row>
    <x:row r="57" ht="36" customHeight="1">
      <x:c r="A57" s="14" t="str">
        <x:v>USSJQLOQXQBGTM-GCJKJVERSA-N</x:v>
      </x:c>
      <x:c r="B57" s="14" t="str">
        <x:v>CHEMBL3969386</x:v>
      </x:c>
      <x:c r="C57" s="14" t="str">
        <x:v>CHEMBL3969386</x:v>
      </x:c>
      <x:c r="D57" s="14" t="str">
        <x:v>16670413</x:v>
      </x:c>
      <x:c r="E57" s="14" t="str">
        <x:v>16670413</x:v>
      </x:c>
      <x:c r="F57" s="14" t="str">
        <x:v>CHEMBL3855278</x:v>
      </x:c>
      <x:c r="G57" s="14" t="str">
        <x:v>CHEMBL217</x:v>
      </x:c>
      <x:c r="H57" s="14" t="str">
        <x:v>CHEMBL3853329</x:v>
      </x:c>
      <x:c r="I57" s="14" t="str">
        <x:v>Cn1c(SCCCN2CC[C@]3(C[C@@H]3c3ccc(C(F)(F)F)cc3)C2)nnc1-c1cccnn1</x:v>
      </x:c>
      <x:c r="J57" s="14" t="str">
        <x:v>Cn1c(SCCCN2CC[C@]3(C[C@@H]3c3ccc(C(F)(F)F)cc3)C2)nnc1-c1cccnn1</x:v>
      </x:c>
      <x:c r="K57" s="14" t="str">
        <x:v>source_reported_pKi</x:v>
      </x:c>
      <x:c r="L57" s="15" t="n">
        <x:v>5.86</x:v>
      </x:c>
      <x:c r="M57" s="15" t="n">
        <x:v>1380.3842646028838</x:v>
      </x:c>
      <x:c r="N57" s="15" t="n">
        <x:v>1380.38</x:v>
      </x:c>
      <x:c r="O57" s="15" t="n">
        <x:v>5.860001341725205</x:v>
      </x:c>
      <x:c r="P57" s="16" t="n">
        <x:v>0.0000013417252047176476</x:v>
      </x:c>
      <x:c r="Q57" s="16" t="n">
        <x:v>-0.004264602883722546</x:v>
      </x:c>
      <x:c r="R57" s="15" t="n">
        <x:v>0.00501</x:v>
      </x:c>
      <x:c r="S57" s="14" t="str">
        <x:v>Cn1c(SCCCN2CC[C@]3(C[C@@H]3c3ccc(C(F)(F)F)cc3)C2)nnc1-c1cccnn1</x:v>
      </x:c>
      <x:c r="T57" s="14" t="str">
        <x:v>Cn1c(SCCCN2CC[C@]3(C[C@@H]3c3ccc(C(F)(F)F)cc3)C2)nnc1-c1cccnn1</x:v>
      </x:c>
      <x:c r="U57" s="14" t="str">
        <x:v>USSJQLOQXQBGTM-GCJKJVERSA-N</x:v>
      </x:c>
      <x:c r="V57" s="14" t="str">
        <x:v>Cn1c(SCCCN2CCC3(CC3c3ccc(C(F)(F)F)cc3)C2)nnc1-c1cccnn1</x:v>
      </x:c>
      <x:c r="W57" s="14" t="str">
        <x:v>356b794ceb6c6f7983e56fd1052b5fe303cb17c1c8052cc68a7c9c5de14d7d47</x:v>
      </x:c>
      <x:c r="X57" s="14" t="str">
        <x:v>c1ccc(C2CC23CCN(CCCSc2nnc(-c4cccnn4)[nH]2)C3)cc1</x:v>
      </x:c>
      <x:c r="Y57" s="14" t="str">
        <x:v>false</x:v>
      </x:c>
      <x:c r="Z57" s="17" t="n">
        <x:v>1</x:v>
      </x:c>
      <x:c r="AA57" s="14" t="str">
        <x:v>include</x:v>
      </x:c>
      <x:c r="AB57" s="14" t="str"/>
      <x:c r="AC57" s="14" t="str">
        <x:v>pKi</x:v>
      </x:c>
      <x:c r="AD57" s="14" t="str">
        <x:v>5.86</x:v>
      </x:c>
      <x:c r="AE57" s="14" t="str">
        <x:v>null</x:v>
      </x:c>
      <x:c r="AF57" s="14" t="str">
        <x:v>=</x:v>
      </x:c>
      <x:c r="AG57" s="14" t="str">
        <x:v>Ki</x:v>
      </x:c>
      <x:c r="AH57" s="15" t="n">
        <x:v>1380.38</x:v>
      </x:c>
      <x:c r="AI57" s="14" t="str">
        <x:v>nM</x:v>
      </x:c>
      <x:c r="AJ57" s="14" t="str">
        <x:v>=</x:v>
      </x:c>
      <x:c r="AK57" s="15" t="n">
        <x:v>5.86</x:v>
      </x:c>
      <x:c r="AL57" s="17" t="n">
        <x:v>0</x:v>
      </x:c>
      <x:c r="AM57" s="14" t="str">
        <x:v>null</x:v>
      </x:c>
      <x:c r="AN57" s="14" t="str">
        <x:v>null</x:v>
      </x:c>
      <x:c r="AO57" s="14" t="str">
        <x:v>https://www.ebi.ac.uk/chembl/api/data/activity/16670413.json</x:v>
      </x:c>
    </x:row>
    <x:row r="58" ht="36" customHeight="1">
      <x:c r="A58" s="9" t="str">
        <x:v>ACKJXZGTUCARLB-UGKGYDQZSA-N</x:v>
      </x:c>
      <x:c r="B58" s="9" t="str">
        <x:v>CHEMBL3939830</x:v>
      </x:c>
      <x:c r="C58" s="9" t="str">
        <x:v>CHEMBL3939830</x:v>
      </x:c>
      <x:c r="D58" s="9" t="str">
        <x:v>16670414</x:v>
      </x:c>
      <x:c r="E58" s="9" t="str">
        <x:v>16670414</x:v>
      </x:c>
      <x:c r="F58" s="9" t="str">
        <x:v>CHEMBL3855278</x:v>
      </x:c>
      <x:c r="G58" s="9" t="str">
        <x:v>CHEMBL217</x:v>
      </x:c>
      <x:c r="H58" s="9" t="str">
        <x:v>CHEMBL3853329</x:v>
      </x:c>
      <x:c r="I58" s="9" t="str">
        <x:v>Cn1c(SCCCN2CC[C@]3(C[C@H]3c3ccc(C(F)(F)F)cc3)C2)nnc1-c1ccnnc1</x:v>
      </x:c>
      <x:c r="J58" s="9" t="str">
        <x:v>Cn1c(SCCCN2CC[C@]3(C[C@H]3c3ccc(C(F)(F)F)cc3)C2)nnc1-c1ccnnc1</x:v>
      </x:c>
      <x:c r="K58" s="9" t="str">
        <x:v>source_reported_pKi</x:v>
      </x:c>
      <x:c r="L58" s="11" t="n">
        <x:v>5.59</x:v>
      </x:c>
      <x:c r="M58" s="11" t="n">
        <x:v>2570.3957827688646</x:v>
      </x:c>
      <x:c r="N58" s="11" t="n">
        <x:v>2570.4</x:v>
      </x:c>
      <x:c r="O58" s="11" t="n">
        <x:v>5.589999287456538</x:v>
      </x:c>
      <x:c r="P58" s="12" t="n">
        <x:v>-7.125434615673498e-7</x:v>
      </x:c>
      <x:c r="Q58" s="12" t="n">
        <x:v>0.004217231135498878</x:v>
      </x:c>
      <x:c r="R58" s="11" t="n">
        <x:v>0.00501</x:v>
      </x:c>
      <x:c r="S58" s="9" t="str">
        <x:v>Cn1c(SCCCN2CC[C@]3(C[C@H]3c3ccc(C(F)(F)F)cc3)C2)nnc1-c1ccnnc1</x:v>
      </x:c>
      <x:c r="T58" s="9" t="str">
        <x:v>Cn1c(SCCCN2CC[C@]3(C[C@H]3c3ccc(C(F)(F)F)cc3)C2)nnc1-c1ccnnc1</x:v>
      </x:c>
      <x:c r="U58" s="9" t="str">
        <x:v>ACKJXZGTUCARLB-UGKGYDQZSA-N</x:v>
      </x:c>
      <x:c r="V58" s="9" t="str">
        <x:v>Cn1c(SCCCN2CCC3(CC3c3ccc(C(F)(F)F)cc3)C2)nnc1-c1ccnnc1</x:v>
      </x:c>
      <x:c r="W58" s="9" t="str">
        <x:v>21122fd737b5488cc124d930b16b7e37c6e78e3ebc8d468bc844d995bc045290</x:v>
      </x:c>
      <x:c r="X58" s="9" t="str">
        <x:v>c1ccc(C2CC23CCN(CCCSc2nnc(-c4ccnnc4)[nH]2)C3)cc1</x:v>
      </x:c>
      <x:c r="Y58" s="9" t="str">
        <x:v>false</x:v>
      </x:c>
      <x:c r="Z58" s="13" t="n">
        <x:v>1</x:v>
      </x:c>
      <x:c r="AA58" s="9" t="str">
        <x:v>include</x:v>
      </x:c>
      <x:c r="AB58" s="9" t="str"/>
      <x:c r="AC58" s="9" t="str">
        <x:v>pKi</x:v>
      </x:c>
      <x:c r="AD58" s="9" t="str">
        <x:v>5.59</x:v>
      </x:c>
      <x:c r="AE58" s="9" t="str">
        <x:v>null</x:v>
      </x:c>
      <x:c r="AF58" s="9" t="str">
        <x:v>=</x:v>
      </x:c>
      <x:c r="AG58" s="9" t="str">
        <x:v>Ki</x:v>
      </x:c>
      <x:c r="AH58" s="11" t="n">
        <x:v>2570.4</x:v>
      </x:c>
      <x:c r="AI58" s="9" t="str">
        <x:v>nM</x:v>
      </x:c>
      <x:c r="AJ58" s="9" t="str">
        <x:v>=</x:v>
      </x:c>
      <x:c r="AK58" s="11" t="n">
        <x:v>5.59</x:v>
      </x:c>
      <x:c r="AL58" s="13" t="n">
        <x:v>0</x:v>
      </x:c>
      <x:c r="AM58" s="9" t="str">
        <x:v>null</x:v>
      </x:c>
      <x:c r="AN58" s="9" t="str">
        <x:v>null</x:v>
      </x:c>
      <x:c r="AO58" s="9" t="str">
        <x:v>https://www.ebi.ac.uk/chembl/api/data/activity/16670414.json</x:v>
      </x:c>
    </x:row>
    <x:row r="59" ht="36" customHeight="1">
      <x:c r="A59" s="14" t="str">
        <x:v>ACKJXZGTUCARLB-KNQAVFIVSA-N</x:v>
      </x:c>
      <x:c r="B59" s="14" t="str">
        <x:v>CHEMBL3940897</x:v>
      </x:c>
      <x:c r="C59" s="14" t="str">
        <x:v>CHEMBL3940897</x:v>
      </x:c>
      <x:c r="D59" s="14" t="str">
        <x:v>16670415</x:v>
      </x:c>
      <x:c r="E59" s="14" t="str">
        <x:v>16670415</x:v>
      </x:c>
      <x:c r="F59" s="14" t="str">
        <x:v>CHEMBL3855278</x:v>
      </x:c>
      <x:c r="G59" s="14" t="str">
        <x:v>CHEMBL217</x:v>
      </x:c>
      <x:c r="H59" s="14" t="str">
        <x:v>CHEMBL3853329</x:v>
      </x:c>
      <x:c r="I59" s="14" t="str">
        <x:v>Cn1c(SCCCN2CC[C@]3(C[C@@H]3c3ccc(C(F)(F)F)cc3)C2)nnc1-c1ccnnc1</x:v>
      </x:c>
      <x:c r="J59" s="14" t="str">
        <x:v>Cn1c(SCCCN2CC[C@]3(C[C@@H]3c3ccc(C(F)(F)F)cc3)C2)nnc1-c1ccnnc1</x:v>
      </x:c>
      <x:c r="K59" s="14" t="str">
        <x:v>source_reported_pKi</x:v>
      </x:c>
      <x:c r="L59" s="15" t="n">
        <x:v>5.81</x:v>
      </x:c>
      <x:c r="M59" s="15" t="n">
        <x:v>1548.8166189124827</x:v>
      </x:c>
      <x:c r="N59" s="15" t="n">
        <x:v>1548.82</x:v>
      </x:c>
      <x:c r="O59" s="15" t="n">
        <x:v>5.809999051930337</x:v>
      </x:c>
      <x:c r="P59" s="16" t="n">
        <x:v>-9.480696627761631e-7</x:v>
      </x:c>
      <x:c r="Q59" s="16" t="n">
        <x:v>0.003381087517254855</x:v>
      </x:c>
      <x:c r="R59" s="15" t="n">
        <x:v>0.00501</x:v>
      </x:c>
      <x:c r="S59" s="14" t="str">
        <x:v>Cn1c(SCCCN2CC[C@]3(C[C@@H]3c3ccc(C(F)(F)F)cc3)C2)nnc1-c1ccnnc1</x:v>
      </x:c>
      <x:c r="T59" s="14" t="str">
        <x:v>Cn1c(SCCCN2CC[C@]3(C[C@@H]3c3ccc(C(F)(F)F)cc3)C2)nnc1-c1ccnnc1</x:v>
      </x:c>
      <x:c r="U59" s="14" t="str">
        <x:v>ACKJXZGTUCARLB-KNQAVFIVSA-N</x:v>
      </x:c>
      <x:c r="V59" s="14" t="str">
        <x:v>Cn1c(SCCCN2CCC3(CC3c3ccc(C(F)(F)F)cc3)C2)nnc1-c1ccnnc1</x:v>
      </x:c>
      <x:c r="W59" s="14" t="str">
        <x:v>21122fd737b5488cc124d930b16b7e37c6e78e3ebc8d468bc844d995bc045290</x:v>
      </x:c>
      <x:c r="X59" s="14" t="str">
        <x:v>c1ccc(C2CC23CCN(CCCSc2nnc(-c4ccnnc4)[nH]2)C3)cc1</x:v>
      </x:c>
      <x:c r="Y59" s="14" t="str">
        <x:v>false</x:v>
      </x:c>
      <x:c r="Z59" s="17" t="n">
        <x:v>1</x:v>
      </x:c>
      <x:c r="AA59" s="14" t="str">
        <x:v>include</x:v>
      </x:c>
      <x:c r="AB59" s="14" t="str"/>
      <x:c r="AC59" s="14" t="str">
        <x:v>pKi</x:v>
      </x:c>
      <x:c r="AD59" s="14" t="str">
        <x:v>5.81</x:v>
      </x:c>
      <x:c r="AE59" s="14" t="str">
        <x:v>null</x:v>
      </x:c>
      <x:c r="AF59" s="14" t="str">
        <x:v>=</x:v>
      </x:c>
      <x:c r="AG59" s="14" t="str">
        <x:v>Ki</x:v>
      </x:c>
      <x:c r="AH59" s="15" t="n">
        <x:v>1548.82</x:v>
      </x:c>
      <x:c r="AI59" s="14" t="str">
        <x:v>nM</x:v>
      </x:c>
      <x:c r="AJ59" s="14" t="str">
        <x:v>=</x:v>
      </x:c>
      <x:c r="AK59" s="15" t="n">
        <x:v>5.81</x:v>
      </x:c>
      <x:c r="AL59" s="17" t="n">
        <x:v>0</x:v>
      </x:c>
      <x:c r="AM59" s="14" t="str">
        <x:v>null</x:v>
      </x:c>
      <x:c r="AN59" s="14" t="str">
        <x:v>null</x:v>
      </x:c>
      <x:c r="AO59" s="14" t="str">
        <x:v>https://www.ebi.ac.uk/chembl/api/data/activity/16670415.json</x:v>
      </x:c>
    </x:row>
    <x:row r="60" ht="36" customHeight="1">
      <x:c r="A60" s="9" t="str">
        <x:v>WURHPBCTBQAVRU-OFNKIYASSA-N</x:v>
      </x:c>
      <x:c r="B60" s="9" t="str">
        <x:v>CHEMBL3912897</x:v>
      </x:c>
      <x:c r="C60" s="9" t="str">
        <x:v>CHEMBL3912897</x:v>
      </x:c>
      <x:c r="D60" s="9" t="str">
        <x:v>16670416</x:v>
      </x:c>
      <x:c r="E60" s="9" t="str">
        <x:v>16670416</x:v>
      </x:c>
      <x:c r="F60" s="9" t="str">
        <x:v>CHEMBL3855278</x:v>
      </x:c>
      <x:c r="G60" s="9" t="str">
        <x:v>CHEMBL217</x:v>
      </x:c>
      <x:c r="H60" s="9" t="str">
        <x:v>CHEMBL3853329</x:v>
      </x:c>
      <x:c r="I60" s="9" t="str">
        <x:v>Cn1c(SCCCN2CC[C@]3(C[C@@H]3c3ccccc3)C2)nnc1-c1cccnc1</x:v>
      </x:c>
      <x:c r="J60" s="9" t="str">
        <x:v>Cn1c(SCCCN2CC[C@]3(C[C@@H]3c3ccccc3)C2)nnc1-c1cccnc1</x:v>
      </x:c>
      <x:c r="K60" s="9" t="str">
        <x:v>source_reported_pKi</x:v>
      </x:c>
      <x:c r="L60" s="11" t="n">
        <x:v>5.48</x:v>
      </x:c>
      <x:c r="M60" s="11" t="n">
        <x:v>3311.311214825908</x:v>
      </x:c>
      <x:c r="N60" s="11" t="n">
        <x:v>3311.31</x:v>
      </x:c>
      <x:c r="O60" s="11" t="n">
        <x:v>5.480000159330324</x:v>
      </x:c>
      <x:c r="P60" s="12" t="n">
        <x:v>1.5933032315729179e-7</x:v>
      </x:c>
      <x:c r="Q60" s="12" t="n">
        <x:v>-0.0012148259079367563</x:v>
      </x:c>
      <x:c r="R60" s="11" t="n">
        <x:v>0.00501</x:v>
      </x:c>
      <x:c r="S60" s="9" t="str">
        <x:v>Cn1c(SCCCN2CC[C@]3(C[C@@H]3c3ccccc3)C2)nnc1-c1cccnc1</x:v>
      </x:c>
      <x:c r="T60" s="9" t="str">
        <x:v>Cn1c(SCCCN2CC[C@]3(C[C@@H]3c3ccccc3)C2)nnc1-c1cccnc1</x:v>
      </x:c>
      <x:c r="U60" s="9" t="str">
        <x:v>WURHPBCTBQAVRU-OFNKIYASSA-N</x:v>
      </x:c>
      <x:c r="V60" s="9" t="str">
        <x:v>Cn1c(SCCCN2CCC3(CC3c3ccccc3)C2)nnc1-c1cccnc1</x:v>
      </x:c>
      <x:c r="W60" s="9" t="str">
        <x:v>e51c76363bb99063c3db629d65f9071a32b70abadd9980e0f879ecb664ae2208</x:v>
      </x:c>
      <x:c r="X60" s="9" t="str">
        <x:v>c1ccc(C2CC23CCN(CCCSc2nnc(-c4cccnc4)[nH]2)C3)cc1</x:v>
      </x:c>
      <x:c r="Y60" s="9" t="str">
        <x:v>false</x:v>
      </x:c>
      <x:c r="Z60" s="13" t="n">
        <x:v>1</x:v>
      </x:c>
      <x:c r="AA60" s="9" t="str">
        <x:v>include</x:v>
      </x:c>
      <x:c r="AB60" s="9" t="str"/>
      <x:c r="AC60" s="9" t="str">
        <x:v>pKi</x:v>
      </x:c>
      <x:c r="AD60" s="9" t="str">
        <x:v>5.48</x:v>
      </x:c>
      <x:c r="AE60" s="9" t="str">
        <x:v>null</x:v>
      </x:c>
      <x:c r="AF60" s="9" t="str">
        <x:v>=</x:v>
      </x:c>
      <x:c r="AG60" s="9" t="str">
        <x:v>Ki</x:v>
      </x:c>
      <x:c r="AH60" s="11" t="n">
        <x:v>3311.31</x:v>
      </x:c>
      <x:c r="AI60" s="9" t="str">
        <x:v>nM</x:v>
      </x:c>
      <x:c r="AJ60" s="9" t="str">
        <x:v>=</x:v>
      </x:c>
      <x:c r="AK60" s="11" t="n">
        <x:v>5.48</x:v>
      </x:c>
      <x:c r="AL60" s="13" t="n">
        <x:v>0</x:v>
      </x:c>
      <x:c r="AM60" s="9" t="str">
        <x:v>null</x:v>
      </x:c>
      <x:c r="AN60" s="9" t="str">
        <x:v>null</x:v>
      </x:c>
      <x:c r="AO60" s="9" t="str">
        <x:v>https://www.ebi.ac.uk/chembl/api/data/activity/16670416.json</x:v>
      </x:c>
    </x:row>
    <x:row r="61" ht="36" customHeight="1">
      <x:c r="A61" s="14" t="str">
        <x:v>JZCCFPRFOOIKRY-XXBNENTESA-N</x:v>
      </x:c>
      <x:c r="B61" s="14" t="str">
        <x:v>CHEMBL3949662</x:v>
      </x:c>
      <x:c r="C61" s="14" t="str">
        <x:v>CHEMBL3949662</x:v>
      </x:c>
      <x:c r="D61" s="14" t="str">
        <x:v>16670417</x:v>
      </x:c>
      <x:c r="E61" s="14" t="str">
        <x:v>16670417</x:v>
      </x:c>
      <x:c r="F61" s="14" t="str">
        <x:v>CHEMBL3855278</x:v>
      </x:c>
      <x:c r="G61" s="14" t="str">
        <x:v>CHEMBL217</x:v>
      </x:c>
      <x:c r="H61" s="14" t="str">
        <x:v>CHEMBL3853329</x:v>
      </x:c>
      <x:c r="I61" s="14" t="str">
        <x:v>Cn1c(SCCCN2CC[C@]3(C[C@@H]3c3ccc(C(F)(F)F)cc3F)C2)nnc1-c1cccnc1</x:v>
      </x:c>
      <x:c r="J61" s="14" t="str">
        <x:v>Cn1c(SCCCN2CC[C@]3(C[C@@H]3c3ccc(C(F)(F)F)cc3F)C2)nnc1-c1cccnc1</x:v>
      </x:c>
      <x:c r="K61" s="14" t="str">
        <x:v>source_reported_pKi</x:v>
      </x:c>
      <x:c r="L61" s="15" t="n">
        <x:v>6.14</x:v>
      </x:c>
      <x:c r="M61" s="15" t="n">
        <x:v>724.4359600749906</x:v>
      </x:c>
      <x:c r="N61" s="15" t="n">
        <x:v>724.44</x:v>
      </x:c>
      <x:c r="O61" s="15" t="n">
        <x:v>6.139997578098902</x:v>
      </x:c>
      <x:c r="P61" s="16" t="n">
        <x:v>-0.0000024219010974491084</x:v>
      </x:c>
      <x:c r="Q61" s="16" t="n">
        <x:v>0.004039925009465151</x:v>
      </x:c>
      <x:c r="R61" s="15" t="n">
        <x:v>0.00501</x:v>
      </x:c>
      <x:c r="S61" s="14" t="str">
        <x:v>Cn1c(SCCCN2CC[C@]3(C[C@@H]3c3ccc(C(F)(F)F)cc3F)C2)nnc1-c1cccnc1</x:v>
      </x:c>
      <x:c r="T61" s="14" t="str">
        <x:v>Cn1c(SCCCN2CC[C@]3(C[C@@H]3c3ccc(C(F)(F)F)cc3F)C2)nnc1-c1cccnc1</x:v>
      </x:c>
      <x:c r="U61" s="14" t="str">
        <x:v>JZCCFPRFOOIKRY-XXBNENTESA-N</x:v>
      </x:c>
      <x:c r="V61" s="14" t="str">
        <x:v>Cn1c(SCCCN2CCC3(CC3c3ccc(C(F)(F)F)cc3F)C2)nnc1-c1cccnc1</x:v>
      </x:c>
      <x:c r="W61" s="14" t="str">
        <x:v>7312a5eb6c36851ab2eae6e069f6f6e14d9aa45b43b157482ebb4f0c2c6d160e</x:v>
      </x:c>
      <x:c r="X61" s="14" t="str">
        <x:v>c1ccc(C2CC23CCN(CCCSc2nnc(-c4cccnc4)[nH]2)C3)cc1</x:v>
      </x:c>
      <x:c r="Y61" s="14" t="str">
        <x:v>false</x:v>
      </x:c>
      <x:c r="Z61" s="17" t="n">
        <x:v>1</x:v>
      </x:c>
      <x:c r="AA61" s="14" t="str">
        <x:v>include</x:v>
      </x:c>
      <x:c r="AB61" s="14" t="str"/>
      <x:c r="AC61" s="14" t="str">
        <x:v>pKi</x:v>
      </x:c>
      <x:c r="AD61" s="14" t="str">
        <x:v>6.14</x:v>
      </x:c>
      <x:c r="AE61" s="14" t="str">
        <x:v>null</x:v>
      </x:c>
      <x:c r="AF61" s="14" t="str">
        <x:v>=</x:v>
      </x:c>
      <x:c r="AG61" s="14" t="str">
        <x:v>Ki</x:v>
      </x:c>
      <x:c r="AH61" s="15" t="n">
        <x:v>724.44</x:v>
      </x:c>
      <x:c r="AI61" s="14" t="str">
        <x:v>nM</x:v>
      </x:c>
      <x:c r="AJ61" s="14" t="str">
        <x:v>=</x:v>
      </x:c>
      <x:c r="AK61" s="15" t="n">
        <x:v>6.14</x:v>
      </x:c>
      <x:c r="AL61" s="17" t="n">
        <x:v>0</x:v>
      </x:c>
      <x:c r="AM61" s="14" t="str">
        <x:v>null</x:v>
      </x:c>
      <x:c r="AN61" s="14" t="str">
        <x:v>null</x:v>
      </x:c>
      <x:c r="AO61" s="14" t="str">
        <x:v>https://www.ebi.ac.uk/chembl/api/data/activity/16670417.json</x:v>
      </x:c>
    </x:row>
    <x:row r="62" ht="36" customHeight="1">
      <x:c r="A62" s="9" t="str">
        <x:v>IKSPSLCLHNNQFS-XXBNENTESA-N</x:v>
      </x:c>
      <x:c r="B62" s="9" t="str">
        <x:v>CHEMBL3921885</x:v>
      </x:c>
      <x:c r="C62" s="9" t="str">
        <x:v>CHEMBL3921885</x:v>
      </x:c>
      <x:c r="D62" s="9" t="str">
        <x:v>16670418</x:v>
      </x:c>
      <x:c r="E62" s="9" t="str">
        <x:v>16670418</x:v>
      </x:c>
      <x:c r="F62" s="9" t="str">
        <x:v>CHEMBL3855278</x:v>
      </x:c>
      <x:c r="G62" s="9" t="str">
        <x:v>CHEMBL217</x:v>
      </x:c>
      <x:c r="H62" s="9" t="str">
        <x:v>CHEMBL3853329</x:v>
      </x:c>
      <x:c r="I62" s="9" t="str">
        <x:v>Cn1c(SCCCN2CC[C@]3(C[C@@H]3c3ccc(F)cc3F)C2)nnc1-c1cccnc1</x:v>
      </x:c>
      <x:c r="J62" s="9" t="str">
        <x:v>Cn1c(SCCCN2CC[C@]3(C[C@@H]3c3ccc(F)cc3F)C2)nnc1-c1cccnc1</x:v>
      </x:c>
      <x:c r="K62" s="9" t="str">
        <x:v>source_reported_pKi</x:v>
      </x:c>
      <x:c r="L62" s="11" t="n">
        <x:v>6.28</x:v>
      </x:c>
      <x:c r="M62" s="11" t="n">
        <x:v>524.8074602497722</x:v>
      </x:c>
      <x:c r="N62" s="11" t="n">
        <x:v>524.81</x:v>
      </x:c>
      <x:c r="O62" s="11" t="n">
        <x:v>6.279997898282849</x:v>
      </x:c>
      <x:c r="P62" s="12" t="n">
        <x:v>-0.0000021017171514259303</x:v>
      </x:c>
      <x:c r="Q62" s="12" t="n">
        <x:v>0.0025397502276973682</x:v>
      </x:c>
      <x:c r="R62" s="11" t="n">
        <x:v>0.00501</x:v>
      </x:c>
      <x:c r="S62" s="9" t="str">
        <x:v>Cn1c(SCCCN2CC[C@]3(C[C@@H]3c3ccc(F)cc3F)C2)nnc1-c1cccnc1</x:v>
      </x:c>
      <x:c r="T62" s="9" t="str">
        <x:v>Cn1c(SCCCN2CC[C@]3(C[C@@H]3c3ccc(F)cc3F)C2)nnc1-c1cccnc1</x:v>
      </x:c>
      <x:c r="U62" s="9" t="str">
        <x:v>IKSPSLCLHNNQFS-XXBNENTESA-N</x:v>
      </x:c>
      <x:c r="V62" s="9" t="str">
        <x:v>Cn1c(SCCCN2CCC3(CC3c3ccc(F)cc3F)C2)nnc1-c1cccnc1</x:v>
      </x:c>
      <x:c r="W62" s="9" t="str">
        <x:v>3d45ebd612f33e174b22d058850dc4a21cb03efca4b5a6b8dc59edff9dbfb926</x:v>
      </x:c>
      <x:c r="X62" s="9" t="str">
        <x:v>c1ccc(C2CC23CCN(CCCSc2nnc(-c4cccnc4)[nH]2)C3)cc1</x:v>
      </x:c>
      <x:c r="Y62" s="9" t="str">
        <x:v>false</x:v>
      </x:c>
      <x:c r="Z62" s="13" t="n">
        <x:v>1</x:v>
      </x:c>
      <x:c r="AA62" s="9" t="str">
        <x:v>include</x:v>
      </x:c>
      <x:c r="AB62" s="9" t="str"/>
      <x:c r="AC62" s="9" t="str">
        <x:v>pKi</x:v>
      </x:c>
      <x:c r="AD62" s="9" t="str">
        <x:v>6.28</x:v>
      </x:c>
      <x:c r="AE62" s="9" t="str">
        <x:v>null</x:v>
      </x:c>
      <x:c r="AF62" s="9" t="str">
        <x:v>=</x:v>
      </x:c>
      <x:c r="AG62" s="9" t="str">
        <x:v>Ki</x:v>
      </x:c>
      <x:c r="AH62" s="11" t="n">
        <x:v>524.81</x:v>
      </x:c>
      <x:c r="AI62" s="9" t="str">
        <x:v>nM</x:v>
      </x:c>
      <x:c r="AJ62" s="9" t="str">
        <x:v>=</x:v>
      </x:c>
      <x:c r="AK62" s="11" t="n">
        <x:v>6.28</x:v>
      </x:c>
      <x:c r="AL62" s="13" t="n">
        <x:v>0</x:v>
      </x:c>
      <x:c r="AM62" s="9" t="str">
        <x:v>null</x:v>
      </x:c>
      <x:c r="AN62" s="9" t="str">
        <x:v>null</x:v>
      </x:c>
      <x:c r="AO62" s="9" t="str">
        <x:v>https://www.ebi.ac.uk/chembl/api/data/activity/16670418.json</x:v>
      </x:c>
    </x:row>
    <x:row r="63" ht="36" customHeight="1">
      <x:c r="A63" s="14" t="str">
        <x:v>JGGOHKJHMHHQML-OFNKIYASSA-N</x:v>
      </x:c>
      <x:c r="B63" s="14" t="str">
        <x:v>CHEMBL3897134</x:v>
      </x:c>
      <x:c r="C63" s="14" t="str">
        <x:v>CHEMBL3897134</x:v>
      </x:c>
      <x:c r="D63" s="14" t="str">
        <x:v>16670419</x:v>
      </x:c>
      <x:c r="E63" s="14" t="str">
        <x:v>16670419</x:v>
      </x:c>
      <x:c r="F63" s="14" t="str">
        <x:v>CHEMBL3855278</x:v>
      </x:c>
      <x:c r="G63" s="14" t="str">
        <x:v>CHEMBL217</x:v>
      </x:c>
      <x:c r="H63" s="14" t="str">
        <x:v>CHEMBL3853329</x:v>
      </x:c>
      <x:c r="I63" s="14" t="str">
        <x:v>Cn1c(SCCCN2CC[C@]3(C[C@@H]3c3ccc(F)cc3)C2)nnc1-c1cccnc1</x:v>
      </x:c>
      <x:c r="J63" s="14" t="str">
        <x:v>Cn1c(SCCCN2CC[C@]3(C[C@@H]3c3ccc(F)cc3)C2)nnc1-c1cccnc1</x:v>
      </x:c>
      <x:c r="K63" s="14" t="str">
        <x:v>source_reported_pKi</x:v>
      </x:c>
      <x:c r="L63" s="15" t="n">
        <x:v>6.18</x:v>
      </x:c>
      <x:c r="M63" s="15" t="n">
        <x:v>660.6934480075964</x:v>
      </x:c>
      <x:c r="N63" s="15" t="n">
        <x:v>660.69</x:v>
      </x:c>
      <x:c r="O63" s="15" t="n">
        <x:v>6.180002266489224</x:v>
      </x:c>
      <x:c r="P63" s="16" t="n">
        <x:v>0.000002266489223856638</x:v>
      </x:c>
      <x:c r="Q63" s="16" t="n">
        <x:v>-0.0034480075963756462</x:v>
      </x:c>
      <x:c r="R63" s="15" t="n">
        <x:v>0.00501</x:v>
      </x:c>
      <x:c r="S63" s="14" t="str">
        <x:v>Cn1c(SCCCN2CC[C@]3(C[C@@H]3c3ccc(F)cc3)C2)nnc1-c1cccnc1</x:v>
      </x:c>
      <x:c r="T63" s="14" t="str">
        <x:v>Cn1c(SCCCN2CC[C@]3(C[C@@H]3c3ccc(F)cc3)C2)nnc1-c1cccnc1</x:v>
      </x:c>
      <x:c r="U63" s="14" t="str">
        <x:v>JGGOHKJHMHHQML-OFNKIYASSA-N</x:v>
      </x:c>
      <x:c r="V63" s="14" t="str">
        <x:v>Cn1c(SCCCN2CCC3(CC3c3ccc(F)cc3)C2)nnc1-c1cccnc1</x:v>
      </x:c>
      <x:c r="W63" s="14" t="str">
        <x:v>67837bf3b25973cd5602161e89589fe221722a55869bb467bb83aaf744d079f5</x:v>
      </x:c>
      <x:c r="X63" s="14" t="str">
        <x:v>c1ccc(C2CC23CCN(CCCSc2nnc(-c4cccnc4)[nH]2)C3)cc1</x:v>
      </x:c>
      <x:c r="Y63" s="14" t="str">
        <x:v>false</x:v>
      </x:c>
      <x:c r="Z63" s="17" t="n">
        <x:v>1</x:v>
      </x:c>
      <x:c r="AA63" s="14" t="str">
        <x:v>include</x:v>
      </x:c>
      <x:c r="AB63" s="14" t="str"/>
      <x:c r="AC63" s="14" t="str">
        <x:v>pKi</x:v>
      </x:c>
      <x:c r="AD63" s="14" t="str">
        <x:v>6.18</x:v>
      </x:c>
      <x:c r="AE63" s="14" t="str">
        <x:v>null</x:v>
      </x:c>
      <x:c r="AF63" s="14" t="str">
        <x:v>=</x:v>
      </x:c>
      <x:c r="AG63" s="14" t="str">
        <x:v>Ki</x:v>
      </x:c>
      <x:c r="AH63" s="15" t="n">
        <x:v>660.69</x:v>
      </x:c>
      <x:c r="AI63" s="14" t="str">
        <x:v>nM</x:v>
      </x:c>
      <x:c r="AJ63" s="14" t="str">
        <x:v>=</x:v>
      </x:c>
      <x:c r="AK63" s="15" t="n">
        <x:v>6.18</x:v>
      </x:c>
      <x:c r="AL63" s="17" t="n">
        <x:v>0</x:v>
      </x:c>
      <x:c r="AM63" s="14" t="str">
        <x:v>null</x:v>
      </x:c>
      <x:c r="AN63" s="14" t="str">
        <x:v>null</x:v>
      </x:c>
      <x:c r="AO63" s="14" t="str">
        <x:v>https://www.ebi.ac.uk/chembl/api/data/activity/16670419.json</x:v>
      </x:c>
    </x:row>
    <x:row r="64" ht="36" customHeight="1">
      <x:c r="A64" s="9" t="str">
        <x:v>MJUZYNLBBPDZMI-QPPBQGQZSA-N</x:v>
      </x:c>
      <x:c r="B64" s="9" t="str">
        <x:v>CHEMBL3968272</x:v>
      </x:c>
      <x:c r="C64" s="9" t="str">
        <x:v>CHEMBL3968272</x:v>
      </x:c>
      <x:c r="D64" s="9" t="str">
        <x:v>16670420</x:v>
      </x:c>
      <x:c r="E64" s="9" t="str">
        <x:v>16670420</x:v>
      </x:c>
      <x:c r="F64" s="9" t="str">
        <x:v>CHEMBL3855278</x:v>
      </x:c>
      <x:c r="G64" s="9" t="str">
        <x:v>CHEMBL217</x:v>
      </x:c>
      <x:c r="H64" s="9" t="str">
        <x:v>CHEMBL3853329</x:v>
      </x:c>
      <x:c r="I64" s="9" t="str">
        <x:v>Cc1ncccc1-c1nnc(SCCCN2CC[C@]3(C[C@@H]3c3ccc(C(F)(F)F)cc3)C2)n1C</x:v>
      </x:c>
      <x:c r="J64" s="9" t="str">
        <x:v>Cc1ncccc1-c1nnc(SCCCN2CC[C@]3(C[C@@H]3c3ccc(C(F)(F)F)cc3)C2)n1C</x:v>
      </x:c>
      <x:c r="K64" s="9" t="str">
        <x:v>source_reported_pKi</x:v>
      </x:c>
      <x:c r="L64" s="11" t="n">
        <x:v>5.83</x:v>
      </x:c>
      <x:c r="M64" s="11" t="n">
        <x:v>1479.1083881682073</x:v>
      </x:c>
      <x:c r="N64" s="11" t="n">
        <x:v>1479.11</x:v>
      </x:c>
      <x:c r="O64" s="11" t="n">
        <x:v>5.829999526735649</x:v>
      </x:c>
      <x:c r="P64" s="12" t="n">
        <x:v>-4.732643512639356e-7</x:v>
      </x:c>
      <x:c r="Q64" s="12" t="n">
        <x:v>0.0016118317926157033</x:v>
      </x:c>
      <x:c r="R64" s="11" t="n">
        <x:v>0.00501</x:v>
      </x:c>
      <x:c r="S64" s="9" t="str">
        <x:v>Cc1ncccc1-c1nnc(SCCCN2CC[C@]3(C[C@@H]3c3ccc(C(F)(F)F)cc3)C2)n1C</x:v>
      </x:c>
      <x:c r="T64" s="9" t="str">
        <x:v>Cc1ncccc1-c1nnc(SCCCN2CC[C@]3(C[C@@H]3c3ccc(C(F)(F)F)cc3)C2)n1C</x:v>
      </x:c>
      <x:c r="U64" s="9" t="str">
        <x:v>MJUZYNLBBPDZMI-QPPBQGQZSA-N</x:v>
      </x:c>
      <x:c r="V64" s="9" t="str">
        <x:v>Cc1ncccc1-c1nnc(SCCCN2CCC3(CC3c3ccc(C(F)(F)F)cc3)C2)n1C</x:v>
      </x:c>
      <x:c r="W64" s="9" t="str">
        <x:v>1a5ed4d9d841c21bac7a48325ccf00f87a738505af583a447183c940dafec8af</x:v>
      </x:c>
      <x:c r="X64" s="9" t="str">
        <x:v>c1ccc(C2CC23CCN(CCCSc2nnc(-c4cccnc4)[nH]2)C3)cc1</x:v>
      </x:c>
      <x:c r="Y64" s="9" t="str">
        <x:v>false</x:v>
      </x:c>
      <x:c r="Z64" s="13" t="n">
        <x:v>1</x:v>
      </x:c>
      <x:c r="AA64" s="9" t="str">
        <x:v>include</x:v>
      </x:c>
      <x:c r="AB64" s="9" t="str"/>
      <x:c r="AC64" s="9" t="str">
        <x:v>pKi</x:v>
      </x:c>
      <x:c r="AD64" s="9" t="str">
        <x:v>5.83</x:v>
      </x:c>
      <x:c r="AE64" s="9" t="str">
        <x:v>null</x:v>
      </x:c>
      <x:c r="AF64" s="9" t="str">
        <x:v>=</x:v>
      </x:c>
      <x:c r="AG64" s="9" t="str">
        <x:v>Ki</x:v>
      </x:c>
      <x:c r="AH64" s="11" t="n">
        <x:v>1479.11</x:v>
      </x:c>
      <x:c r="AI64" s="9" t="str">
        <x:v>nM</x:v>
      </x:c>
      <x:c r="AJ64" s="9" t="str">
        <x:v>=</x:v>
      </x:c>
      <x:c r="AK64" s="11" t="n">
        <x:v>5.83</x:v>
      </x:c>
      <x:c r="AL64" s="13" t="n">
        <x:v>0</x:v>
      </x:c>
      <x:c r="AM64" s="9" t="str">
        <x:v>null</x:v>
      </x:c>
      <x:c r="AN64" s="9" t="str">
        <x:v>null</x:v>
      </x:c>
      <x:c r="AO64" s="9" t="str">
        <x:v>https://www.ebi.ac.uk/chembl/api/data/activity/16670420.json</x:v>
      </x:c>
    </x:row>
    <x:row r="65" ht="36" customHeight="1">
      <x:c r="A65" s="14" t="str">
        <x:v>DVUOLXOWKHDIAV-XXBNENTESA-N</x:v>
      </x:c>
      <x:c r="B65" s="14" t="str">
        <x:v>CHEMBL3946313</x:v>
      </x:c>
      <x:c r="C65" s="14" t="str">
        <x:v>CHEMBL3946313</x:v>
      </x:c>
      <x:c r="D65" s="14" t="str">
        <x:v>16670421</x:v>
      </x:c>
      <x:c r="E65" s="14" t="str">
        <x:v>16670421</x:v>
      </x:c>
      <x:c r="F65" s="14" t="str">
        <x:v>CHEMBL3855278</x:v>
      </x:c>
      <x:c r="G65" s="14" t="str">
        <x:v>CHEMBL217</x:v>
      </x:c>
      <x:c r="H65" s="14" t="str">
        <x:v>CHEMBL3853329</x:v>
      </x:c>
      <x:c r="I65" s="14" t="str">
        <x:v>Cn1c(SCCCN2CC[C@]3(C[C@@H]3c3ccc(C(F)(F)F)cc3)C2)nnc1-c1cccnc1C(F)(F)F</x:v>
      </x:c>
      <x:c r="J65" s="14" t="str">
        <x:v>Cn1c(SCCCN2CC[C@]3(C[C@@H]3c3ccc(C(F)(F)F)cc3)C2)nnc1-c1cccnc1C(F)(F)F</x:v>
      </x:c>
      <x:c r="K65" s="14" t="str">
        <x:v>source_reported_pKi</x:v>
      </x:c>
      <x:c r="L65" s="15" t="n">
        <x:v>6.02</x:v>
      </x:c>
      <x:c r="M65" s="15" t="n">
        <x:v>954.9925860214369</x:v>
      </x:c>
      <x:c r="N65" s="15" t="n">
        <x:v>954.99</x:v>
      </x:c>
      <x:c r="O65" s="15" t="n">
        <x:v>6.020001176026261</x:v>
      </x:c>
      <x:c r="P65" s="16" t="n">
        <x:v>0.0000011760262612625638</x:v>
      </x:c>
      <x:c r="Q65" s="16" t="n">
        <x:v>-0.002586021436854935</x:v>
      </x:c>
      <x:c r="R65" s="15" t="n">
        <x:v>0.00501</x:v>
      </x:c>
      <x:c r="S65" s="14" t="str">
        <x:v>Cn1c(SCCCN2CC[C@]3(C[C@@H]3c3ccc(C(F)(F)F)cc3)C2)nnc1-c1cccnc1C(F)(F)F</x:v>
      </x:c>
      <x:c r="T65" s="14" t="str">
        <x:v>Cn1c(SCCCN2CC[C@]3(C[C@@H]3c3ccc(C(F)(F)F)cc3)C2)nnc1-c1cccnc1C(F)(F)F</x:v>
      </x:c>
      <x:c r="U65" s="14" t="str">
        <x:v>DVUOLXOWKHDIAV-XXBNENTESA-N</x:v>
      </x:c>
      <x:c r="V65" s="14" t="str">
        <x:v>Cn1c(SCCCN2CCC3(CC3c3ccc(C(F)(F)F)cc3)C2)nnc1-c1cccnc1C(F)(F)F</x:v>
      </x:c>
      <x:c r="W65" s="14" t="str">
        <x:v>ffdc93482f2936e0c3a7c58e3bc1aeafd646d94c723107a9edf3f59445d01a06</x:v>
      </x:c>
      <x:c r="X65" s="14" t="str">
        <x:v>c1ccc(C2CC23CCN(CCCSc2nnc(-c4cccnc4)[nH]2)C3)cc1</x:v>
      </x:c>
      <x:c r="Y65" s="14" t="str">
        <x:v>false</x:v>
      </x:c>
      <x:c r="Z65" s="17" t="n">
        <x:v>1</x:v>
      </x:c>
      <x:c r="AA65" s="14" t="str">
        <x:v>include</x:v>
      </x:c>
      <x:c r="AB65" s="14" t="str"/>
      <x:c r="AC65" s="14" t="str">
        <x:v>pKi</x:v>
      </x:c>
      <x:c r="AD65" s="14" t="str">
        <x:v>6.02</x:v>
      </x:c>
      <x:c r="AE65" s="14" t="str">
        <x:v>null</x:v>
      </x:c>
      <x:c r="AF65" s="14" t="str">
        <x:v>=</x:v>
      </x:c>
      <x:c r="AG65" s="14" t="str">
        <x:v>Ki</x:v>
      </x:c>
      <x:c r="AH65" s="15" t="n">
        <x:v>954.99</x:v>
      </x:c>
      <x:c r="AI65" s="14" t="str">
        <x:v>nM</x:v>
      </x:c>
      <x:c r="AJ65" s="14" t="str">
        <x:v>=</x:v>
      </x:c>
      <x:c r="AK65" s="15" t="n">
        <x:v>6.02</x:v>
      </x:c>
      <x:c r="AL65" s="17" t="n">
        <x:v>0</x:v>
      </x:c>
      <x:c r="AM65" s="14" t="str">
        <x:v>null</x:v>
      </x:c>
      <x:c r="AN65" s="14" t="str">
        <x:v>null</x:v>
      </x:c>
      <x:c r="AO65" s="14" t="str">
        <x:v>https://www.ebi.ac.uk/chembl/api/data/activity/16670421.json</x:v>
      </x:c>
    </x:row>
    <x:row r="66" ht="36" customHeight="1">
      <x:c r="A66" s="9" t="str">
        <x:v>DOTLHOVQYVFUDB-YKSBVNFPSA-N</x:v>
      </x:c>
      <x:c r="B66" s="9" t="str">
        <x:v>CHEMBL3958949</x:v>
      </x:c>
      <x:c r="C66" s="9" t="str">
        <x:v>CHEMBL3958949</x:v>
      </x:c>
      <x:c r="D66" s="9" t="str">
        <x:v>16670422</x:v>
      </x:c>
      <x:c r="E66" s="9" t="str">
        <x:v>16670422</x:v>
      </x:c>
      <x:c r="F66" s="9" t="str">
        <x:v>CHEMBL3855278</x:v>
      </x:c>
      <x:c r="G66" s="9" t="str">
        <x:v>CHEMBL217</x:v>
      </x:c>
      <x:c r="H66" s="9" t="str">
        <x:v>CHEMBL3853329</x:v>
      </x:c>
      <x:c r="I66" s="9" t="str">
        <x:v>COc1ncccc1-c1nnc(SCCCN2CC[C@]3(C[C@@H]3c3ccc(C(F)(F)F)cc3)C2)n1C</x:v>
      </x:c>
      <x:c r="J66" s="9" t="str">
        <x:v>COc1ncccc1-c1nnc(SCCCN2CC[C@]3(C[C@@H]3c3ccc(C(F)(F)F)cc3)C2)n1C</x:v>
      </x:c>
      <x:c r="K66" s="9" t="str">
        <x:v>source_reported_pKi</x:v>
      </x:c>
      <x:c r="L66" s="11" t="n">
        <x:v>5.94</x:v>
      </x:c>
      <x:c r="M66" s="11" t="n">
        <x:v>1148.1536214968817</x:v>
      </x:c>
      <x:c r="N66" s="11" t="n">
        <x:v>1148.15</x:v>
      </x:c>
      <x:c r="O66" s="11" t="n">
        <x:v>5.940001369850309</x:v>
      </x:c>
      <x:c r="P66" s="12" t="n">
        <x:v>0.0000013698503087411495</x:v>
      </x:c>
      <x:c r="Q66" s="12" t="n">
        <x:v>-0.003621496881578423</x:v>
      </x:c>
      <x:c r="R66" s="11" t="n">
        <x:v>0.00501</x:v>
      </x:c>
      <x:c r="S66" s="9" t="str">
        <x:v>COc1ncccc1-c1nnc(SCCCN2CC[C@]3(C[C@@H]3c3ccc(C(F)(F)F)cc3)C2)n1C</x:v>
      </x:c>
      <x:c r="T66" s="9" t="str">
        <x:v>COc1ncccc1-c1nnc(SCCCN2CC[C@]3(C[C@@H]3c3ccc(C(F)(F)F)cc3)C2)n1C</x:v>
      </x:c>
      <x:c r="U66" s="9" t="str">
        <x:v>DOTLHOVQYVFUDB-YKSBVNFPSA-N</x:v>
      </x:c>
      <x:c r="V66" s="9" t="str">
        <x:v>COc1ncccc1-c1nnc(SCCCN2CCC3(CC3c3ccc(C(F)(F)F)cc3)C2)n1C</x:v>
      </x:c>
      <x:c r="W66" s="9" t="str">
        <x:v>898e3ec18bfe6c9b712320cd4ede2563247385e5e14072511fcd5548497ca00b</x:v>
      </x:c>
      <x:c r="X66" s="9" t="str">
        <x:v>c1ccc(C2CC23CCN(CCCSc2nnc(-c4cccnc4)[nH]2)C3)cc1</x:v>
      </x:c>
      <x:c r="Y66" s="9" t="str">
        <x:v>false</x:v>
      </x:c>
      <x:c r="Z66" s="13" t="n">
        <x:v>1</x:v>
      </x:c>
      <x:c r="AA66" s="9" t="str">
        <x:v>include</x:v>
      </x:c>
      <x:c r="AB66" s="9" t="str"/>
      <x:c r="AC66" s="9" t="str">
        <x:v>pKi</x:v>
      </x:c>
      <x:c r="AD66" s="9" t="str">
        <x:v>5.94</x:v>
      </x:c>
      <x:c r="AE66" s="9" t="str">
        <x:v>null</x:v>
      </x:c>
      <x:c r="AF66" s="9" t="str">
        <x:v>=</x:v>
      </x:c>
      <x:c r="AG66" s="9" t="str">
        <x:v>Ki</x:v>
      </x:c>
      <x:c r="AH66" s="11" t="n">
        <x:v>1148.15</x:v>
      </x:c>
      <x:c r="AI66" s="9" t="str">
        <x:v>nM</x:v>
      </x:c>
      <x:c r="AJ66" s="9" t="str">
        <x:v>=</x:v>
      </x:c>
      <x:c r="AK66" s="11" t="n">
        <x:v>5.94</x:v>
      </x:c>
      <x:c r="AL66" s="13" t="n">
        <x:v>0</x:v>
      </x:c>
      <x:c r="AM66" s="9" t="str">
        <x:v>null</x:v>
      </x:c>
      <x:c r="AN66" s="9" t="str">
        <x:v>null</x:v>
      </x:c>
      <x:c r="AO66" s="9" t="str">
        <x:v>https://www.ebi.ac.uk/chembl/api/data/activity/16670422.json</x:v>
      </x:c>
    </x:row>
    <x:row r="67" ht="36" customHeight="1">
      <x:c r="A67" s="14" t="str">
        <x:v>LMYXDMLXVWZVJJ-QPPBQGQZSA-N</x:v>
      </x:c>
      <x:c r="B67" s="14" t="str">
        <x:v>CHEMBL3922535</x:v>
      </x:c>
      <x:c r="C67" s="14" t="str">
        <x:v>CHEMBL3922535</x:v>
      </x:c>
      <x:c r="D67" s="14" t="str">
        <x:v>16670423</x:v>
      </x:c>
      <x:c r="E67" s="14" t="str">
        <x:v>16670423</x:v>
      </x:c>
      <x:c r="F67" s="14" t="str">
        <x:v>CHEMBL3855278</x:v>
      </x:c>
      <x:c r="G67" s="14" t="str">
        <x:v>CHEMBL217</x:v>
      </x:c>
      <x:c r="H67" s="14" t="str">
        <x:v>CHEMBL3853329</x:v>
      </x:c>
      <x:c r="I67" s="14" t="str">
        <x:v>Cn1c(SCCCN2CC[C@]3(C[C@@H]3c3ccc(C(F)(F)F)cc3)C2)nnc1-c1ccc(C#N)nc1</x:v>
      </x:c>
      <x:c r="J67" s="14" t="str">
        <x:v>Cn1c(SCCCN2CC[C@]3(C[C@@H]3c3ccc(C(F)(F)F)cc3)C2)nnc1-c1ccc(C#N)nc1</x:v>
      </x:c>
      <x:c r="K67" s="14" t="str">
        <x:v>source_reported_pKi</x:v>
      </x:c>
      <x:c r="L67" s="15" t="n">
        <x:v>6.16</x:v>
      </x:c>
      <x:c r="M67" s="15" t="n">
        <x:v>691.8309709189363</x:v>
      </x:c>
      <x:c r="N67" s="15" t="n">
        <x:v>691.83</x:v>
      </x:c>
      <x:c r="O67" s="15" t="n">
        <x:v>6.160000609491408</x:v>
      </x:c>
      <x:c r="P67" s="16" t="n">
        <x:v>6.09491407566054e-7</x:v>
      </x:c>
      <x:c r="Q67" s="16" t="n">
        <x:v>-0.0009709189362183679</x:v>
      </x:c>
      <x:c r="R67" s="15" t="n">
        <x:v>0.00501</x:v>
      </x:c>
      <x:c r="S67" s="14" t="str">
        <x:v>Cn1c(SCCCN2CC[C@]3(C[C@@H]3c3ccc(C(F)(F)F)cc3)C2)nnc1-c1ccc(C#N)nc1</x:v>
      </x:c>
      <x:c r="T67" s="14" t="str">
        <x:v>Cn1c(SCCCN2CC[C@]3(C[C@@H]3c3ccc(C(F)(F)F)cc3)C2)nnc1-c1ccc(C#N)nc1</x:v>
      </x:c>
      <x:c r="U67" s="14" t="str">
        <x:v>LMYXDMLXVWZVJJ-QPPBQGQZSA-N</x:v>
      </x:c>
      <x:c r="V67" s="14" t="str">
        <x:v>Cn1c(SCCCN2CCC3(CC3c3ccc(C(F)(F)F)cc3)C2)nnc1-c1ccc(C#N)nc1</x:v>
      </x:c>
      <x:c r="W67" s="14" t="str">
        <x:v>15eb3b2aa897ffa440e733f4aaed728d6c6664311005d7c0dc4fc2a5cec3b99d</x:v>
      </x:c>
      <x:c r="X67" s="14" t="str">
        <x:v>c1ccc(C2CC23CCN(CCCSc2nnc(-c4cccnc4)[nH]2)C3)cc1</x:v>
      </x:c>
      <x:c r="Y67" s="14" t="str">
        <x:v>false</x:v>
      </x:c>
      <x:c r="Z67" s="17" t="n">
        <x:v>1</x:v>
      </x:c>
      <x:c r="AA67" s="14" t="str">
        <x:v>include</x:v>
      </x:c>
      <x:c r="AB67" s="14" t="str"/>
      <x:c r="AC67" s="14" t="str">
        <x:v>pKi</x:v>
      </x:c>
      <x:c r="AD67" s="14" t="str">
        <x:v>6.16</x:v>
      </x:c>
      <x:c r="AE67" s="14" t="str">
        <x:v>null</x:v>
      </x:c>
      <x:c r="AF67" s="14" t="str">
        <x:v>=</x:v>
      </x:c>
      <x:c r="AG67" s="14" t="str">
        <x:v>Ki</x:v>
      </x:c>
      <x:c r="AH67" s="15" t="n">
        <x:v>691.83</x:v>
      </x:c>
      <x:c r="AI67" s="14" t="str">
        <x:v>nM</x:v>
      </x:c>
      <x:c r="AJ67" s="14" t="str">
        <x:v>=</x:v>
      </x:c>
      <x:c r="AK67" s="15" t="n">
        <x:v>6.16</x:v>
      </x:c>
      <x:c r="AL67" s="17" t="n">
        <x:v>0</x:v>
      </x:c>
      <x:c r="AM67" s="14" t="str">
        <x:v>null</x:v>
      </x:c>
      <x:c r="AN67" s="14" t="str">
        <x:v>null</x:v>
      </x:c>
      <x:c r="AO67" s="14" t="str">
        <x:v>https://www.ebi.ac.uk/chembl/api/data/activity/16670423.json</x:v>
      </x:c>
    </x:row>
    <x:row r="68" ht="36" customHeight="1">
      <x:c r="A68" s="9" t="str">
        <x:v>PQHIRTDXFUZNBI-DVECYGJZSA-N</x:v>
      </x:c>
      <x:c r="B68" s="9" t="str">
        <x:v>CHEMBL3950254</x:v>
      </x:c>
      <x:c r="C68" s="9" t="str">
        <x:v>CHEMBL3950254</x:v>
      </x:c>
      <x:c r="D68" s="9" t="str">
        <x:v>16670424</x:v>
      </x:c>
      <x:c r="E68" s="9" t="str">
        <x:v>16670424</x:v>
      </x:c>
      <x:c r="F68" s="9" t="str">
        <x:v>CHEMBL3855278</x:v>
      </x:c>
      <x:c r="G68" s="9" t="str">
        <x:v>CHEMBL217</x:v>
      </x:c>
      <x:c r="H68" s="9" t="str">
        <x:v>CHEMBL3853329</x:v>
      </x:c>
      <x:c r="I68" s="9" t="str">
        <x:v>Cn1c(SCCCN2CC[C@]3(C[C@@H]3c3ccc(C(F)(F)F)cc3)C2)nnc1-c1ccc(C(N)=O)nc1</x:v>
      </x:c>
      <x:c r="J68" s="9" t="str">
        <x:v>Cn1c(SCCCN2CC[C@]3(C[C@@H]3c3ccc(C(F)(F)F)cc3)C2)nnc1-c1ccc(C(N)=O)nc1</x:v>
      </x:c>
      <x:c r="K68" s="9" t="str">
        <x:v>source_reported_pKi</x:v>
      </x:c>
      <x:c r="L68" s="11" t="n">
        <x:v>6.26</x:v>
      </x:c>
      <x:c r="M68" s="11" t="n">
        <x:v>549.5408738576248</x:v>
      </x:c>
      <x:c r="N68" s="11" t="n">
        <x:v>549.54</x:v>
      </x:c>
      <x:c r="O68" s="11" t="n">
        <x:v>6.260000690598032</x:v>
      </x:c>
      <x:c r="P68" s="12" t="n">
        <x:v>6.905980320937033e-7</x:v>
      </x:c>
      <x:c r="Q68" s="12" t="n">
        <x:v>-0.0008738576248106256</x:v>
      </x:c>
      <x:c r="R68" s="11" t="n">
        <x:v>0.00501</x:v>
      </x:c>
      <x:c r="S68" s="9" t="str">
        <x:v>Cn1c(SCCCN2CC[C@]3(C[C@@H]3c3ccc(C(F)(F)F)cc3)C2)nnc1-c1ccc(C(N)=O)nc1</x:v>
      </x:c>
      <x:c r="T68" s="9" t="str">
        <x:v>Cn1c(SCCCN2CC[C@]3(C[C@@H]3c3ccc(C(F)(F)F)cc3)C2)nnc1-c1ccc(C(N)=O)nc1</x:v>
      </x:c>
      <x:c r="U68" s="9" t="str">
        <x:v>PQHIRTDXFUZNBI-DVECYGJZSA-N</x:v>
      </x:c>
      <x:c r="V68" s="9" t="str">
        <x:v>Cn1c(SCCCN2CCC3(CC3c3ccc(C(F)(F)F)cc3)C2)nnc1-c1ccc(C(N)=O)nc1</x:v>
      </x:c>
      <x:c r="W68" s="9" t="str">
        <x:v>3759f11dd2859c5a76b5a0e2ec5ee3716c4670d2d7b27d70e83309cd2089062e</x:v>
      </x:c>
      <x:c r="X68" s="9" t="str">
        <x:v>c1ccc(C2CC23CCN(CCCSc2nnc(-c4cccnc4)[nH]2)C3)cc1</x:v>
      </x:c>
      <x:c r="Y68" s="9" t="str">
        <x:v>false</x:v>
      </x:c>
      <x:c r="Z68" s="13" t="n">
        <x:v>1</x:v>
      </x:c>
      <x:c r="AA68" s="9" t="str">
        <x:v>include</x:v>
      </x:c>
      <x:c r="AB68" s="9" t="str"/>
      <x:c r="AC68" s="9" t="str">
        <x:v>pKi</x:v>
      </x:c>
      <x:c r="AD68" s="9" t="str">
        <x:v>6.26</x:v>
      </x:c>
      <x:c r="AE68" s="9" t="str">
        <x:v>null</x:v>
      </x:c>
      <x:c r="AF68" s="9" t="str">
        <x:v>=</x:v>
      </x:c>
      <x:c r="AG68" s="9" t="str">
        <x:v>Ki</x:v>
      </x:c>
      <x:c r="AH68" s="11" t="n">
        <x:v>549.54</x:v>
      </x:c>
      <x:c r="AI68" s="9" t="str">
        <x:v>nM</x:v>
      </x:c>
      <x:c r="AJ68" s="9" t="str">
        <x:v>=</x:v>
      </x:c>
      <x:c r="AK68" s="11" t="n">
        <x:v>6.26</x:v>
      </x:c>
      <x:c r="AL68" s="13" t="n">
        <x:v>0</x:v>
      </x:c>
      <x:c r="AM68" s="9" t="str">
        <x:v>null</x:v>
      </x:c>
      <x:c r="AN68" s="9" t="str">
        <x:v>null</x:v>
      </x:c>
      <x:c r="AO68" s="9" t="str">
        <x:v>https://www.ebi.ac.uk/chembl/api/data/activity/16670424.json</x:v>
      </x:c>
    </x:row>
    <x:row r="69" ht="36" customHeight="1">
      <x:c r="A69" s="14" t="str">
        <x:v>MRFLPGUUAPCTFB-RDGATRHJSA-N</x:v>
      </x:c>
      <x:c r="B69" s="14" t="str">
        <x:v>CHEMBL3913542</x:v>
      </x:c>
      <x:c r="C69" s="14" t="str">
        <x:v>CHEMBL3913542</x:v>
      </x:c>
      <x:c r="D69" s="14" t="str">
        <x:v>16670425</x:v>
      </x:c>
      <x:c r="E69" s="14" t="str">
        <x:v>16670425</x:v>
      </x:c>
      <x:c r="F69" s="14" t="str">
        <x:v>CHEMBL3855278</x:v>
      </x:c>
      <x:c r="G69" s="14" t="str">
        <x:v>CHEMBL217</x:v>
      </x:c>
      <x:c r="H69" s="14" t="str">
        <x:v>CHEMBL3853329</x:v>
      </x:c>
      <x:c r="I69" s="14" t="str">
        <x:v>Cc1ccc(-c2nnc(SCCCN3CC[C@]4(C[C@@H]4c4ccc(C(F)(F)F)cc4)C3)n2C)c(C)n1</x:v>
      </x:c>
      <x:c r="J69" s="14" t="str">
        <x:v>Cc1ccc(-c2nnc(SCCCN3CC[C@]4(C[C@@H]4c4ccc(C(F)(F)F)cc4)C3)n2C)c(C)n1</x:v>
      </x:c>
      <x:c r="K69" s="14" t="str">
        <x:v>source_reported_pKi</x:v>
      </x:c>
      <x:c r="L69" s="15" t="n">
        <x:v>5.91</x:v>
      </x:c>
      <x:c r="M69" s="15" t="n">
        <x:v>1230.268770812381</x:v>
      </x:c>
      <x:c r="N69" s="15" t="n">
        <x:v>1230.27</x:v>
      </x:c>
      <x:c r="O69" s="15" t="n">
        <x:v>5.90999956608739</x:v>
      </x:c>
      <x:c r="P69" s="16" t="n">
        <x:v>-4.3391260984293467e-7</x:v>
      </x:c>
      <x:c r="Q69" s="16" t="n">
        <x:v>0.0012291876189465256</x:v>
      </x:c>
      <x:c r="R69" s="15" t="n">
        <x:v>0.00501</x:v>
      </x:c>
      <x:c r="S69" s="14" t="str">
        <x:v>Cc1ccc(-c2nnc(SCCCN3CC[C@]4(C[C@@H]4c4ccc(C(F)(F)F)cc4)C3)n2C)c(C)n1</x:v>
      </x:c>
      <x:c r="T69" s="14" t="str">
        <x:v>Cc1ccc(-c2nnc(SCCCN3CC[C@]4(C[C@@H]4c4ccc(C(F)(F)F)cc4)C3)n2C)c(C)n1</x:v>
      </x:c>
      <x:c r="U69" s="14" t="str">
        <x:v>MRFLPGUUAPCTFB-RDGATRHJSA-N</x:v>
      </x:c>
      <x:c r="V69" s="14" t="str">
        <x:v>Cc1ccc(-c2nnc(SCCCN3CCC4(CC4c4ccc(C(F)(F)F)cc4)C3)n2C)c(C)n1</x:v>
      </x:c>
      <x:c r="W69" s="14" t="str">
        <x:v>27731b4561e40a6f17d05d05646acdb71b9ff87b8c22691cad4b66faf1aeecac</x:v>
      </x:c>
      <x:c r="X69" s="14" t="str">
        <x:v>c1ccc(C2CC23CCN(CCCSc2nnc(-c4cccnc4)[nH]2)C3)cc1</x:v>
      </x:c>
      <x:c r="Y69" s="14" t="str">
        <x:v>false</x:v>
      </x:c>
      <x:c r="Z69" s="17" t="n">
        <x:v>1</x:v>
      </x:c>
      <x:c r="AA69" s="14" t="str">
        <x:v>include</x:v>
      </x:c>
      <x:c r="AB69" s="14" t="str"/>
      <x:c r="AC69" s="14" t="str">
        <x:v>pKi</x:v>
      </x:c>
      <x:c r="AD69" s="14" t="str">
        <x:v>5.91</x:v>
      </x:c>
      <x:c r="AE69" s="14" t="str">
        <x:v>null</x:v>
      </x:c>
      <x:c r="AF69" s="14" t="str">
        <x:v>=</x:v>
      </x:c>
      <x:c r="AG69" s="14" t="str">
        <x:v>Ki</x:v>
      </x:c>
      <x:c r="AH69" s="15" t="n">
        <x:v>1230.27</x:v>
      </x:c>
      <x:c r="AI69" s="14" t="str">
        <x:v>nM</x:v>
      </x:c>
      <x:c r="AJ69" s="14" t="str">
        <x:v>=</x:v>
      </x:c>
      <x:c r="AK69" s="15" t="n">
        <x:v>5.91</x:v>
      </x:c>
      <x:c r="AL69" s="17" t="n">
        <x:v>0</x:v>
      </x:c>
      <x:c r="AM69" s="14" t="str">
        <x:v>null</x:v>
      </x:c>
      <x:c r="AN69" s="14" t="str">
        <x:v>null</x:v>
      </x:c>
      <x:c r="AO69" s="14" t="str">
        <x:v>https://www.ebi.ac.uk/chembl/api/data/activity/16670425.json</x:v>
      </x:c>
    </x:row>
    <x:row r="70" ht="36" customHeight="1">
      <x:c r="A70" s="9" t="str">
        <x:v>WEEBXSDEOQNZPK-NLFFAJNJSA-N</x:v>
      </x:c>
      <x:c r="B70" s="9" t="str">
        <x:v>CHEMBL3941520</x:v>
      </x:c>
      <x:c r="C70" s="9" t="str">
        <x:v>CHEMBL3941520</x:v>
      </x:c>
      <x:c r="D70" s="9" t="str">
        <x:v>16670426</x:v>
      </x:c>
      <x:c r="E70" s="9" t="str">
        <x:v>16670426</x:v>
      </x:c>
      <x:c r="F70" s="9" t="str">
        <x:v>CHEMBL3855278</x:v>
      </x:c>
      <x:c r="G70" s="9" t="str">
        <x:v>CHEMBL217</x:v>
      </x:c>
      <x:c r="H70" s="9" t="str">
        <x:v>CHEMBL3853329</x:v>
      </x:c>
      <x:c r="I70" s="9" t="str">
        <x:v>Cc1nc(C(N)=O)ccc1-c1nnc(SCCCN2CC[C@]3(C[C@@H]3c3ccc(C(F)(F)F)cc3)C2)n1C</x:v>
      </x:c>
      <x:c r="J70" s="9" t="str">
        <x:v>Cc1nc(C(N)=O)ccc1-c1nnc(SCCCN2CC[C@]3(C[C@@H]3c3ccc(C(F)(F)F)cc3)C2)n1C</x:v>
      </x:c>
      <x:c r="K70" s="9" t="str">
        <x:v>source_reported_pKi</x:v>
      </x:c>
      <x:c r="L70" s="11" t="n">
        <x:v>5.94</x:v>
      </x:c>
      <x:c r="M70" s="11" t="n">
        <x:v>1148.1536214968817</x:v>
      </x:c>
      <x:c r="N70" s="11" t="n">
        <x:v>1148.15</x:v>
      </x:c>
      <x:c r="O70" s="11" t="n">
        <x:v>5.940001369850309</x:v>
      </x:c>
      <x:c r="P70" s="12" t="n">
        <x:v>0.0000013698503087411495</x:v>
      </x:c>
      <x:c r="Q70" s="12" t="n">
        <x:v>-0.003621496881578423</x:v>
      </x:c>
      <x:c r="R70" s="11" t="n">
        <x:v>0.00501</x:v>
      </x:c>
      <x:c r="S70" s="9" t="str">
        <x:v>Cc1nc(C(N)=O)ccc1-c1nnc(SCCCN2CC[C@]3(C[C@@H]3c3ccc(C(F)(F)F)cc3)C2)n1C</x:v>
      </x:c>
      <x:c r="T70" s="9" t="str">
        <x:v>Cc1nc(C(N)=O)ccc1-c1nnc(SCCCN2CC[C@]3(C[C@@H]3c3ccc(C(F)(F)F)cc3)C2)n1C</x:v>
      </x:c>
      <x:c r="U70" s="9" t="str">
        <x:v>WEEBXSDEOQNZPK-NLFFAJNJSA-N</x:v>
      </x:c>
      <x:c r="V70" s="9" t="str">
        <x:v>Cc1nc(C(N)=O)ccc1-c1nnc(SCCCN2CCC3(CC3c3ccc(C(F)(F)F)cc3)C2)n1C</x:v>
      </x:c>
      <x:c r="W70" s="9" t="str">
        <x:v>c4ff51d877a5ad4bdaf2d344461b6e2e0e5c9e902f4eb61f1ae1b6a28ec0009e</x:v>
      </x:c>
      <x:c r="X70" s="9" t="str">
        <x:v>c1ccc(C2CC23CCN(CCCSc2nnc(-c4cccnc4)[nH]2)C3)cc1</x:v>
      </x:c>
      <x:c r="Y70" s="9" t="str">
        <x:v>false</x:v>
      </x:c>
      <x:c r="Z70" s="13" t="n">
        <x:v>1</x:v>
      </x:c>
      <x:c r="AA70" s="9" t="str">
        <x:v>include</x:v>
      </x:c>
      <x:c r="AB70" s="9" t="str"/>
      <x:c r="AC70" s="9" t="str">
        <x:v>pKi</x:v>
      </x:c>
      <x:c r="AD70" s="9" t="str">
        <x:v>5.94</x:v>
      </x:c>
      <x:c r="AE70" s="9" t="str">
        <x:v>null</x:v>
      </x:c>
      <x:c r="AF70" s="9" t="str">
        <x:v>=</x:v>
      </x:c>
      <x:c r="AG70" s="9" t="str">
        <x:v>Ki</x:v>
      </x:c>
      <x:c r="AH70" s="11" t="n">
        <x:v>1148.15</x:v>
      </x:c>
      <x:c r="AI70" s="9" t="str">
        <x:v>nM</x:v>
      </x:c>
      <x:c r="AJ70" s="9" t="str">
        <x:v>=</x:v>
      </x:c>
      <x:c r="AK70" s="11" t="n">
        <x:v>5.94</x:v>
      </x:c>
      <x:c r="AL70" s="13" t="n">
        <x:v>0</x:v>
      </x:c>
      <x:c r="AM70" s="9" t="str">
        <x:v>null</x:v>
      </x:c>
      <x:c r="AN70" s="9" t="str">
        <x:v>null</x:v>
      </x:c>
      <x:c r="AO70" s="9" t="str">
        <x:v>https://www.ebi.ac.uk/chembl/api/data/activity/16670426.json</x:v>
      </x:c>
    </x:row>
    <x:row r="71" ht="36" customHeight="1">
      <x:c r="A71" s="14" t="str">
        <x:v>FXIOLEMXUYMYEG-NLFFAJNJSA-N</x:v>
      </x:c>
      <x:c r="B71" s="14" t="str">
        <x:v>CHEMBL3964649</x:v>
      </x:c>
      <x:c r="C71" s="14" t="str">
        <x:v>CHEMBL3964649</x:v>
      </x:c>
      <x:c r="D71" s="14" t="str">
        <x:v>16670427</x:v>
      </x:c>
      <x:c r="E71" s="14" t="str">
        <x:v>16670427</x:v>
      </x:c>
      <x:c r="F71" s="14" t="str">
        <x:v>CHEMBL3855278</x:v>
      </x:c>
      <x:c r="G71" s="14" t="str">
        <x:v>CHEMBL217</x:v>
      </x:c>
      <x:c r="H71" s="14" t="str">
        <x:v>CHEMBL3853329</x:v>
      </x:c>
      <x:c r="I71" s="14" t="str">
        <x:v>Cc1nc(C(=O)O)ccc1-c1nnc(SCCCN2CC[C@]3(C[C@@H]3c3ccc(C(F)(F)F)cc3)C2)n1C</x:v>
      </x:c>
      <x:c r="J71" s="14" t="str">
        <x:v>Cc1nc(C(=O)O)ccc1-c1nnc(SCCCN2CC[C@]3(C[C@@H]3c3ccc(C(F)(F)F)cc3)C2)n1C</x:v>
      </x:c>
      <x:c r="K71" s="14" t="str">
        <x:v>source_reported_pKi</x:v>
      </x:c>
      <x:c r="L71" s="15" t="n">
        <x:v>5.12</x:v>
      </x:c>
      <x:c r="M71" s="15" t="n">
        <x:v>7585.775750291836</x:v>
      </x:c>
      <x:c r="N71" s="15" t="n">
        <x:v>7585.78</x:v>
      </x:c>
      <x:c r="O71" s="15" t="n">
        <x:v>5.119999756699334</x:v>
      </x:c>
      <x:c r="P71" s="16" t="n">
        <x:v>-2.433006658364434e-7</x:v>
      </x:c>
      <x:c r="Q71" s="16" t="n">
        <x:v>0.0042497081640249235</x:v>
      </x:c>
      <x:c r="R71" s="15" t="n">
        <x:v>0.007585775750291835</x:v>
      </x:c>
      <x:c r="S71" s="14" t="str">
        <x:v>Cc1nc(C(=O)O)ccc1-c1nnc(SCCCN2CC[C@]3(C[C@@H]3c3ccc(C(F)(F)F)cc3)C2)n1C</x:v>
      </x:c>
      <x:c r="T71" s="14" t="str">
        <x:v>Cc1nc(C(=O)O)ccc1-c1nnc(SCCCN2CC[C@]3(C[C@@H]3c3ccc(C(F)(F)F)cc3)C2)n1C</x:v>
      </x:c>
      <x:c r="U71" s="14" t="str">
        <x:v>FXIOLEMXUYMYEG-NLFFAJNJSA-N</x:v>
      </x:c>
      <x:c r="V71" s="14" t="str">
        <x:v>Cc1nc(C(=O)O)ccc1-c1nnc(SCCCN2CCC3(CC3c3ccc(C(F)(F)F)cc3)C2)n1C</x:v>
      </x:c>
      <x:c r="W71" s="14" t="str">
        <x:v>9f519e4703424464cfd09e1c6a9cd0d43fcdaf1febb212b1976d0396d5f37cf7</x:v>
      </x:c>
      <x:c r="X71" s="14" t="str">
        <x:v>c1ccc(C2CC23CCN(CCCSc2nnc(-c4cccnc4)[nH]2)C3)cc1</x:v>
      </x:c>
      <x:c r="Y71" s="14" t="str">
        <x:v>false</x:v>
      </x:c>
      <x:c r="Z71" s="17" t="n">
        <x:v>1</x:v>
      </x:c>
      <x:c r="AA71" s="14" t="str">
        <x:v>include</x:v>
      </x:c>
      <x:c r="AB71" s="14" t="str"/>
      <x:c r="AC71" s="14" t="str">
        <x:v>pKi</x:v>
      </x:c>
      <x:c r="AD71" s="14" t="str">
        <x:v>5.12</x:v>
      </x:c>
      <x:c r="AE71" s="14" t="str">
        <x:v>null</x:v>
      </x:c>
      <x:c r="AF71" s="14" t="str">
        <x:v>=</x:v>
      </x:c>
      <x:c r="AG71" s="14" t="str">
        <x:v>Ki</x:v>
      </x:c>
      <x:c r="AH71" s="15" t="n">
        <x:v>7585.78</x:v>
      </x:c>
      <x:c r="AI71" s="14" t="str">
        <x:v>nM</x:v>
      </x:c>
      <x:c r="AJ71" s="14" t="str">
        <x:v>=</x:v>
      </x:c>
      <x:c r="AK71" s="15" t="n">
        <x:v>5.12</x:v>
      </x:c>
      <x:c r="AL71" s="17" t="n">
        <x:v>0</x:v>
      </x:c>
      <x:c r="AM71" s="14" t="str">
        <x:v>null</x:v>
      </x:c>
      <x:c r="AN71" s="14" t="str">
        <x:v>null</x:v>
      </x:c>
      <x:c r="AO71" s="14" t="str">
        <x:v>https://www.ebi.ac.uk/chembl/api/data/activity/16670427.json</x:v>
      </x:c>
    </x:row>
    <x:row r="72" ht="36" customHeight="1">
      <x:c r="A72" s="9" t="str">
        <x:v>JVGDBVAGMMZAGB-YKSBVNFPSA-N</x:v>
      </x:c>
      <x:c r="B72" s="9" t="str">
        <x:v>CHEMBL3894853</x:v>
      </x:c>
      <x:c r="C72" s="9" t="str">
        <x:v>CHEMBL3894853</x:v>
      </x:c>
      <x:c r="D72" s="9" t="str">
        <x:v>16670459</x:v>
      </x:c>
      <x:c r="E72" s="9" t="str">
        <x:v>16670459</x:v>
      </x:c>
      <x:c r="F72" s="9" t="str">
        <x:v>CHEMBL3855278</x:v>
      </x:c>
      <x:c r="G72" s="9" t="str">
        <x:v>CHEMBL217</x:v>
      </x:c>
      <x:c r="H72" s="9" t="str">
        <x:v>CHEMBL3853329</x:v>
      </x:c>
      <x:c r="I72" s="9" t="str">
        <x:v>Cn1c(SCCCN2CC[C@]3(C[C@@H]3c3ccc(C(F)(F)F)cc3)C2)nnc1-c1ccn(C)c(=O)c1</x:v>
      </x:c>
      <x:c r="J72" s="9" t="str">
        <x:v>Cn1c(SCCCN2CC[C@]3(C[C@@H]3c3ccc(C(F)(F)F)cc3)C2)nnc1-c1ccn(C)c(=O)c1</x:v>
      </x:c>
      <x:c r="K72" s="9" t="str">
        <x:v>source_reported_pKi</x:v>
      </x:c>
      <x:c r="L72" s="11" t="n">
        <x:v>5.65</x:v>
      </x:c>
      <x:c r="M72" s="11" t="n">
        <x:v>2238.7211385683377</x:v>
      </x:c>
      <x:c r="N72" s="11" t="n">
        <x:v>2238.72</x:v>
      </x:c>
      <x:c r="O72" s="11" t="n">
        <x:v>5.650000220873455</x:v>
      </x:c>
      <x:c r="P72" s="12" t="n">
        <x:v>2.2087345463717156e-7</x:v>
      </x:c>
      <x:c r="Q72" s="12" t="n">
        <x:v>-0.0011385683378648537</x:v>
      </x:c>
      <x:c r="R72" s="11" t="n">
        <x:v>0.00501</x:v>
      </x:c>
      <x:c r="S72" s="9" t="str">
        <x:v>Cn1c(SCCCN2CC[C@]3(C[C@@H]3c3ccc(C(F)(F)F)cc3)C2)nnc1-c1ccn(C)c(=O)c1</x:v>
      </x:c>
      <x:c r="T72" s="9" t="str">
        <x:v>Cn1c(SCCCN2CC[C@]3(C[C@@H]3c3ccc(C(F)(F)F)cc3)C2)nnc1-c1ccn(C)c(=O)c1</x:v>
      </x:c>
      <x:c r="U72" s="9" t="str">
        <x:v>JVGDBVAGMMZAGB-YKSBVNFPSA-N</x:v>
      </x:c>
      <x:c r="V72" s="9" t="str">
        <x:v>Cn1c(SCCCN2CCC3(CC3c3ccc(C(F)(F)F)cc3)C2)nnc1-c1ccn(C)c(=O)c1</x:v>
      </x:c>
      <x:c r="W72" s="9" t="str">
        <x:v>6a804ade9c2b1724e4288c3e86a07b335fdf491ad1c5e3249a30015eb625e6de</x:v>
      </x:c>
      <x:c r="X72" s="9" t="str">
        <x:v>O=c1cc(-c2nnc(SCCCN3CCC4(CC4c4ccccc4)C3)[nH]2)cc[nH]1</x:v>
      </x:c>
      <x:c r="Y72" s="9" t="str">
        <x:v>false</x:v>
      </x:c>
      <x:c r="Z72" s="13" t="n">
        <x:v>1</x:v>
      </x:c>
      <x:c r="AA72" s="9" t="str">
        <x:v>include</x:v>
      </x:c>
      <x:c r="AB72" s="9" t="str"/>
      <x:c r="AC72" s="9" t="str">
        <x:v>pKi</x:v>
      </x:c>
      <x:c r="AD72" s="9" t="str">
        <x:v>5.65</x:v>
      </x:c>
      <x:c r="AE72" s="9" t="str">
        <x:v>null</x:v>
      </x:c>
      <x:c r="AF72" s="9" t="str">
        <x:v>=</x:v>
      </x:c>
      <x:c r="AG72" s="9" t="str">
        <x:v>Ki</x:v>
      </x:c>
      <x:c r="AH72" s="11" t="n">
        <x:v>2238.72</x:v>
      </x:c>
      <x:c r="AI72" s="9" t="str">
        <x:v>nM</x:v>
      </x:c>
      <x:c r="AJ72" s="9" t="str">
        <x:v>=</x:v>
      </x:c>
      <x:c r="AK72" s="11" t="n">
        <x:v>5.65</x:v>
      </x:c>
      <x:c r="AL72" s="13" t="n">
        <x:v>0</x:v>
      </x:c>
      <x:c r="AM72" s="9" t="str">
        <x:v>null</x:v>
      </x:c>
      <x:c r="AN72" s="9" t="str">
        <x:v>null</x:v>
      </x:c>
      <x:c r="AO72" s="9" t="str">
        <x:v>https://www.ebi.ac.uk/chembl/api/data/activity/16670459.json</x:v>
      </x:c>
    </x:row>
    <x:row r="73" ht="36" customHeight="1">
      <x:c r="A73" s="14" t="str">
        <x:v>VQODXNCHOGDXSX-YKSBVNFPSA-N</x:v>
      </x:c>
      <x:c r="B73" s="14" t="str">
        <x:v>CHEMBL3963243</x:v>
      </x:c>
      <x:c r="C73" s="14" t="str">
        <x:v>CHEMBL3963243</x:v>
      </x:c>
      <x:c r="D73" s="14" t="str">
        <x:v>16670460</x:v>
      </x:c>
      <x:c r="E73" s="14" t="str">
        <x:v>16670460</x:v>
      </x:c>
      <x:c r="F73" s="14" t="str">
        <x:v>CHEMBL3855278</x:v>
      </x:c>
      <x:c r="G73" s="14" t="str">
        <x:v>CHEMBL217</x:v>
      </x:c>
      <x:c r="H73" s="14" t="str">
        <x:v>CHEMBL3853329</x:v>
      </x:c>
      <x:c r="I73" s="14" t="str">
        <x:v>Cn1c(SCCCN2CC[C@]3(C[C@@H]3c3ccc(C(F)(F)F)cc3)C2)nnc1C1CCN(C(N)=O)CC1</x:v>
      </x:c>
      <x:c r="J73" s="14" t="str">
        <x:v>Cn1c(SCCCN2CC[C@]3(C[C@@H]3c3ccc(C(F)(F)F)cc3)C2)nnc1C1CCN(C(N)=O)CC1</x:v>
      </x:c>
      <x:c r="K73" s="14" t="str">
        <x:v>source_reported_pKi</x:v>
      </x:c>
      <x:c r="L73" s="15" t="n">
        <x:v>6</x:v>
      </x:c>
      <x:c r="M73" s="15" t="n">
        <x:v>1000</x:v>
      </x:c>
      <x:c r="N73" s="15" t="n">
        <x:v>1000</x:v>
      </x:c>
      <x:c r="O73" s="15" t="n">
        <x:v>6</x:v>
      </x:c>
      <x:c r="P73" s="16" t="n">
        <x:v>0</x:v>
      </x:c>
      <x:c r="Q73" s="16" t="n">
        <x:v>0</x:v>
      </x:c>
      <x:c r="R73" s="15" t="n">
        <x:v>0.00501</x:v>
      </x:c>
      <x:c r="S73" s="14" t="str">
        <x:v>Cn1c(SCCCN2CC[C@]3(C[C@@H]3c3ccc(C(F)(F)F)cc3)C2)nnc1C1CCN(C(N)=O)CC1</x:v>
      </x:c>
      <x:c r="T73" s="14" t="str">
        <x:v>Cn1c(SCCCN2CC[C@]3(C[C@@H]3c3ccc(C(F)(F)F)cc3)C2)nnc1C1CCN(C(N)=O)CC1</x:v>
      </x:c>
      <x:c r="U73" s="14" t="str">
        <x:v>VQODXNCHOGDXSX-YKSBVNFPSA-N</x:v>
      </x:c>
      <x:c r="V73" s="14" t="str">
        <x:v>Cn1c(SCCCN2CCC3(CC3c3ccc(C(F)(F)F)cc3)C2)nnc1C1CCN(C(N)=O)CC1</x:v>
      </x:c>
      <x:c r="W73" s="14" t="str">
        <x:v>6c7a54b6a68cee04940cff96462779f9cad11b0a699b84ba141de624145d0c8f</x:v>
      </x:c>
      <x:c r="X73" s="14" t="str">
        <x:v>c1ccc(C2CC23CCN(CCCSc2nnc(C4CCNCC4)[nH]2)C3)cc1</x:v>
      </x:c>
      <x:c r="Y73" s="14" t="str">
        <x:v>false</x:v>
      </x:c>
      <x:c r="Z73" s="17" t="n">
        <x:v>1</x:v>
      </x:c>
      <x:c r="AA73" s="14" t="str">
        <x:v>include</x:v>
      </x:c>
      <x:c r="AB73" s="14" t="str"/>
      <x:c r="AC73" s="14" t="str">
        <x:v>pKi</x:v>
      </x:c>
      <x:c r="AD73" s="14" t="str">
        <x:v>6.0</x:v>
      </x:c>
      <x:c r="AE73" s="14" t="str">
        <x:v>null</x:v>
      </x:c>
      <x:c r="AF73" s="14" t="str">
        <x:v>=</x:v>
      </x:c>
      <x:c r="AG73" s="14" t="str">
        <x:v>Ki</x:v>
      </x:c>
      <x:c r="AH73" s="15" t="n">
        <x:v>1000</x:v>
      </x:c>
      <x:c r="AI73" s="14" t="str">
        <x:v>nM</x:v>
      </x:c>
      <x:c r="AJ73" s="14" t="str">
        <x:v>=</x:v>
      </x:c>
      <x:c r="AK73" s="15" t="n">
        <x:v>6</x:v>
      </x:c>
      <x:c r="AL73" s="17" t="n">
        <x:v>0</x:v>
      </x:c>
      <x:c r="AM73" s="14" t="str">
        <x:v>null</x:v>
      </x:c>
      <x:c r="AN73" s="14" t="str">
        <x:v>null</x:v>
      </x:c>
      <x:c r="AO73" s="14" t="str">
        <x:v>https://www.ebi.ac.uk/chembl/api/data/activity/16670460.json</x:v>
      </x:c>
    </x:row>
    <x:row r="74" ht="36" customHeight="1">
      <x:c r="A74" s="9" t="str">
        <x:v>PPLSEYBUMZWQHS-OFNKIYASSA-N</x:v>
      </x:c>
      <x:c r="B74" s="9" t="str">
        <x:v>CHEMBL3948167</x:v>
      </x:c>
      <x:c r="C74" s="9" t="str">
        <x:v>CHEMBL3948167</x:v>
      </x:c>
      <x:c r="D74" s="9" t="str">
        <x:v>16670461</x:v>
      </x:c>
      <x:c r="E74" s="9" t="str">
        <x:v>16670461</x:v>
      </x:c>
      <x:c r="F74" s="9" t="str">
        <x:v>CHEMBL3855278</x:v>
      </x:c>
      <x:c r="G74" s="9" t="str">
        <x:v>CHEMBL217</x:v>
      </x:c>
      <x:c r="H74" s="9" t="str">
        <x:v>CHEMBL3853329</x:v>
      </x:c>
      <x:c r="I74" s="9" t="str">
        <x:v>Cn1c(SCCCN2CC[C@]3(C[C@@H]3c3ccc(C(F)(F)F)cc3)C2)nnc1C1CCOCC1</x:v>
      </x:c>
      <x:c r="J74" s="9" t="str">
        <x:v>Cn1c(SCCCN2CC[C@]3(C[C@@H]3c3ccc(C(F)(F)F)cc3)C2)nnc1C1CCOCC1</x:v>
      </x:c>
      <x:c r="K74" s="9" t="str">
        <x:v>source_reported_pKi</x:v>
      </x:c>
      <x:c r="L74" s="11" t="n">
        <x:v>6.09</x:v>
      </x:c>
      <x:c r="M74" s="11" t="n">
        <x:v>812.8305161640995</x:v>
      </x:c>
      <x:c r="N74" s="11" t="n">
        <x:v>812.83</x:v>
      </x:c>
      <x:c r="O74" s="11" t="n">
        <x:v>6.090000275786018</x:v>
      </x:c>
      <x:c r="P74" s="12" t="n">
        <x:v>2.757860180224725e-7</x:v>
      </x:c>
      <x:c r="Q74" s="12" t="n">
        <x:v>-0.0005161640995083872</x:v>
      </x:c>
      <x:c r="R74" s="11" t="n">
        <x:v>0.00501</x:v>
      </x:c>
      <x:c r="S74" s="9" t="str">
        <x:v>Cn1c(SCCCN2CC[C@]3(C[C@@H]3c3ccc(C(F)(F)F)cc3)C2)nnc1C1CCOCC1</x:v>
      </x:c>
      <x:c r="T74" s="9" t="str">
        <x:v>Cn1c(SCCCN2CC[C@]3(C[C@@H]3c3ccc(C(F)(F)F)cc3)C2)nnc1C1CCOCC1</x:v>
      </x:c>
      <x:c r="U74" s="9" t="str">
        <x:v>PPLSEYBUMZWQHS-OFNKIYASSA-N</x:v>
      </x:c>
      <x:c r="V74" s="9" t="str">
        <x:v>Cn1c(SCCCN2CCC3(CC3c3ccc(C(F)(F)F)cc3)C2)nnc1C1CCOCC1</x:v>
      </x:c>
      <x:c r="W74" s="9" t="str">
        <x:v>ef2b5648ef015e2fc73bbbe997731efe7ccd5141787e613b97931af8a4e90427</x:v>
      </x:c>
      <x:c r="X74" s="9" t="str">
        <x:v>c1ccc(C2CC23CCN(CCCSc2nnc(C4CCOCC4)[nH]2)C3)cc1</x:v>
      </x:c>
      <x:c r="Y74" s="9" t="str">
        <x:v>false</x:v>
      </x:c>
      <x:c r="Z74" s="13" t="n">
        <x:v>1</x:v>
      </x:c>
      <x:c r="AA74" s="9" t="str">
        <x:v>include</x:v>
      </x:c>
      <x:c r="AB74" s="9" t="str"/>
      <x:c r="AC74" s="9" t="str">
        <x:v>pKi</x:v>
      </x:c>
      <x:c r="AD74" s="9" t="str">
        <x:v>6.09</x:v>
      </x:c>
      <x:c r="AE74" s="9" t="str">
        <x:v>null</x:v>
      </x:c>
      <x:c r="AF74" s="9" t="str">
        <x:v>=</x:v>
      </x:c>
      <x:c r="AG74" s="9" t="str">
        <x:v>Ki</x:v>
      </x:c>
      <x:c r="AH74" s="11" t="n">
        <x:v>812.83</x:v>
      </x:c>
      <x:c r="AI74" s="9" t="str">
        <x:v>nM</x:v>
      </x:c>
      <x:c r="AJ74" s="9" t="str">
        <x:v>=</x:v>
      </x:c>
      <x:c r="AK74" s="11" t="n">
        <x:v>6.09</x:v>
      </x:c>
      <x:c r="AL74" s="13" t="n">
        <x:v>0</x:v>
      </x:c>
      <x:c r="AM74" s="9" t="str">
        <x:v>null</x:v>
      </x:c>
      <x:c r="AN74" s="9" t="str">
        <x:v>null</x:v>
      </x:c>
      <x:c r="AO74" s="9" t="str">
        <x:v>https://www.ebi.ac.uk/chembl/api/data/activity/16670461.json</x:v>
      </x:c>
    </x:row>
    <x:row r="75" ht="36" customHeight="1">
      <x:c r="A75" s="14" t="str">
        <x:v>IQKUCRAAVAKXAF-CEJRHITASA-N</x:v>
      </x:c>
      <x:c r="B75" s="14" t="str">
        <x:v>CHEMBL3903779</x:v>
      </x:c>
      <x:c r="C75" s="14" t="str">
        <x:v>CHEMBL3903779</x:v>
      </x:c>
      <x:c r="D75" s="14" t="str">
        <x:v>16670462</x:v>
      </x:c>
      <x:c r="E75" s="14" t="str">
        <x:v>16670462</x:v>
      </x:c>
      <x:c r="F75" s="14" t="str">
        <x:v>CHEMBL3855278</x:v>
      </x:c>
      <x:c r="G75" s="14" t="str">
        <x:v>CHEMBL217</x:v>
      </x:c>
      <x:c r="H75" s="14" t="str">
        <x:v>CHEMBL3853329</x:v>
      </x:c>
      <x:c r="I75" s="14" t="str">
        <x:v>Cn1c(SCCCN2CC[C@]3(C[C@@H]3c3ccc(C(F)(F)F)cc3)C2)nnc1C1CC2CCC(C1)O2</x:v>
      </x:c>
      <x:c r="J75" s="14" t="str">
        <x:v>Cn1c(SCCCN2CC[C@]3(C[C@@H]3c3ccc(C(F)(F)F)cc3)C2)nnc1C1CC2CCC(C1)O2</x:v>
      </x:c>
      <x:c r="K75" s="14" t="str">
        <x:v>source_reported_pKi</x:v>
      </x:c>
      <x:c r="L75" s="15" t="n">
        <x:v>6.13</x:v>
      </x:c>
      <x:c r="M75" s="15" t="n">
        <x:v>741.3102413009177</x:v>
      </x:c>
      <x:c r="N75" s="15" t="n">
        <x:v>741.31</x:v>
      </x:c>
      <x:c r="O75" s="15" t="n">
        <x:v>6.130000141365475</x:v>
      </x:c>
      <x:c r="P75" s="16" t="n">
        <x:v>1.4136547488163842e-7</x:v>
      </x:c>
      <x:c r="Q75" s="16" t="n">
        <x:v>-0.00024130091776441986</x:v>
      </x:c>
      <x:c r="R75" s="15" t="n">
        <x:v>0.00501</x:v>
      </x:c>
      <x:c r="S75" s="14" t="str">
        <x:v>Cn1c(SCCCN2CC[C@]3(C[C@@H]3c3ccc(C(F)(F)F)cc3)C2)nnc1C1CC2CCC(C1)O2</x:v>
      </x:c>
      <x:c r="T75" s="14" t="str">
        <x:v>Cn1c(SCCCN2CC[C@]3(C[C@@H]3c3ccc(C(F)(F)F)cc3)C2)nnc1C1CC2CCC(C1)O2</x:v>
      </x:c>
      <x:c r="U75" s="14" t="str">
        <x:v>IQKUCRAAVAKXAF-CEJRHITASA-N</x:v>
      </x:c>
      <x:c r="V75" s="14" t="str">
        <x:v>Cn1c(SCCCN2CCC3(CC3c3ccc(C(F)(F)F)cc3)C2)nnc1C1CC2CCC(C1)O2</x:v>
      </x:c>
      <x:c r="W75" s="14" t="str">
        <x:v>bdd5fa7d3781d1987b3a2cb325de6a9253015e989bc479b3ac59f476f4898d09</x:v>
      </x:c>
      <x:c r="X75" s="14" t="str">
        <x:v>c1ccc(C2CC23CCN(CCCSc2nnc(C4CC5CCC(C4)O5)[nH]2)C3)cc1</x:v>
      </x:c>
      <x:c r="Y75" s="14" t="str">
        <x:v>false</x:v>
      </x:c>
      <x:c r="Z75" s="17" t="n">
        <x:v>1</x:v>
      </x:c>
      <x:c r="AA75" s="14" t="str">
        <x:v>include</x:v>
      </x:c>
      <x:c r="AB75" s="14" t="str"/>
      <x:c r="AC75" s="14" t="str">
        <x:v>pKi</x:v>
      </x:c>
      <x:c r="AD75" s="14" t="str">
        <x:v>6.13</x:v>
      </x:c>
      <x:c r="AE75" s="14" t="str">
        <x:v>null</x:v>
      </x:c>
      <x:c r="AF75" s="14" t="str">
        <x:v>=</x:v>
      </x:c>
      <x:c r="AG75" s="14" t="str">
        <x:v>Ki</x:v>
      </x:c>
      <x:c r="AH75" s="15" t="n">
        <x:v>741.31</x:v>
      </x:c>
      <x:c r="AI75" s="14" t="str">
        <x:v>nM</x:v>
      </x:c>
      <x:c r="AJ75" s="14" t="str">
        <x:v>=</x:v>
      </x:c>
      <x:c r="AK75" s="15" t="n">
        <x:v>6.13</x:v>
      </x:c>
      <x:c r="AL75" s="17" t="n">
        <x:v>0</x:v>
      </x:c>
      <x:c r="AM75" s="14" t="str">
        <x:v>null</x:v>
      </x:c>
      <x:c r="AN75" s="14" t="str">
        <x:v>null</x:v>
      </x:c>
      <x:c r="AO75" s="14" t="str">
        <x:v>https://www.ebi.ac.uk/chembl/api/data/activity/16670462.json</x:v>
      </x:c>
    </x:row>
    <x:row r="76" ht="36" customHeight="1">
      <x:c r="A76" s="9" t="str">
        <x:v>CTRVTEOXKBMCKO-QPPBQGQZSA-N</x:v>
      </x:c>
      <x:c r="B76" s="9" t="str">
        <x:v>CHEMBL3958201</x:v>
      </x:c>
      <x:c r="C76" s="9" t="str">
        <x:v>CHEMBL3958201</x:v>
      </x:c>
      <x:c r="D76" s="9" t="str">
        <x:v>16670463</x:v>
      </x:c>
      <x:c r="E76" s="9" t="str">
        <x:v>16670463</x:v>
      </x:c>
      <x:c r="F76" s="9" t="str">
        <x:v>CHEMBL3855278</x:v>
      </x:c>
      <x:c r="G76" s="9" t="str">
        <x:v>CHEMBL217</x:v>
      </x:c>
      <x:c r="H76" s="9" t="str">
        <x:v>CHEMBL3853329</x:v>
      </x:c>
      <x:c r="I76" s="9" t="str">
        <x:v>Cn1c(SCCCN2CC[C@]3(C[C@@H]3c3ccc(C(F)(F)F)cc3)C2)nnc1C1CCCCC1</x:v>
      </x:c>
      <x:c r="J76" s="9" t="str">
        <x:v>Cn1c(SCCCN2CC[C@]3(C[C@@H]3c3ccc(C(F)(F)F)cc3)C2)nnc1C1CCCCC1</x:v>
      </x:c>
      <x:c r="K76" s="9" t="str">
        <x:v>source_reported_pKi</x:v>
      </x:c>
      <x:c r="L76" s="11" t="n">
        <x:v>6.23</x:v>
      </x:c>
      <x:c r="M76" s="11" t="n">
        <x:v>588.8436553555883</x:v>
      </x:c>
      <x:c r="N76" s="11" t="n">
        <x:v>588.84</x:v>
      </x:c>
      <x:c r="O76" s="11" t="n">
        <x:v>6.23000269597146</x:v>
      </x:c>
      <x:c r="P76" s="12" t="n">
        <x:v>0.0000026959714594099182</x:v>
      </x:c>
      <x:c r="Q76" s="12" t="n">
        <x:v>-0.0036553555883074296</x:v>
      </x:c>
      <x:c r="R76" s="11" t="n">
        <x:v>0.00501</x:v>
      </x:c>
      <x:c r="S76" s="9" t="str">
        <x:v>Cn1c(SCCCN2CC[C@]3(C[C@@H]3c3ccc(C(F)(F)F)cc3)C2)nnc1C1CCCCC1</x:v>
      </x:c>
      <x:c r="T76" s="9" t="str">
        <x:v>Cn1c(SCCCN2CC[C@]3(C[C@@H]3c3ccc(C(F)(F)F)cc3)C2)nnc1C1CCCCC1</x:v>
      </x:c>
      <x:c r="U76" s="9" t="str">
        <x:v>CTRVTEOXKBMCKO-QPPBQGQZSA-N</x:v>
      </x:c>
      <x:c r="V76" s="9" t="str">
        <x:v>Cn1c(SCCCN2CCC3(CC3c3ccc(C(F)(F)F)cc3)C2)nnc1C1CCCCC1</x:v>
      </x:c>
      <x:c r="W76" s="9" t="str">
        <x:v>cf2f0ebf1c808b5ef998e9f5738b6bf81257897524fbd6b02f5c5df935a83363</x:v>
      </x:c>
      <x:c r="X76" s="9" t="str">
        <x:v>c1ccc(C2CC23CCN(CCCSc2nnc(C4CCCCC4)[nH]2)C3)cc1</x:v>
      </x:c>
      <x:c r="Y76" s="9" t="str">
        <x:v>false</x:v>
      </x:c>
      <x:c r="Z76" s="13" t="n">
        <x:v>1</x:v>
      </x:c>
      <x:c r="AA76" s="9" t="str">
        <x:v>include</x:v>
      </x:c>
      <x:c r="AB76" s="9" t="str"/>
      <x:c r="AC76" s="9" t="str">
        <x:v>pKi</x:v>
      </x:c>
      <x:c r="AD76" s="9" t="str">
        <x:v>6.23</x:v>
      </x:c>
      <x:c r="AE76" s="9" t="str">
        <x:v>null</x:v>
      </x:c>
      <x:c r="AF76" s="9" t="str">
        <x:v>=</x:v>
      </x:c>
      <x:c r="AG76" s="9" t="str">
        <x:v>Ki</x:v>
      </x:c>
      <x:c r="AH76" s="11" t="n">
        <x:v>588.84</x:v>
      </x:c>
      <x:c r="AI76" s="9" t="str">
        <x:v>nM</x:v>
      </x:c>
      <x:c r="AJ76" s="9" t="str">
        <x:v>=</x:v>
      </x:c>
      <x:c r="AK76" s="11" t="n">
        <x:v>6.23</x:v>
      </x:c>
      <x:c r="AL76" s="13" t="n">
        <x:v>0</x:v>
      </x:c>
      <x:c r="AM76" s="9" t="str">
        <x:v>null</x:v>
      </x:c>
      <x:c r="AN76" s="9" t="str">
        <x:v>null</x:v>
      </x:c>
      <x:c r="AO76" s="9" t="str">
        <x:v>https://www.ebi.ac.uk/chembl/api/data/activity/16670463.json</x:v>
      </x:c>
    </x:row>
    <x:row r="77" ht="36" customHeight="1">
      <x:c r="A77" s="14" t="str">
        <x:v>OMUDHMBLKINCCX-XXBNENTESA-N</x:v>
      </x:c>
      <x:c r="B77" s="14" t="str">
        <x:v>CHEMBL3897772</x:v>
      </x:c>
      <x:c r="C77" s="14" t="str">
        <x:v>CHEMBL3897772</x:v>
      </x:c>
      <x:c r="D77" s="14" t="str">
        <x:v>16670719</x:v>
      </x:c>
      <x:c r="E77" s="14" t="str">
        <x:v>16670719</x:v>
      </x:c>
      <x:c r="F77" s="14" t="str">
        <x:v>CHEMBL3855278</x:v>
      </x:c>
      <x:c r="G77" s="14" t="str">
        <x:v>CHEMBL217</x:v>
      </x:c>
      <x:c r="H77" s="14" t="str">
        <x:v>CHEMBL3853329</x:v>
      </x:c>
      <x:c r="I77" s="14" t="str">
        <x:v>Cn1c(SCCCN2CC[C@]3(C[C@@H]3c3ccc(C(F)(F)F)cc3)C2)nnc1C1=CC=NC(=O)C1</x:v>
      </x:c>
      <x:c r="J77" s="14" t="str">
        <x:v>Cn1c(SCCCN2CC[C@]3(C[C@@H]3c3ccc(C(F)(F)F)cc3)C2)nnc1C1=CC=NC(=O)C1</x:v>
      </x:c>
      <x:c r="K77" s="14" t="str">
        <x:v>source_reported_pKi</x:v>
      </x:c>
      <x:c r="L77" s="15" t="n">
        <x:v>5.84</x:v>
      </x:c>
      <x:c r="M77" s="15" t="n">
        <x:v>1445.439770745928</x:v>
      </x:c>
      <x:c r="N77" s="15" t="n">
        <x:v>1445.44</x:v>
      </x:c>
      <x:c r="O77" s="15" t="n">
        <x:v>5.839999931118699</x:v>
      </x:c>
      <x:c r="P77" s="16" t="n">
        <x:v>-6.888130066329268e-8</x:v>
      </x:c>
      <x:c r="Q77" s="16" t="n">
        <x:v>0.00022925407211005222</x:v>
      </x:c>
      <x:c r="R77" s="15" t="n">
        <x:v>0.00501</x:v>
      </x:c>
      <x:c r="S77" s="14" t="str">
        <x:v>Cn1c(SCCCN2CC[C@]3(C[C@@H]3c3ccc(C(F)(F)F)cc3)C2)nnc1C1=CC=NC(=O)C1</x:v>
      </x:c>
      <x:c r="T77" s="14" t="str">
        <x:v>Cn1c(SCCCN2CC[C@]3(C[C@@H]3c3ccc(C(F)(F)F)cc3)C2)nnc1C1=CC=NC(=O)C1</x:v>
      </x:c>
      <x:c r="U77" s="14" t="str">
        <x:v>OMUDHMBLKINCCX-XXBNENTESA-N</x:v>
      </x:c>
      <x:c r="V77" s="14" t="str">
        <x:v>Cn1c(SCCCN2CCC3(CC3c3ccc(C(F)(F)F)cc3)C2)nnc1C1=CC=NC(=O)C1</x:v>
      </x:c>
      <x:c r="W77" s="14" t="str">
        <x:v>cccbbf0fae3970d9d17e8de18e7166b8b94d878b82a3c5ad227be7231fd166b3</x:v>
      </x:c>
      <x:c r="X77" s="14" t="str">
        <x:v>O=C1CC(c2nnc(SCCCN3CCC4(CC4c4ccccc4)C3)[nH]2)=CC=N1</x:v>
      </x:c>
      <x:c r="Y77" s="14" t="str">
        <x:v>false</x:v>
      </x:c>
      <x:c r="Z77" s="17" t="n">
        <x:v>1</x:v>
      </x:c>
      <x:c r="AA77" s="14" t="str">
        <x:v>include</x:v>
      </x:c>
      <x:c r="AB77" s="14" t="str"/>
      <x:c r="AC77" s="14" t="str">
        <x:v>pKi</x:v>
      </x:c>
      <x:c r="AD77" s="14" t="str">
        <x:v>5.84</x:v>
      </x:c>
      <x:c r="AE77" s="14" t="str">
        <x:v>null</x:v>
      </x:c>
      <x:c r="AF77" s="14" t="str">
        <x:v>=</x:v>
      </x:c>
      <x:c r="AG77" s="14" t="str">
        <x:v>Ki</x:v>
      </x:c>
      <x:c r="AH77" s="15" t="n">
        <x:v>1445.44</x:v>
      </x:c>
      <x:c r="AI77" s="14" t="str">
        <x:v>nM</x:v>
      </x:c>
      <x:c r="AJ77" s="14" t="str">
        <x:v>=</x:v>
      </x:c>
      <x:c r="AK77" s="15" t="n">
        <x:v>5.84</x:v>
      </x:c>
      <x:c r="AL77" s="17" t="n">
        <x:v>0</x:v>
      </x:c>
      <x:c r="AM77" s="14" t="str">
        <x:v>null</x:v>
      </x:c>
      <x:c r="AN77" s="14" t="str">
        <x:v>null</x:v>
      </x:c>
      <x:c r="AO77" s="14" t="str">
        <x:v>https://www.ebi.ac.uk/chembl/api/data/activity/16670719.json</x:v>
      </x:c>
    </x:row>
    <x:row r="78" ht="36" customHeight="1">
      <x:c r="A78" s="9" t="str">
        <x:v>QDBPUGDJXGIOJW-HFYIJGDASA-N</x:v>
      </x:c>
      <x:c r="B78" s="9" t="str">
        <x:v>CHEMBL3912801</x:v>
      </x:c>
      <x:c r="C78" s="9" t="str">
        <x:v>CHEMBL3912801</x:v>
      </x:c>
      <x:c r="D78" s="9" t="str">
        <x:v>16670720</x:v>
      </x:c>
      <x:c r="E78" s="9" t="str">
        <x:v>16670720</x:v>
      </x:c>
      <x:c r="F78" s="9" t="str">
        <x:v>CHEMBL3855278</x:v>
      </x:c>
      <x:c r="G78" s="9" t="str">
        <x:v>CHEMBL217</x:v>
      </x:c>
      <x:c r="H78" s="9" t="str">
        <x:v>CHEMBL3853329</x:v>
      </x:c>
      <x:c r="I78" s="9" t="str">
        <x:v>CC(=O)NC1CCC(c2nnc(SCCCN3CC[C@]4(C[C@@H]4c4ccc(C(F)(F)F)cc4)C3)n2C)CC1</x:v>
      </x:c>
      <x:c r="J78" s="9" t="str">
        <x:v>CC(=O)NC1CCC(c2nnc(SCCCN3CC[C@]4(C[C@@H]4c4ccc(C(F)(F)F)cc4)C3)n2C)CC1</x:v>
      </x:c>
      <x:c r="K78" s="9" t="str">
        <x:v>source_reported_pKi</x:v>
      </x:c>
      <x:c r="L78" s="11" t="n">
        <x:v>6.34</x:v>
      </x:c>
      <x:c r="M78" s="11" t="n">
        <x:v>457.0881896148752</x:v>
      </x:c>
      <x:c r="N78" s="11" t="n">
        <x:v>457.09</x:v>
      </x:c>
      <x:c r="O78" s="11" t="n">
        <x:v>6.339998279897117</x:v>
      </x:c>
      <x:c r="P78" s="12" t="n">
        <x:v>-0.0000017201028832403154</x:v>
      </x:c>
      <x:c r="Q78" s="12" t="n">
        <x:v>0.0018103851247701641</x:v>
      </x:c>
      <x:c r="R78" s="11" t="n">
        <x:v>0.00501</x:v>
      </x:c>
      <x:c r="S78" s="9" t="str">
        <x:v>CC(=O)NC1CCC(c2nnc(SCCCN3CC[C@]4(C[C@@H]4c4ccc(C(F)(F)F)cc4)C3)n2C)CC1</x:v>
      </x:c>
      <x:c r="T78" s="9" t="str">
        <x:v>CC(=O)NC1CCC(c2nnc(SCCCN3CC[C@]4(C[C@@H]4c4ccc(C(F)(F)F)cc4)C3)n2C)CC1</x:v>
      </x:c>
      <x:c r="U78" s="9" t="str">
        <x:v>QDBPUGDJXGIOJW-HFYIJGDASA-N</x:v>
      </x:c>
      <x:c r="V78" s="9" t="str">
        <x:v>CC(=O)NC1CCC(c2nnc(SCCCN3CCC4(CC4c4ccc(C(F)(F)F)cc4)C3)n2C)CC1</x:v>
      </x:c>
      <x:c r="W78" s="9" t="str">
        <x:v>f8c1fa3b8e3e447250d3dcd79e0bd98e79a53dd53ebb646cc1103feba1c01c05</x:v>
      </x:c>
      <x:c r="X78" s="9" t="str">
        <x:v>c1ccc(C2CC23CCN(CCCSc2nnc(C4CCCCC4)[nH]2)C3)cc1</x:v>
      </x:c>
      <x:c r="Y78" s="9" t="str">
        <x:v>false</x:v>
      </x:c>
      <x:c r="Z78" s="13" t="n">
        <x:v>1</x:v>
      </x:c>
      <x:c r="AA78" s="9" t="str">
        <x:v>include</x:v>
      </x:c>
      <x:c r="AB78" s="9" t="str"/>
      <x:c r="AC78" s="9" t="str">
        <x:v>pKi</x:v>
      </x:c>
      <x:c r="AD78" s="9" t="str">
        <x:v>6.34</x:v>
      </x:c>
      <x:c r="AE78" s="9" t="str">
        <x:v>null</x:v>
      </x:c>
      <x:c r="AF78" s="9" t="str">
        <x:v>=</x:v>
      </x:c>
      <x:c r="AG78" s="9" t="str">
        <x:v>Ki</x:v>
      </x:c>
      <x:c r="AH78" s="11" t="n">
        <x:v>457.09</x:v>
      </x:c>
      <x:c r="AI78" s="9" t="str">
        <x:v>nM</x:v>
      </x:c>
      <x:c r="AJ78" s="9" t="str">
        <x:v>=</x:v>
      </x:c>
      <x:c r="AK78" s="11" t="n">
        <x:v>6.34</x:v>
      </x:c>
      <x:c r="AL78" s="13" t="n">
        <x:v>0</x:v>
      </x:c>
      <x:c r="AM78" s="9" t="str">
        <x:v>null</x:v>
      </x:c>
      <x:c r="AN78" s="9" t="str">
        <x:v>null</x:v>
      </x:c>
      <x:c r="AO78" s="9" t="str">
        <x:v>https://www.ebi.ac.uk/chembl/api/data/activity/16670720.json</x:v>
      </x:c>
    </x:row>
    <x:row r="79" ht="36" customHeight="1">
      <x:c r="A79" s="14" t="str">
        <x:v>DRMNJQDZXRGJRN-YKSBVNFPSA-N</x:v>
      </x:c>
      <x:c r="B79" s="14" t="str">
        <x:v>CHEMBL3922838</x:v>
      </x:c>
      <x:c r="C79" s="14" t="str">
        <x:v>CHEMBL3922838</x:v>
      </x:c>
      <x:c r="D79" s="14" t="str">
        <x:v>16670825</x:v>
      </x:c>
      <x:c r="E79" s="14" t="str">
        <x:v>16670825</x:v>
      </x:c>
      <x:c r="F79" s="14" t="str">
        <x:v>CHEMBL3855278</x:v>
      </x:c>
      <x:c r="G79" s="14" t="str">
        <x:v>CHEMBL217</x:v>
      </x:c>
      <x:c r="H79" s="14" t="str">
        <x:v>CHEMBL3853329</x:v>
      </x:c>
      <x:c r="I79" s="14" t="str">
        <x:v>Cn1c(SCCCN2CC[C@]3(C[C@@H]3c3ccc(C(F)(F)F)cc3)C2)nnc1-c1ccc(=O)n(C)c1</x:v>
      </x:c>
      <x:c r="J79" s="14" t="str">
        <x:v>Cn1c(SCCCN2CC[C@]3(C[C@@H]3c3ccc(C(F)(F)F)cc3)C2)nnc1-c1ccc(=O)n(C)c1</x:v>
      </x:c>
      <x:c r="K79" s="14" t="str">
        <x:v>source_reported_pKi</x:v>
      </x:c>
      <x:c r="L79" s="15" t="n">
        <x:v>6.06</x:v>
      </x:c>
      <x:c r="M79" s="15" t="n">
        <x:v>870.9635899560815</x:v>
      </x:c>
      <x:c r="N79" s="15" t="n">
        <x:v>870.96</x:v>
      </x:c>
      <x:c r="O79" s="15" t="n">
        <x:v>6.060001790087838</x:v>
      </x:c>
      <x:c r="P79" s="16" t="n">
        <x:v>0.000001790087837960641</x:v>
      </x:c>
      <x:c r="Q79" s="16" t="n">
        <x:v>-0.0035899560814414144</x:v>
      </x:c>
      <x:c r="R79" s="15" t="n">
        <x:v>0.00501</x:v>
      </x:c>
      <x:c r="S79" s="14" t="str">
        <x:v>Cn1c(SCCCN2CC[C@]3(C[C@@H]3c3ccc(C(F)(F)F)cc3)C2)nnc1-c1ccc(=O)n(C)c1</x:v>
      </x:c>
      <x:c r="T79" s="14" t="str">
        <x:v>Cn1c(SCCCN2CC[C@]3(C[C@@H]3c3ccc(C(F)(F)F)cc3)C2)nnc1-c1ccc(=O)n(C)c1</x:v>
      </x:c>
      <x:c r="U79" s="14" t="str">
        <x:v>DRMNJQDZXRGJRN-YKSBVNFPSA-N</x:v>
      </x:c>
      <x:c r="V79" s="14" t="str">
        <x:v>Cn1c(SCCCN2CCC3(CC3c3ccc(C(F)(F)F)cc3)C2)nnc1-c1ccc(=O)n(C)c1</x:v>
      </x:c>
      <x:c r="W79" s="14" t="str">
        <x:v>40a3605ec6b3fe54f63d1c7837d2a407e24bf51f60e9de4ed7e8c205962b66ac</x:v>
      </x:c>
      <x:c r="X79" s="14" t="str">
        <x:v>O=c1ccc(-c2nnc(SCCCN3CCC4(CC4c4ccccc4)C3)[nH]2)c[nH]1</x:v>
      </x:c>
      <x:c r="Y79" s="14" t="str">
        <x:v>false</x:v>
      </x:c>
      <x:c r="Z79" s="17" t="n">
        <x:v>1</x:v>
      </x:c>
      <x:c r="AA79" s="14" t="str">
        <x:v>include</x:v>
      </x:c>
      <x:c r="AB79" s="14" t="str"/>
      <x:c r="AC79" s="14" t="str">
        <x:v>pKi</x:v>
      </x:c>
      <x:c r="AD79" s="14" t="str">
        <x:v>6.06</x:v>
      </x:c>
      <x:c r="AE79" s="14" t="str">
        <x:v>null</x:v>
      </x:c>
      <x:c r="AF79" s="14" t="str">
        <x:v>=</x:v>
      </x:c>
      <x:c r="AG79" s="14" t="str">
        <x:v>Ki</x:v>
      </x:c>
      <x:c r="AH79" s="15" t="n">
        <x:v>870.96</x:v>
      </x:c>
      <x:c r="AI79" s="14" t="str">
        <x:v>nM</x:v>
      </x:c>
      <x:c r="AJ79" s="14" t="str">
        <x:v>=</x:v>
      </x:c>
      <x:c r="AK79" s="15" t="n">
        <x:v>6.06</x:v>
      </x:c>
      <x:c r="AL79" s="17" t="n">
        <x:v>0</x:v>
      </x:c>
      <x:c r="AM79" s="14" t="str">
        <x:v>null</x:v>
      </x:c>
      <x:c r="AN79" s="14" t="str">
        <x:v>null</x:v>
      </x:c>
      <x:c r="AO79" s="14" t="str">
        <x:v>https://www.ebi.ac.uk/chembl/api/data/activity/16670825.json</x:v>
      </x:c>
    </x:row>
    <x:row r="80" ht="36" customHeight="1">
      <x:c r="A80" s="9" t="str">
        <x:v>ARSLLTCMIOZESX-PNYWAOBFSA-N</x:v>
      </x:c>
      <x:c r="B80" s="9" t="str">
        <x:v>CHEMBL3913849</x:v>
      </x:c>
      <x:c r="C80" s="9" t="str">
        <x:v>CHEMBL3913849</x:v>
      </x:c>
      <x:c r="D80" s="9" t="str">
        <x:v>16670842</x:v>
      </x:c>
      <x:c r="E80" s="9" t="str">
        <x:v>16670842</x:v>
      </x:c>
      <x:c r="F80" s="9" t="str">
        <x:v>CHEMBL3855278</x:v>
      </x:c>
      <x:c r="G80" s="9" t="str">
        <x:v>CHEMBL217</x:v>
      </x:c>
      <x:c r="H80" s="9" t="str">
        <x:v>CHEMBL3853329</x:v>
      </x:c>
      <x:c r="I80" s="9" t="str">
        <x:v>Cn1c(SCCCN2CC[C@]3(C[C@@H]3c3ccc(C(F)(F)F)cc3)C2)nnc1C1CCNC(=O)C1</x:v>
      </x:c>
      <x:c r="J80" s="9" t="str">
        <x:v>Cn1c(SCCCN2CC[C@]3(C[C@@H]3c3ccc(C(F)(F)F)cc3)C2)nnc1C1CCNC(=O)C1</x:v>
      </x:c>
      <x:c r="K80" s="9" t="str">
        <x:v>source_reported_pKi</x:v>
      </x:c>
      <x:c r="L80" s="11" t="n">
        <x:v>5.87</x:v>
      </x:c>
      <x:c r="M80" s="11" t="n">
        <x:v>1348.9628825916532</x:v>
      </x:c>
      <x:c r="N80" s="11" t="n">
        <x:v>1348.96</x:v>
      </x:c>
      <x:c r="O80" s="11" t="n">
        <x:v>5.8700009280425745</x:v>
      </x:c>
      <x:c r="P80" s="12" t="n">
        <x:v>9.280425743440901e-7</x:v>
      </x:c>
      <x:c r="Q80" s="12" t="n">
        <x:v>-0.002882591653133204</x:v>
      </x:c>
      <x:c r="R80" s="11" t="n">
        <x:v>0.00501</x:v>
      </x:c>
      <x:c r="S80" s="9" t="str">
        <x:v>Cn1c(SCCCN2CC[C@]3(C[C@@H]3c3ccc(C(F)(F)F)cc3)C2)nnc1C1CCNC(=O)C1</x:v>
      </x:c>
      <x:c r="T80" s="9" t="str">
        <x:v>Cn1c(SCCCN2CC[C@]3(C[C@@H]3c3ccc(C(F)(F)F)cc3)C2)nnc1C1CCNC(=O)C1</x:v>
      </x:c>
      <x:c r="U80" s="9" t="str">
        <x:v>ARSLLTCMIOZESX-PNYWAOBFSA-N</x:v>
      </x:c>
      <x:c r="V80" s="9" t="str">
        <x:v>Cn1c(SCCCN2CCC3(CC3c3ccc(C(F)(F)F)cc3)C2)nnc1C1CCNC(=O)C1</x:v>
      </x:c>
      <x:c r="W80" s="9" t="str">
        <x:v>4e25398992b4a0f1cd2ffb850744ec425120da51f697ab458e4135f17c747d8e</x:v>
      </x:c>
      <x:c r="X80" s="9" t="str">
        <x:v>O=C1CC(c2nnc(SCCCN3CCC4(CC4c4ccccc4)C3)[nH]2)CCN1</x:v>
      </x:c>
      <x:c r="Y80" s="9" t="str">
        <x:v>false</x:v>
      </x:c>
      <x:c r="Z80" s="13" t="n">
        <x:v>1</x:v>
      </x:c>
      <x:c r="AA80" s="9" t="str">
        <x:v>include</x:v>
      </x:c>
      <x:c r="AB80" s="9" t="str"/>
      <x:c r="AC80" s="9" t="str">
        <x:v>pKi</x:v>
      </x:c>
      <x:c r="AD80" s="9" t="str">
        <x:v>5.87</x:v>
      </x:c>
      <x:c r="AE80" s="9" t="str">
        <x:v>null</x:v>
      </x:c>
      <x:c r="AF80" s="9" t="str">
        <x:v>=</x:v>
      </x:c>
      <x:c r="AG80" s="9" t="str">
        <x:v>Ki</x:v>
      </x:c>
      <x:c r="AH80" s="11" t="n">
        <x:v>1348.96</x:v>
      </x:c>
      <x:c r="AI80" s="9" t="str">
        <x:v>nM</x:v>
      </x:c>
      <x:c r="AJ80" s="9" t="str">
        <x:v>=</x:v>
      </x:c>
      <x:c r="AK80" s="11" t="n">
        <x:v>5.87</x:v>
      </x:c>
      <x:c r="AL80" s="13" t="n">
        <x:v>0</x:v>
      </x:c>
      <x:c r="AM80" s="9" t="str">
        <x:v>null</x:v>
      </x:c>
      <x:c r="AN80" s="9" t="str">
        <x:v>null</x:v>
      </x:c>
      <x:c r="AO80" s="9" t="str">
        <x:v>https://www.ebi.ac.uk/chembl/api/data/activity/16670842.json</x:v>
      </x:c>
    </x:row>
    <x:row r="81" ht="36" customHeight="1">
      <x:c r="A81" s="14" t="str">
        <x:v>AWSNADYOKQXJRZ-BTNBVRMJSA-N</x:v>
      </x:c>
      <x:c r="B81" s="14" t="str">
        <x:v>CHEMBL3983684</x:v>
      </x:c>
      <x:c r="C81" s="14" t="str">
        <x:v>CHEMBL3983684</x:v>
      </x:c>
      <x:c r="D81" s="14" t="str">
        <x:v>16670852</x:v>
      </x:c>
      <x:c r="E81" s="14" t="str">
        <x:v>16670852</x:v>
      </x:c>
      <x:c r="F81" s="14" t="str">
        <x:v>CHEMBL3855278</x:v>
      </x:c>
      <x:c r="G81" s="14" t="str">
        <x:v>CHEMBL217</x:v>
      </x:c>
      <x:c r="H81" s="14" t="str">
        <x:v>CHEMBL3853329</x:v>
      </x:c>
      <x:c r="I81" s="14" t="str">
        <x:v>CN1CCC(c2nnc(SCCCN3CC[C@]4(C[C@@H]4c4ccc(C(F)(F)F)cc4)C3)n2C)CC1=O</x:v>
      </x:c>
      <x:c r="J81" s="14" t="str">
        <x:v>CN1CCC(c2nnc(SCCCN3CC[C@]4(C[C@@H]4c4ccc(C(F)(F)F)cc4)C3)n2C)CC1=O</x:v>
      </x:c>
      <x:c r="K81" s="14" t="str">
        <x:v>source_reported_pKi</x:v>
      </x:c>
      <x:c r="L81" s="15" t="n">
        <x:v>5.77</x:v>
      </x:c>
      <x:c r="M81" s="15" t="n">
        <x:v>1698.243652461746</x:v>
      </x:c>
      <x:c r="N81" s="15" t="n">
        <x:v>1698.24</x:v>
      </x:c>
      <x:c r="O81" s="15" t="n">
        <x:v>5.770000934050708</x:v>
      </x:c>
      <x:c r="P81" s="16" t="n">
        <x:v>9.340507087784999e-7</x:v>
      </x:c>
      <x:c r="Q81" s="16" t="n">
        <x:v>-0.0036524617460145237</x:v>
      </x:c>
      <x:c r="R81" s="15" t="n">
        <x:v>0.00501</x:v>
      </x:c>
      <x:c r="S81" s="14" t="str">
        <x:v>CN1CCC(c2nnc(SCCCN3CC[C@]4(C[C@@H]4c4ccc(C(F)(F)F)cc4)C3)n2C)CC1=O</x:v>
      </x:c>
      <x:c r="T81" s="14" t="str">
        <x:v>CN1CCC(c2nnc(SCCCN3CC[C@]4(C[C@@H]4c4ccc(C(F)(F)F)cc4)C3)n2C)CC1=O</x:v>
      </x:c>
      <x:c r="U81" s="14" t="str">
        <x:v>AWSNADYOKQXJRZ-BTNBVRMJSA-N</x:v>
      </x:c>
      <x:c r="V81" s="14" t="str">
        <x:v>CN1CCC(c2nnc(SCCCN3CCC4(CC4c4ccc(C(F)(F)F)cc4)C3)n2C)CC1=O</x:v>
      </x:c>
      <x:c r="W81" s="14" t="str">
        <x:v>1900a1fc3b79024998748dfcf9a4741ef72c6ce432bf7fbfe99fc4707b28d889</x:v>
      </x:c>
      <x:c r="X81" s="14" t="str">
        <x:v>O=C1CC(c2nnc(SCCCN3CCC4(CC4c4ccccc4)C3)[nH]2)CCN1</x:v>
      </x:c>
      <x:c r="Y81" s="14" t="str">
        <x:v>false</x:v>
      </x:c>
      <x:c r="Z81" s="17" t="n">
        <x:v>1</x:v>
      </x:c>
      <x:c r="AA81" s="14" t="str">
        <x:v>include</x:v>
      </x:c>
      <x:c r="AB81" s="14" t="str"/>
      <x:c r="AC81" s="14" t="str">
        <x:v>pKi</x:v>
      </x:c>
      <x:c r="AD81" s="14" t="str">
        <x:v>5.77</x:v>
      </x:c>
      <x:c r="AE81" s="14" t="str">
        <x:v>null</x:v>
      </x:c>
      <x:c r="AF81" s="14" t="str">
        <x:v>=</x:v>
      </x:c>
      <x:c r="AG81" s="14" t="str">
        <x:v>Ki</x:v>
      </x:c>
      <x:c r="AH81" s="15" t="n">
        <x:v>1698.24</x:v>
      </x:c>
      <x:c r="AI81" s="14" t="str">
        <x:v>nM</x:v>
      </x:c>
      <x:c r="AJ81" s="14" t="str">
        <x:v>=</x:v>
      </x:c>
      <x:c r="AK81" s="15" t="n">
        <x:v>5.77</x:v>
      </x:c>
      <x:c r="AL81" s="17" t="n">
        <x:v>0</x:v>
      </x:c>
      <x:c r="AM81" s="14" t="str">
        <x:v>null</x:v>
      </x:c>
      <x:c r="AN81" s="14" t="str">
        <x:v>null</x:v>
      </x:c>
      <x:c r="AO81" s="14" t="str">
        <x:v>https://www.ebi.ac.uk/chembl/api/data/activity/16670852.json</x:v>
      </x:c>
    </x:row>
  </x:sheetData>
  <x:pageMargins left="0.7" right="0.7" top="0.75" bottom="0.75" header="0.3" footer="0.3"/>
  <x:tableParts count="1">
    <x:tablePart xmlns:r="http://schemas.openxmlformats.org/officeDocument/2006/relationships" r:id="R2c1a867fe96b435a"/>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8" hidden="0" customWidth="1"/>
    <x:col min="3" max="3" width="17" hidden="0" customWidth="1"/>
    <x:col min="4" max="4" width="21" hidden="0" customWidth="1"/>
    <x:col min="5" max="5" width="17" hidden="0" customWidth="1"/>
    <x:col min="6" max="6" width="66" hidden="0" customWidth="1"/>
    <x:col min="7" max="7" width="17" hidden="0" customWidth="1"/>
    <x:col min="8" max="8" width="25" hidden="0" customWidth="1"/>
    <x:col min="9" max="9" width="24" hidden="0" customWidth="1"/>
    <x:col min="10" max="10" width="17" hidden="0" customWidth="1"/>
    <x:col min="11" max="11" width="17" hidden="0" customWidth="1"/>
    <x:col min="12" max="12" width="19" hidden="0" customWidth="1"/>
    <x:col min="13" max="13" width="66" hidden="0" customWidth="1"/>
    <x:col min="14" max="14" width="23" hidden="0" customWidth="1"/>
    <x:col min="15" max="15" width="27" hidden="0" customWidth="1"/>
    <x:col min="16" max="16" width="20" hidden="0" customWidth="1"/>
    <x:col min="17" max="17" width="18" hidden="0" customWidth="1"/>
    <x:col min="18" max="18" width="20" hidden="0" customWidth="1"/>
    <x:col min="19" max="19" width="57" hidden="0" customWidth="1"/>
    <x:col min="20" max="20" width="17" hidden="0" customWidth="1"/>
    <x:col min="21" max="21" width="20" hidden="0" customWidth="1"/>
    <x:col min="22" max="22" width="20" hidden="0" customWidth="1"/>
    <x:col min="23" max="23" width="27" hidden="0" customWidth="1"/>
    <x:col min="24" max="24" width="20" hidden="0" customWidth="1"/>
    <x:col min="25" max="25" width="21" hidden="0" customWidth="1"/>
    <x:col min="26" max="26" width="43" hidden="0" customWidth="1"/>
    <x:col min="27" max="27" width="17" hidden="0" customWidth="1"/>
    <x:col min="28" max="28" width="17" hidden="0" customWidth="1"/>
    <x:col min="29" max="29" width="17" hidden="0" customWidth="1"/>
    <x:col min="30" max="30" width="20" hidden="0" customWidth="1"/>
    <x:col min="31" max="31" width="19" hidden="0" customWidth="1"/>
    <x:col min="32" max="32" width="21" hidden="0" customWidth="1"/>
    <x:col min="33" max="33" width="17" hidden="0" customWidth="1"/>
    <x:col min="34" max="34" width="17" hidden="0" customWidth="1"/>
    <x:col min="35" max="35" width="22" hidden="0" customWidth="1"/>
    <x:col min="36" max="36" width="20" hidden="0" customWidth="1"/>
    <x:col min="37" max="37" width="18" hidden="0" customWidth="1"/>
    <x:col min="38" max="38" width="17" hidden="0" customWidth="1"/>
    <x:col min="39" max="39" width="24"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s>
  <x:sheetData>
    <x:row r="1" ht="48" customHeight="1">
      <x:c r="A1" s="6" t="str">
        <x:v>action_type</x:v>
      </x:c>
      <x:c r="B1" s="6" t="str">
        <x:v>activity_comment</x:v>
      </x:c>
      <x:c r="C1" s="6" t="str">
        <x:v>activity_id</x:v>
      </x:c>
      <x:c r="D1" s="6" t="str">
        <x:v>activity_properties</x:v>
      </x:c>
      <x:c r="E1" s="6" t="str">
        <x:v>assay_chembl_id</x:v>
      </x:c>
      <x:c r="F1" s="6" t="str">
        <x:v>assay_description</x:v>
      </x:c>
      <x:c r="G1" s="6" t="str">
        <x:v>assay_type</x:v>
      </x:c>
      <x:c r="H1" s="6" t="str">
        <x:v>assay_variant_accession</x:v>
      </x:c>
      <x:c r="I1" s="6" t="str">
        <x:v>assay_variant_mutation</x:v>
      </x:c>
      <x:c r="J1" s="6" t="str">
        <x:v>bao_endpoint</x:v>
      </x:c>
      <x:c r="K1" s="6" t="str">
        <x:v>bao_format</x:v>
      </x:c>
      <x:c r="L1" s="6" t="str">
        <x:v>bao_label</x:v>
      </x:c>
      <x:c r="M1" s="6" t="str">
        <x:v>canonical_smiles</x:v>
      </x:c>
      <x:c r="N1" s="6" t="str">
        <x:v>data_validity_comment</x:v>
      </x:c>
      <x:c r="O1" s="6" t="str">
        <x:v>data_validity_description</x:v>
      </x:c>
      <x:c r="P1" s="6" t="str">
        <x:v>document_chembl_id</x:v>
      </x:c>
      <x:c r="Q1" s="6" t="str">
        <x:v>document_journal</x:v>
      </x:c>
      <x:c r="R1" s="6" t="str">
        <x:v>document_year</x:v>
      </x:c>
      <x:c r="S1" s="6" t="str">
        <x:v>ligand_efficiency</x:v>
      </x:c>
      <x:c r="T1" s="6" t="str">
        <x:v>modality</x:v>
      </x:c>
      <x:c r="U1" s="6" t="str">
        <x:v>molecule_chembl_id</x:v>
      </x:c>
      <x:c r="V1" s="6" t="str">
        <x:v>molecule_pref_name</x:v>
      </x:c>
      <x:c r="W1" s="6" t="str">
        <x:v>parent_molecule_chembl_id</x:v>
      </x:c>
      <x:c r="X1" s="6" t="str">
        <x:v>pchembl_value</x:v>
      </x:c>
      <x:c r="Y1" s="6" t="str">
        <x:v>potential_duplicate</x:v>
      </x:c>
      <x:c r="Z1" s="6" t="str">
        <x:v>qudt_units</x:v>
      </x:c>
      <x:c r="AA1" s="6" t="str">
        <x:v>record_id</x:v>
      </x:c>
      <x:c r="AB1" s="6" t="str">
        <x:v>relation</x:v>
      </x:c>
      <x:c r="AC1" s="6" t="str">
        <x:v>src_id</x:v>
      </x:c>
      <x:c r="AD1" s="6" t="str">
        <x:v>standard_flag</x:v>
      </x:c>
      <x:c r="AE1" s="6" t="str">
        <x:v>standard_relation</x:v>
      </x:c>
      <x:c r="AF1" s="6" t="str">
        <x:v>standard_text_value</x:v>
      </x:c>
      <x:c r="AG1" s="6" t="str">
        <x:v>standard_type</x:v>
      </x:c>
      <x:c r="AH1" s="6" t="str">
        <x:v>standard_units</x:v>
      </x:c>
      <x:c r="AI1" s="6" t="str">
        <x:v>standard_upper_value</x:v>
      </x:c>
      <x:c r="AJ1" s="6" t="str">
        <x:v>standard_value</x:v>
      </x:c>
      <x:c r="AK1" s="6" t="str">
        <x:v>target_chembl_id</x:v>
      </x:c>
      <x:c r="AL1" s="6" t="str">
        <x:v>target_organism</x:v>
      </x:c>
      <x:c r="AM1" s="6" t="str">
        <x:v>target_pref_name</x:v>
      </x:c>
      <x:c r="AN1" s="6" t="str">
        <x:v>target_tax_id</x:v>
      </x:c>
      <x:c r="AO1" s="6" t="str">
        <x:v>text_value</x:v>
      </x:c>
      <x:c r="AP1" s="6" t="str">
        <x:v>toid</x:v>
      </x:c>
      <x:c r="AQ1" s="6" t="str">
        <x:v>type</x:v>
      </x:c>
      <x:c r="AR1" s="6" t="str">
        <x:v>units</x:v>
      </x:c>
      <x:c r="AS1" s="6" t="str">
        <x:v>uo_units</x:v>
      </x:c>
      <x:c r="AT1" s="6" t="str">
        <x:v>upper_value</x:v>
      </x:c>
      <x:c r="AU1" s="6" t="str">
        <x:v>value</x:v>
      </x:c>
    </x:row>
    <x:row r="2" ht="51" customHeight="1">
      <x:c r="A2" s="9" t="str">
        <x:v>null</x:v>
      </x:c>
      <x:c r="B2" s="9" t="str">
        <x:v>null</x:v>
      </x:c>
      <x:c r="C2" s="9" t="str">
        <x:v>16670133</x:v>
      </x:c>
      <x:c r="D2" s="9" t="str">
        <x:v>[]</x:v>
      </x:c>
      <x:c r="E2" s="9" t="str">
        <x:v>CHEMBL3855278</x:v>
      </x:c>
      <x:c r="F2" s="9" t="str">
        <x:v>Displacement of [3H]-spiperone from human dopamine D2 receptor expressed in CHO-K1 cell membranes coexpressing Galpha16 after 120 mins by liquid scintillation counting</x:v>
      </x:c>
      <x:c r="G2" s="9" t="str">
        <x:v>B</x:v>
      </x:c>
      <x:c r="H2" s="9" t="str">
        <x:v>null</x:v>
      </x:c>
      <x:c r="I2" s="9" t="str">
        <x:v>null</x:v>
      </x:c>
      <x:c r="J2" s="9" t="str">
        <x:v>BAO_0000192</x:v>
      </x:c>
      <x:c r="K2" s="9" t="str">
        <x:v>BAO_0000219</x:v>
      </x:c>
      <x:c r="L2" s="9" t="str">
        <x:v>cell-based format</x:v>
      </x:c>
      <x:c r="M2" s="9" t="str">
        <x:v>N#Cc1ccc2c(c1)CCN(CC[C@H]1CC[C@H](NC(=O)c3ccnc4ccccc34)CC1)C2</x:v>
      </x:c>
      <x:c r="N2" s="9" t="str">
        <x:v>null</x:v>
      </x:c>
      <x:c r="O2" s="9" t="str">
        <x:v>null</x:v>
      </x:c>
      <x:c r="P2" s="9" t="str">
        <x:v>CHEMBL3853329</x:v>
      </x:c>
      <x:c r="Q2" s="9" t="str">
        <x:v>J Med Chem</x:v>
      </x:c>
      <x:c r="R2" s="13" t="n">
        <x:v>2016</x:v>
      </x:c>
      <x:c r="S2" s="9" t="str">
        <x:v>{"bei":"14.39","le":"0.26","lle":"1.47","sei":"9.14"}</x:v>
      </x:c>
      <x:c r="T2" s="9" t="str">
        <x:v>null</x:v>
      </x:c>
      <x:c r="U2" s="9" t="str">
        <x:v>CHEMBL85606</x:v>
      </x:c>
      <x:c r="V2" s="9" t="str">
        <x:v>null</x:v>
      </x:c>
      <x:c r="W2" s="9" t="str">
        <x:v>CHEMBL85606</x:v>
      </x:c>
      <x:c r="X2" s="11" t="n">
        <x:v>6.31</x:v>
      </x:c>
      <x:c r="Y2" s="13" t="n">
        <x:v>0</x:v>
      </x:c>
      <x:c r="Z2" s="9" t="str">
        <x:v>http://www.openphacts.org/units/Nanomolar</x:v>
      </x:c>
      <x:c r="AA2" s="9" t="str">
        <x:v>2796773</x:v>
      </x:c>
      <x:c r="AB2" s="9" t="str">
        <x:v>=</x:v>
      </x:c>
      <x:c r="AC2" s="9" t="str">
        <x:v>1</x:v>
      </x:c>
      <x:c r="AD2" s="13" t="n">
        <x:v>1</x:v>
      </x:c>
      <x:c r="AE2" s="9" t="str">
        <x:v>=</x:v>
      </x:c>
      <x:c r="AF2" s="9" t="str">
        <x:v>null</x:v>
      </x:c>
      <x:c r="AG2" s="9" t="str">
        <x:v>Ki</x:v>
      </x:c>
      <x:c r="AH2" s="9" t="str">
        <x:v>nM</x:v>
      </x:c>
      <x:c r="AI2" s="9" t="str">
        <x:v>null</x:v>
      </x:c>
      <x:c r="AJ2" s="11" t="n">
        <x:v>489.78</x:v>
      </x:c>
      <x:c r="AK2" s="9" t="str">
        <x:v>CHEMBL217</x:v>
      </x:c>
      <x:c r="AL2" s="9" t="str">
        <x:v>Homo sapiens</x:v>
      </x:c>
      <x:c r="AM2" s="9" t="str">
        <x:v>D(2) dopamine receptor</x:v>
      </x:c>
      <x:c r="AN2" s="9" t="str">
        <x:v>9606</x:v>
      </x:c>
      <x:c r="AO2" s="9" t="str">
        <x:v>null</x:v>
      </x:c>
      <x:c r="AP2" s="9" t="str">
        <x:v>null</x:v>
      </x:c>
      <x:c r="AQ2" s="9" t="str">
        <x:v>pKi</x:v>
      </x:c>
      <x:c r="AR2" s="9" t="str">
        <x:v>null</x:v>
      </x:c>
      <x:c r="AS2" s="9" t="str">
        <x:v>UO_0000065</x:v>
      </x:c>
      <x:c r="AT2" s="9" t="str">
        <x:v>null</x:v>
      </x:c>
      <x:c r="AU2" s="9" t="str">
        <x:v>6.31</x:v>
      </x:c>
    </x:row>
    <x:row r="3" ht="51" customHeight="1">
      <x:c r="A3" s="14" t="str">
        <x:v>null</x:v>
      </x:c>
      <x:c r="B3" s="14" t="str">
        <x:v>null</x:v>
      </x:c>
      <x:c r="C3" s="14" t="str">
        <x:v>16670134</x:v>
      </x:c>
      <x:c r="D3" s="14" t="str">
        <x:v>[]</x:v>
      </x:c>
      <x:c r="E3" s="14" t="str">
        <x:v>CHEMBL3855278</x:v>
      </x:c>
      <x:c r="F3" s="14" t="str">
        <x:v>Displacement of [3H]-spiperone from human dopamine D2 receptor expressed in CHO-K1 cell membranes coexpressing Galpha16 after 120 mins by liquid scintillation counting</x:v>
      </x:c>
      <x:c r="G3" s="14" t="str">
        <x:v>B</x:v>
      </x:c>
      <x:c r="H3" s="14" t="str">
        <x:v>null</x:v>
      </x:c>
      <x:c r="I3" s="14" t="str">
        <x:v>null</x:v>
      </x:c>
      <x:c r="J3" s="14" t="str">
        <x:v>BAO_0000192</x:v>
      </x:c>
      <x:c r="K3" s="14" t="str">
        <x:v>BAO_0000219</x:v>
      </x:c>
      <x:c r="L3" s="14" t="str">
        <x:v>cell-based format</x:v>
      </x:c>
      <x:c r="M3" s="14" t="str">
        <x:v>Cc1ncoc1-c1nnc(SCCCN2CC[C@]3(C[C@H]3c3ccccc3)C2)n1C</x:v>
      </x:c>
      <x:c r="N3" s="14" t="str">
        <x:v>null</x:v>
      </x:c>
      <x:c r="O3" s="14" t="str">
        <x:v>null</x:v>
      </x:c>
      <x:c r="P3" s="14" t="str">
        <x:v>CHEMBL3853329</x:v>
      </x:c>
      <x:c r="Q3" s="14" t="str">
        <x:v>J Med Chem</x:v>
      </x:c>
      <x:c r="R3" s="17" t="n">
        <x:v>2016</x:v>
      </x:c>
      <x:c r="S3" s="14" t="str">
        <x:v>{"bei":"14.65","le":"0.28","lle":"1.86","sei":"10.00"}</x:v>
      </x:c>
      <x:c r="T3" s="14" t="str">
        <x:v>null</x:v>
      </x:c>
      <x:c r="U3" s="14" t="str">
        <x:v>CHEMBL3958494</x:v>
      </x:c>
      <x:c r="V3" s="14" t="str">
        <x:v>null</x:v>
      </x:c>
      <x:c r="W3" s="14" t="str">
        <x:v>CHEMBL3958494</x:v>
      </x:c>
      <x:c r="X3" s="15" t="n">
        <x:v>6</x:v>
      </x:c>
      <x:c r="Y3" s="17" t="n">
        <x:v>0</x:v>
      </x:c>
      <x:c r="Z3" s="14" t="str">
        <x:v>http://www.openphacts.org/units/Nanomolar</x:v>
      </x:c>
      <x:c r="AA3" s="14" t="str">
        <x:v>2796774</x:v>
      </x:c>
      <x:c r="AB3" s="14" t="str">
        <x:v>=</x:v>
      </x:c>
      <x:c r="AC3" s="14" t="str">
        <x:v>1</x:v>
      </x:c>
      <x:c r="AD3" s="17" t="n">
        <x:v>1</x:v>
      </x:c>
      <x:c r="AE3" s="14" t="str">
        <x:v>=</x:v>
      </x:c>
      <x:c r="AF3" s="14" t="str">
        <x:v>null</x:v>
      </x:c>
      <x:c r="AG3" s="14" t="str">
        <x:v>Ki</x:v>
      </x:c>
      <x:c r="AH3" s="14" t="str">
        <x:v>nM</x:v>
      </x:c>
      <x:c r="AI3" s="14" t="str">
        <x:v>null</x:v>
      </x:c>
      <x:c r="AJ3" s="15" t="n">
        <x:v>1000</x:v>
      </x:c>
      <x:c r="AK3" s="14" t="str">
        <x:v>CHEMBL217</x:v>
      </x:c>
      <x:c r="AL3" s="14" t="str">
        <x:v>Homo sapiens</x:v>
      </x:c>
      <x:c r="AM3" s="14" t="str">
        <x:v>D(2) dopamine receptor</x:v>
      </x:c>
      <x:c r="AN3" s="14" t="str">
        <x:v>9606</x:v>
      </x:c>
      <x:c r="AO3" s="14" t="str">
        <x:v>null</x:v>
      </x:c>
      <x:c r="AP3" s="14" t="str">
        <x:v>null</x:v>
      </x:c>
      <x:c r="AQ3" s="14" t="str">
        <x:v>pKi</x:v>
      </x:c>
      <x:c r="AR3" s="14" t="str">
        <x:v>null</x:v>
      </x:c>
      <x:c r="AS3" s="14" t="str">
        <x:v>UO_0000065</x:v>
      </x:c>
      <x:c r="AT3" s="14" t="str">
        <x:v>null</x:v>
      </x:c>
      <x:c r="AU3" s="14" t="str">
        <x:v>6.0</x:v>
      </x:c>
    </x:row>
    <x:row r="4" ht="51" customHeight="1">
      <x:c r="A4" s="9" t="str">
        <x:v>null</x:v>
      </x:c>
      <x:c r="B4" s="9" t="str">
        <x:v>null</x:v>
      </x:c>
      <x:c r="C4" s="9" t="str">
        <x:v>16670135</x:v>
      </x:c>
      <x:c r="D4" s="9" t="str">
        <x:v>[]</x:v>
      </x:c>
      <x:c r="E4" s="9" t="str">
        <x:v>CHEMBL3855278</x:v>
      </x:c>
      <x:c r="F4" s="9" t="str">
        <x:v>Displacement of [3H]-spiperone from human dopamine D2 receptor expressed in CHO-K1 cell membranes coexpressing Galpha16 after 120 mins by liquid scintillation counting</x:v>
      </x:c>
      <x:c r="G4" s="9" t="str">
        <x:v>B</x:v>
      </x:c>
      <x:c r="H4" s="9" t="str">
        <x:v>null</x:v>
      </x:c>
      <x:c r="I4" s="9" t="str">
        <x:v>null</x:v>
      </x:c>
      <x:c r="J4" s="9" t="str">
        <x:v>BAO_0000192</x:v>
      </x:c>
      <x:c r="K4" s="9" t="str">
        <x:v>BAO_0000219</x:v>
      </x:c>
      <x:c r="L4" s="9" t="str">
        <x:v>cell-based format</x:v>
      </x:c>
      <x:c r="M4" s="9" t="str">
        <x:v>Cc1ncoc1-c1nnc(SCCCN2CC[C@]3(C[C@H]3c3ccccc3)C2)n1C</x:v>
      </x:c>
      <x:c r="N4" s="9" t="str">
        <x:v>null</x:v>
      </x:c>
      <x:c r="O4" s="9" t="str">
        <x:v>null</x:v>
      </x:c>
      <x:c r="P4" s="9" t="str">
        <x:v>CHEMBL3853329</x:v>
      </x:c>
      <x:c r="Q4" s="9" t="str">
        <x:v>J Med Chem</x:v>
      </x:c>
      <x:c r="R4" s="13" t="n">
        <x:v>2016</x:v>
      </x:c>
      <x:c r="S4" s="9" t="str">
        <x:v>{"bei":"15.36","le":"0.30","lle":"2.15","sei":"10.49"}</x:v>
      </x:c>
      <x:c r="T4" s="9" t="str">
        <x:v>null</x:v>
      </x:c>
      <x:c r="U4" s="9" t="str">
        <x:v>CHEMBL3958494</x:v>
      </x:c>
      <x:c r="V4" s="9" t="str">
        <x:v>null</x:v>
      </x:c>
      <x:c r="W4" s="9" t="str">
        <x:v>CHEMBL3958494</x:v>
      </x:c>
      <x:c r="X4" s="11" t="n">
        <x:v>6.29</x:v>
      </x:c>
      <x:c r="Y4" s="13" t="n">
        <x:v>0</x:v>
      </x:c>
      <x:c r="Z4" s="9" t="str">
        <x:v>http://www.openphacts.org/units/Nanomolar</x:v>
      </x:c>
      <x:c r="AA4" s="9" t="str">
        <x:v>2796775</x:v>
      </x:c>
      <x:c r="AB4" s="9" t="str">
        <x:v>=</x:v>
      </x:c>
      <x:c r="AC4" s="9" t="str">
        <x:v>1</x:v>
      </x:c>
      <x:c r="AD4" s="13" t="n">
        <x:v>1</x:v>
      </x:c>
      <x:c r="AE4" s="9" t="str">
        <x:v>=</x:v>
      </x:c>
      <x:c r="AF4" s="9" t="str">
        <x:v>null</x:v>
      </x:c>
      <x:c r="AG4" s="9" t="str">
        <x:v>Ki</x:v>
      </x:c>
      <x:c r="AH4" s="9" t="str">
        <x:v>nM</x:v>
      </x:c>
      <x:c r="AI4" s="9" t="str">
        <x:v>null</x:v>
      </x:c>
      <x:c r="AJ4" s="11" t="n">
        <x:v>512.86</x:v>
      </x:c>
      <x:c r="AK4" s="9" t="str">
        <x:v>CHEMBL217</x:v>
      </x:c>
      <x:c r="AL4" s="9" t="str">
        <x:v>Homo sapiens</x:v>
      </x:c>
      <x:c r="AM4" s="9" t="str">
        <x:v>D(2) dopamine receptor</x:v>
      </x:c>
      <x:c r="AN4" s="9" t="str">
        <x:v>9606</x:v>
      </x:c>
      <x:c r="AO4" s="9" t="str">
        <x:v>null</x:v>
      </x:c>
      <x:c r="AP4" s="9" t="str">
        <x:v>null</x:v>
      </x:c>
      <x:c r="AQ4" s="9" t="str">
        <x:v>pKi</x:v>
      </x:c>
      <x:c r="AR4" s="9" t="str">
        <x:v>null</x:v>
      </x:c>
      <x:c r="AS4" s="9" t="str">
        <x:v>UO_0000065</x:v>
      </x:c>
      <x:c r="AT4" s="9" t="str">
        <x:v>null</x:v>
      </x:c>
      <x:c r="AU4" s="9" t="str">
        <x:v>6.29</x:v>
      </x:c>
    </x:row>
    <x:row r="5" ht="51" customHeight="1">
      <x:c r="A5" s="14" t="str">
        <x:v>null</x:v>
      </x:c>
      <x:c r="B5" s="14" t="str">
        <x:v>null</x:v>
      </x:c>
      <x:c r="C5" s="14" t="str">
        <x:v>16670136</x:v>
      </x:c>
      <x:c r="D5" s="14" t="str">
        <x:v>[]</x:v>
      </x:c>
      <x:c r="E5" s="14" t="str">
        <x:v>CHEMBL3855278</x:v>
      </x:c>
      <x:c r="F5" s="14" t="str">
        <x:v>Displacement of [3H]-spiperone from human dopamine D2 receptor expressed in CHO-K1 cell membranes coexpressing Galpha16 after 120 mins by liquid scintillation counting</x:v>
      </x:c>
      <x:c r="G5" s="14" t="str">
        <x:v>B</x:v>
      </x:c>
      <x:c r="H5" s="14" t="str">
        <x:v>null</x:v>
      </x:c>
      <x:c r="I5" s="14" t="str">
        <x:v>null</x:v>
      </x:c>
      <x:c r="J5" s="14" t="str">
        <x:v>BAO_0000192</x:v>
      </x:c>
      <x:c r="K5" s="14" t="str">
        <x:v>BAO_0000219</x:v>
      </x:c>
      <x:c r="L5" s="14" t="str">
        <x:v>cell-based format</x:v>
      </x:c>
      <x:c r="M5" s="14" t="str">
        <x:v>Cc1ncoc1-c1nnc(SCCCN2CC[C@@]3(C[C@@H]3c3ccccc3)C2)n1C</x:v>
      </x:c>
      <x:c r="N5" s="14" t="str">
        <x:v>null</x:v>
      </x:c>
      <x:c r="O5" s="14" t="str">
        <x:v>null</x:v>
      </x:c>
      <x:c r="P5" s="14" t="str">
        <x:v>CHEMBL3853329</x:v>
      </x:c>
      <x:c r="Q5" s="14" t="str">
        <x:v>J Med Chem</x:v>
      </x:c>
      <x:c r="R5" s="17" t="n">
        <x:v>2016</x:v>
      </x:c>
      <x:c r="S5" s="14" t="str">
        <x:v>{"bei":"15.02","le":"0.29","lle":"2.01","sei":"10.25"}</x:v>
      </x:c>
      <x:c r="T5" s="14" t="str">
        <x:v>null</x:v>
      </x:c>
      <x:c r="U5" s="14" t="str">
        <x:v>CHEMBL3901211</x:v>
      </x:c>
      <x:c r="V5" s="14" t="str">
        <x:v>null</x:v>
      </x:c>
      <x:c r="W5" s="14" t="str">
        <x:v>CHEMBL3901211</x:v>
      </x:c>
      <x:c r="X5" s="15" t="n">
        <x:v>6.15</x:v>
      </x:c>
      <x:c r="Y5" s="17" t="n">
        <x:v>0</x:v>
      </x:c>
      <x:c r="Z5" s="14" t="str">
        <x:v>http://www.openphacts.org/units/Nanomolar</x:v>
      </x:c>
      <x:c r="AA5" s="14" t="str">
        <x:v>2796776</x:v>
      </x:c>
      <x:c r="AB5" s="14" t="str">
        <x:v>=</x:v>
      </x:c>
      <x:c r="AC5" s="14" t="str">
        <x:v>1</x:v>
      </x:c>
      <x:c r="AD5" s="17" t="n">
        <x:v>1</x:v>
      </x:c>
      <x:c r="AE5" s="14" t="str">
        <x:v>=</x:v>
      </x:c>
      <x:c r="AF5" s="14" t="str">
        <x:v>null</x:v>
      </x:c>
      <x:c r="AG5" s="14" t="str">
        <x:v>Ki</x:v>
      </x:c>
      <x:c r="AH5" s="14" t="str">
        <x:v>nM</x:v>
      </x:c>
      <x:c r="AI5" s="14" t="str">
        <x:v>null</x:v>
      </x:c>
      <x:c r="AJ5" s="15" t="n">
        <x:v>707.95</x:v>
      </x:c>
      <x:c r="AK5" s="14" t="str">
        <x:v>CHEMBL217</x:v>
      </x:c>
      <x:c r="AL5" s="14" t="str">
        <x:v>Homo sapiens</x:v>
      </x:c>
      <x:c r="AM5" s="14" t="str">
        <x:v>D(2) dopamine receptor</x:v>
      </x:c>
      <x:c r="AN5" s="14" t="str">
        <x:v>9606</x:v>
      </x:c>
      <x:c r="AO5" s="14" t="str">
        <x:v>null</x:v>
      </x:c>
      <x:c r="AP5" s="14" t="str">
        <x:v>null</x:v>
      </x:c>
      <x:c r="AQ5" s="14" t="str">
        <x:v>pKi</x:v>
      </x:c>
      <x:c r="AR5" s="14" t="str">
        <x:v>null</x:v>
      </x:c>
      <x:c r="AS5" s="14" t="str">
        <x:v>UO_0000065</x:v>
      </x:c>
      <x:c r="AT5" s="14" t="str">
        <x:v>null</x:v>
      </x:c>
      <x:c r="AU5" s="14" t="str">
        <x:v>6.15</x:v>
      </x:c>
    </x:row>
    <x:row r="6" ht="51" customHeight="1">
      <x:c r="A6" s="9" t="str">
        <x:v>null</x:v>
      </x:c>
      <x:c r="B6" s="9" t="str">
        <x:v>null</x:v>
      </x:c>
      <x:c r="C6" s="9" t="str">
        <x:v>16670137</x:v>
      </x:c>
      <x:c r="D6" s="9" t="str">
        <x:v>[]</x:v>
      </x:c>
      <x:c r="E6" s="9" t="str">
        <x:v>CHEMBL3855278</x:v>
      </x:c>
      <x:c r="F6" s="9" t="str">
        <x:v>Displacement of [3H]-spiperone from human dopamine D2 receptor expressed in CHO-K1 cell membranes coexpressing Galpha16 after 120 mins by liquid scintillation counting</x:v>
      </x:c>
      <x:c r="G6" s="9" t="str">
        <x:v>B</x:v>
      </x:c>
      <x:c r="H6" s="9" t="str">
        <x:v>null</x:v>
      </x:c>
      <x:c r="I6" s="9" t="str">
        <x:v>null</x:v>
      </x:c>
      <x:c r="J6" s="9" t="str">
        <x:v>BAO_0000192</x:v>
      </x:c>
      <x:c r="K6" s="9" t="str">
        <x:v>BAO_0000219</x:v>
      </x:c>
      <x:c r="L6" s="9" t="str">
        <x:v>cell-based format</x:v>
      </x:c>
      <x:c r="M6" s="9" t="str">
        <x:v>Cc1ncoc1-c1nnc(SCCCN2CC[C@]3(C[C@@H]3c3ccccc3)C2)n1C</x:v>
      </x:c>
      <x:c r="N6" s="9" t="str">
        <x:v>null</x:v>
      </x:c>
      <x:c r="O6" s="9" t="str">
        <x:v>null</x:v>
      </x:c>
      <x:c r="P6" s="9" t="str">
        <x:v>CHEMBL3853329</x:v>
      </x:c>
      <x:c r="Q6" s="9" t="str">
        <x:v>J Med Chem</x:v>
      </x:c>
      <x:c r="R6" s="13" t="n">
        <x:v>2016</x:v>
      </x:c>
      <x:c r="S6" s="9" t="str">
        <x:v>{"bei":"14.72","le":"0.28","lle":"1.89","sei":"10.05"}</x:v>
      </x:c>
      <x:c r="T6" s="9" t="str">
        <x:v>null</x:v>
      </x:c>
      <x:c r="U6" s="9" t="str">
        <x:v>CHEMBL3913062</x:v>
      </x:c>
      <x:c r="V6" s="9" t="str">
        <x:v>null</x:v>
      </x:c>
      <x:c r="W6" s="9" t="str">
        <x:v>CHEMBL3913062</x:v>
      </x:c>
      <x:c r="X6" s="11" t="n">
        <x:v>6.03</x:v>
      </x:c>
      <x:c r="Y6" s="13" t="n">
        <x:v>0</x:v>
      </x:c>
      <x:c r="Z6" s="9" t="str">
        <x:v>http://www.openphacts.org/units/Nanomolar</x:v>
      </x:c>
      <x:c r="AA6" s="9" t="str">
        <x:v>2796777</x:v>
      </x:c>
      <x:c r="AB6" s="9" t="str">
        <x:v>=</x:v>
      </x:c>
      <x:c r="AC6" s="9" t="str">
        <x:v>1</x:v>
      </x:c>
      <x:c r="AD6" s="13" t="n">
        <x:v>1</x:v>
      </x:c>
      <x:c r="AE6" s="9" t="str">
        <x:v>=</x:v>
      </x:c>
      <x:c r="AF6" s="9" t="str">
        <x:v>null</x:v>
      </x:c>
      <x:c r="AG6" s="9" t="str">
        <x:v>Ki</x:v>
      </x:c>
      <x:c r="AH6" s="9" t="str">
        <x:v>nM</x:v>
      </x:c>
      <x:c r="AI6" s="9" t="str">
        <x:v>null</x:v>
      </x:c>
      <x:c r="AJ6" s="11" t="n">
        <x:v>933.25</x:v>
      </x:c>
      <x:c r="AK6" s="9" t="str">
        <x:v>CHEMBL217</x:v>
      </x:c>
      <x:c r="AL6" s="9" t="str">
        <x:v>Homo sapiens</x:v>
      </x:c>
      <x:c r="AM6" s="9" t="str">
        <x:v>D(2) dopamine receptor</x:v>
      </x:c>
      <x:c r="AN6" s="9" t="str">
        <x:v>9606</x:v>
      </x:c>
      <x:c r="AO6" s="9" t="str">
        <x:v>null</x:v>
      </x:c>
      <x:c r="AP6" s="9" t="str">
        <x:v>null</x:v>
      </x:c>
      <x:c r="AQ6" s="9" t="str">
        <x:v>pKi</x:v>
      </x:c>
      <x:c r="AR6" s="9" t="str">
        <x:v>null</x:v>
      </x:c>
      <x:c r="AS6" s="9" t="str">
        <x:v>UO_0000065</x:v>
      </x:c>
      <x:c r="AT6" s="9" t="str">
        <x:v>null</x:v>
      </x:c>
      <x:c r="AU6" s="9" t="str">
        <x:v>6.03</x:v>
      </x:c>
    </x:row>
    <x:row r="7" ht="51" customHeight="1">
      <x:c r="A7" s="14" t="str">
        <x:v>null</x:v>
      </x:c>
      <x:c r="B7" s="14" t="str">
        <x:v>null</x:v>
      </x:c>
      <x:c r="C7" s="14" t="str">
        <x:v>16670138</x:v>
      </x:c>
      <x:c r="D7" s="14" t="str">
        <x:v>[]</x:v>
      </x:c>
      <x:c r="E7" s="14" t="str">
        <x:v>CHEMBL3855278</x:v>
      </x:c>
      <x:c r="F7" s="14" t="str">
        <x:v>Displacement of [3H]-spiperone from human dopamine D2 receptor expressed in CHO-K1 cell membranes coexpressing Galpha16 after 120 mins by liquid scintillation counting</x:v>
      </x:c>
      <x:c r="G7" s="14" t="str">
        <x:v>B</x:v>
      </x:c>
      <x:c r="H7" s="14" t="str">
        <x:v>null</x:v>
      </x:c>
      <x:c r="I7" s="14" t="str">
        <x:v>null</x:v>
      </x:c>
      <x:c r="J7" s="14" t="str">
        <x:v>BAO_0000192</x:v>
      </x:c>
      <x:c r="K7" s="14" t="str">
        <x:v>BAO_0000219</x:v>
      </x:c>
      <x:c r="L7" s="14" t="str">
        <x:v>cell-based format</x:v>
      </x:c>
      <x:c r="M7" s="14" t="str">
        <x:v>Cc1ncoc1-c1nnc(SCCCN2CC[C@]3(C[C@@H]3c3ccccc3)C2)n1C</x:v>
      </x:c>
      <x:c r="N7" s="14" t="str">
        <x:v>null</x:v>
      </x:c>
      <x:c r="O7" s="14" t="str">
        <x:v>null</x:v>
      </x:c>
      <x:c r="P7" s="14" t="str">
        <x:v>CHEMBL3853329</x:v>
      </x:c>
      <x:c r="Q7" s="14" t="str">
        <x:v>J Med Chem</x:v>
      </x:c>
      <x:c r="R7" s="17" t="n">
        <x:v>2016</x:v>
      </x:c>
      <x:c r="S7" s="14" t="str">
        <x:v>{"bei":"11.65","le":"0.22","lle":"0.63","sei":"7.95"}</x:v>
      </x:c>
      <x:c r="T7" s="14" t="str">
        <x:v>null</x:v>
      </x:c>
      <x:c r="U7" s="14" t="str">
        <x:v>CHEMBL3913062</x:v>
      </x:c>
      <x:c r="V7" s="14" t="str">
        <x:v>null</x:v>
      </x:c>
      <x:c r="W7" s="14" t="str">
        <x:v>CHEMBL3913062</x:v>
      </x:c>
      <x:c r="X7" s="15" t="n">
        <x:v>4.77</x:v>
      </x:c>
      <x:c r="Y7" s="17" t="n">
        <x:v>0</x:v>
      </x:c>
      <x:c r="Z7" s="14" t="str">
        <x:v>http://www.openphacts.org/units/Nanomolar</x:v>
      </x:c>
      <x:c r="AA7" s="14" t="str">
        <x:v>2796778</x:v>
      </x:c>
      <x:c r="AB7" s="14" t="str">
        <x:v>=</x:v>
      </x:c>
      <x:c r="AC7" s="14" t="str">
        <x:v>1</x:v>
      </x:c>
      <x:c r="AD7" s="17" t="n">
        <x:v>1</x:v>
      </x:c>
      <x:c r="AE7" s="14" t="str">
        <x:v>=</x:v>
      </x:c>
      <x:c r="AF7" s="14" t="str">
        <x:v>null</x:v>
      </x:c>
      <x:c r="AG7" s="14" t="str">
        <x:v>Ki</x:v>
      </x:c>
      <x:c r="AH7" s="14" t="str">
        <x:v>nM</x:v>
      </x:c>
      <x:c r="AI7" s="14" t="str">
        <x:v>null</x:v>
      </x:c>
      <x:c r="AJ7" s="15" t="n">
        <x:v>16982.44</x:v>
      </x:c>
      <x:c r="AK7" s="14" t="str">
        <x:v>CHEMBL217</x:v>
      </x:c>
      <x:c r="AL7" s="14" t="str">
        <x:v>Homo sapiens</x:v>
      </x:c>
      <x:c r="AM7" s="14" t="str">
        <x:v>D(2) dopamine receptor</x:v>
      </x:c>
      <x:c r="AN7" s="14" t="str">
        <x:v>9606</x:v>
      </x:c>
      <x:c r="AO7" s="14" t="str">
        <x:v>null</x:v>
      </x:c>
      <x:c r="AP7" s="14" t="str">
        <x:v>null</x:v>
      </x:c>
      <x:c r="AQ7" s="14" t="str">
        <x:v>pKi</x:v>
      </x:c>
      <x:c r="AR7" s="14" t="str">
        <x:v>null</x:v>
      </x:c>
      <x:c r="AS7" s="14" t="str">
        <x:v>UO_0000065</x:v>
      </x:c>
      <x:c r="AT7" s="14" t="str">
        <x:v>null</x:v>
      </x:c>
      <x:c r="AU7" s="14" t="str">
        <x:v>4.77</x:v>
      </x:c>
    </x:row>
    <x:row r="8" ht="51" customHeight="1">
      <x:c r="A8" s="9" t="str">
        <x:v>null</x:v>
      </x:c>
      <x:c r="B8" s="9" t="str">
        <x:v>null</x:v>
      </x:c>
      <x:c r="C8" s="9" t="str">
        <x:v>16670139</x:v>
      </x:c>
      <x:c r="D8" s="9" t="str">
        <x:v>[]</x:v>
      </x:c>
      <x:c r="E8" s="9" t="str">
        <x:v>CHEMBL3855278</x:v>
      </x:c>
      <x:c r="F8" s="9" t="str">
        <x:v>Displacement of [3H]-spiperone from human dopamine D2 receptor expressed in CHO-K1 cell membranes coexpressing Galpha16 after 120 mins by liquid scintillation counting</x:v>
      </x:c>
      <x:c r="G8" s="9" t="str">
        <x:v>B</x:v>
      </x:c>
      <x:c r="H8" s="9" t="str">
        <x:v>null</x:v>
      </x:c>
      <x:c r="I8" s="9" t="str">
        <x:v>null</x:v>
      </x:c>
      <x:c r="J8" s="9" t="str">
        <x:v>BAO_0000192</x:v>
      </x:c>
      <x:c r="K8" s="9" t="str">
        <x:v>BAO_0000219</x:v>
      </x:c>
      <x:c r="L8" s="9" t="str">
        <x:v>cell-based format</x:v>
      </x:c>
      <x:c r="M8" s="9" t="str">
        <x:v>Cc1ncoc1-c1nnc(SCCCN2CC[C@@]3(C[C@H]3c3ccccc3)C2)n1C</x:v>
      </x:c>
      <x:c r="N8" s="9" t="str">
        <x:v>null</x:v>
      </x:c>
      <x:c r="O8" s="9" t="str">
        <x:v>null</x:v>
      </x:c>
      <x:c r="P8" s="9" t="str">
        <x:v>CHEMBL3853329</x:v>
      </x:c>
      <x:c r="Q8" s="9" t="str">
        <x:v>J Med Chem</x:v>
      </x:c>
      <x:c r="R8" s="13" t="n">
        <x:v>2016</x:v>
      </x:c>
      <x:c r="S8" s="9" t="str">
        <x:v>{"bei":"14.89","le":"0.29","lle":"1.96","sei":"10.17"}</x:v>
      </x:c>
      <x:c r="T8" s="9" t="str">
        <x:v>null</x:v>
      </x:c>
      <x:c r="U8" s="9" t="str">
        <x:v>CHEMBL3983937</x:v>
      </x:c>
      <x:c r="V8" s="9" t="str">
        <x:v>null</x:v>
      </x:c>
      <x:c r="W8" s="9" t="str">
        <x:v>CHEMBL3983937</x:v>
      </x:c>
      <x:c r="X8" s="11" t="n">
        <x:v>6.1</x:v>
      </x:c>
      <x:c r="Y8" s="13" t="n">
        <x:v>0</x:v>
      </x:c>
      <x:c r="Z8" s="9" t="str">
        <x:v>http://www.openphacts.org/units/Nanomolar</x:v>
      </x:c>
      <x:c r="AA8" s="9" t="str">
        <x:v>2796779</x:v>
      </x:c>
      <x:c r="AB8" s="9" t="str">
        <x:v>=</x:v>
      </x:c>
      <x:c r="AC8" s="9" t="str">
        <x:v>1</x:v>
      </x:c>
      <x:c r="AD8" s="13" t="n">
        <x:v>1</x:v>
      </x:c>
      <x:c r="AE8" s="9" t="str">
        <x:v>=</x:v>
      </x:c>
      <x:c r="AF8" s="9" t="str">
        <x:v>null</x:v>
      </x:c>
      <x:c r="AG8" s="9" t="str">
        <x:v>Ki</x:v>
      </x:c>
      <x:c r="AH8" s="9" t="str">
        <x:v>nM</x:v>
      </x:c>
      <x:c r="AI8" s="9" t="str">
        <x:v>null</x:v>
      </x:c>
      <x:c r="AJ8" s="11" t="n">
        <x:v>794.33</x:v>
      </x:c>
      <x:c r="AK8" s="9" t="str">
        <x:v>CHEMBL217</x:v>
      </x:c>
      <x:c r="AL8" s="9" t="str">
        <x:v>Homo sapiens</x:v>
      </x:c>
      <x:c r="AM8" s="9" t="str">
        <x:v>D(2) dopamine receptor</x:v>
      </x:c>
      <x:c r="AN8" s="9" t="str">
        <x:v>9606</x:v>
      </x:c>
      <x:c r="AO8" s="9" t="str">
        <x:v>null</x:v>
      </x:c>
      <x:c r="AP8" s="9" t="str">
        <x:v>null</x:v>
      </x:c>
      <x:c r="AQ8" s="9" t="str">
        <x:v>pKi</x:v>
      </x:c>
      <x:c r="AR8" s="9" t="str">
        <x:v>null</x:v>
      </x:c>
      <x:c r="AS8" s="9" t="str">
        <x:v>UO_0000065</x:v>
      </x:c>
      <x:c r="AT8" s="9" t="str">
        <x:v>null</x:v>
      </x:c>
      <x:c r="AU8" s="9" t="str">
        <x:v>6.1</x:v>
      </x:c>
    </x:row>
    <x:row r="9" ht="51" customHeight="1">
      <x:c r="A9" s="14" t="str">
        <x:v>null</x:v>
      </x:c>
      <x:c r="B9" s="14" t="str">
        <x:v>null</x:v>
      </x:c>
      <x:c r="C9" s="14" t="str">
        <x:v>16670140</x:v>
      </x:c>
      <x:c r="D9" s="14" t="str">
        <x:v>[]</x:v>
      </x:c>
      <x:c r="E9" s="14" t="str">
        <x:v>CHEMBL3855278</x:v>
      </x:c>
      <x:c r="F9" s="14" t="str">
        <x:v>Displacement of [3H]-spiperone from human dopamine D2 receptor expressed in CHO-K1 cell membranes coexpressing Galpha16 after 120 mins by liquid scintillation counting</x:v>
      </x:c>
      <x:c r="G9" s="14" t="str">
        <x:v>B</x:v>
      </x:c>
      <x:c r="H9" s="14" t="str">
        <x:v>null</x:v>
      </x:c>
      <x:c r="I9" s="14" t="str">
        <x:v>null</x:v>
      </x:c>
      <x:c r="J9" s="14" t="str">
        <x:v>BAO_0000192</x:v>
      </x:c>
      <x:c r="K9" s="14" t="str">
        <x:v>BAO_0000219</x:v>
      </x:c>
      <x:c r="L9" s="14" t="str">
        <x:v>cell-based format</x:v>
      </x:c>
      <x:c r="M9" s="14" t="str">
        <x:v>Cc1ncoc1-c1nnc(SCCCN2CC[C@]3(C[C@H]3c3ccc(C(F)(F)F)cc3)C2)n1C</x:v>
      </x:c>
      <x:c r="N9" s="14" t="str">
        <x:v>null</x:v>
      </x:c>
      <x:c r="O9" s="14" t="str">
        <x:v>null</x:v>
      </x:c>
      <x:c r="P9" s="14" t="str">
        <x:v>CHEMBL3853329</x:v>
      </x:c>
      <x:c r="Q9" s="14" t="str">
        <x:v>J Med Chem</x:v>
      </x:c>
      <x:c r="R9" s="17" t="n">
        <x:v>2016</x:v>
      </x:c>
      <x:c r="S9" s="14" t="str">
        <x:v>{"bei":"12.94","le":"0.26","lle":"1.02","sei":"10.30"}</x:v>
      </x:c>
      <x:c r="T9" s="14" t="str">
        <x:v>null</x:v>
      </x:c>
      <x:c r="U9" s="14" t="str">
        <x:v>CHEMBL3913607</x:v>
      </x:c>
      <x:c r="V9" s="14" t="str">
        <x:v>null</x:v>
      </x:c>
      <x:c r="W9" s="14" t="str">
        <x:v>CHEMBL3913607</x:v>
      </x:c>
      <x:c r="X9" s="15" t="n">
        <x:v>6.18</x:v>
      </x:c>
      <x:c r="Y9" s="17" t="n">
        <x:v>0</x:v>
      </x:c>
      <x:c r="Z9" s="14" t="str">
        <x:v>http://www.openphacts.org/units/Nanomolar</x:v>
      </x:c>
      <x:c r="AA9" s="14" t="str">
        <x:v>2796780</x:v>
      </x:c>
      <x:c r="AB9" s="14" t="str">
        <x:v>=</x:v>
      </x:c>
      <x:c r="AC9" s="14" t="str">
        <x:v>1</x:v>
      </x:c>
      <x:c r="AD9" s="17" t="n">
        <x:v>1</x:v>
      </x:c>
      <x:c r="AE9" s="14" t="str">
        <x:v>=</x:v>
      </x:c>
      <x:c r="AF9" s="14" t="str">
        <x:v>null</x:v>
      </x:c>
      <x:c r="AG9" s="14" t="str">
        <x:v>Ki</x:v>
      </x:c>
      <x:c r="AH9" s="14" t="str">
        <x:v>nM</x:v>
      </x:c>
      <x:c r="AI9" s="14" t="str">
        <x:v>null</x:v>
      </x:c>
      <x:c r="AJ9" s="15" t="n">
        <x:v>660.69</x:v>
      </x:c>
      <x:c r="AK9" s="14" t="str">
        <x:v>CHEMBL217</x:v>
      </x:c>
      <x:c r="AL9" s="14" t="str">
        <x:v>Homo sapiens</x:v>
      </x:c>
      <x:c r="AM9" s="14" t="str">
        <x:v>D(2) dopamine receptor</x:v>
      </x:c>
      <x:c r="AN9" s="14" t="str">
        <x:v>9606</x:v>
      </x:c>
      <x:c r="AO9" s="14" t="str">
        <x:v>null</x:v>
      </x:c>
      <x:c r="AP9" s="14" t="str">
        <x:v>null</x:v>
      </x:c>
      <x:c r="AQ9" s="14" t="str">
        <x:v>pKi</x:v>
      </x:c>
      <x:c r="AR9" s="14" t="str">
        <x:v>null</x:v>
      </x:c>
      <x:c r="AS9" s="14" t="str">
        <x:v>UO_0000065</x:v>
      </x:c>
      <x:c r="AT9" s="14" t="str">
        <x:v>null</x:v>
      </x:c>
      <x:c r="AU9" s="14" t="str">
        <x:v>6.18</x:v>
      </x:c>
    </x:row>
    <x:row r="10" ht="51" customHeight="1">
      <x:c r="A10" s="9" t="str">
        <x:v>null</x:v>
      </x:c>
      <x:c r="B10" s="9" t="str">
        <x:v>null</x:v>
      </x:c>
      <x:c r="C10" s="9" t="str">
        <x:v>16670141</x:v>
      </x:c>
      <x:c r="D10" s="9" t="str">
        <x:v>[]</x:v>
      </x:c>
      <x:c r="E10" s="9" t="str">
        <x:v>CHEMBL3855278</x:v>
      </x:c>
      <x:c r="F10" s="9" t="str">
        <x:v>Displacement of [3H]-spiperone from human dopamine D2 receptor expressed in CHO-K1 cell membranes coexpressing Galpha16 after 120 mins by liquid scintillation counting</x:v>
      </x:c>
      <x:c r="G10" s="9" t="str">
        <x:v>B</x:v>
      </x:c>
      <x:c r="H10" s="9" t="str">
        <x:v>null</x:v>
      </x:c>
      <x:c r="I10" s="9" t="str">
        <x:v>null</x:v>
      </x:c>
      <x:c r="J10" s="9" t="str">
        <x:v>BAO_0000192</x:v>
      </x:c>
      <x:c r="K10" s="9" t="str">
        <x:v>BAO_0000219</x:v>
      </x:c>
      <x:c r="L10" s="9" t="str">
        <x:v>cell-based format</x:v>
      </x:c>
      <x:c r="M10" s="9" t="str">
        <x:v>Cc1ncoc1-c1nnc(SCCCN2CC[C@]3(C[C@H]3c3ccc(C(F)(F)F)cc3)C2)n1C</x:v>
      </x:c>
      <x:c r="N10" s="9" t="str">
        <x:v>null</x:v>
      </x:c>
      <x:c r="O10" s="9" t="str">
        <x:v>null</x:v>
      </x:c>
      <x:c r="P10" s="9" t="str">
        <x:v>CHEMBL3853329</x:v>
      </x:c>
      <x:c r="Q10" s="9" t="str">
        <x:v>J Med Chem</x:v>
      </x:c>
      <x:c r="R10" s="13" t="n">
        <x:v>2016</x:v>
      </x:c>
      <x:c r="S10" s="9" t="str">
        <x:v>{"bei":"12.67","le":"0.25","lle":"0.89","sei":"10.09"}</x:v>
      </x:c>
      <x:c r="T10" s="9" t="str">
        <x:v>null</x:v>
      </x:c>
      <x:c r="U10" s="9" t="str">
        <x:v>CHEMBL3913607</x:v>
      </x:c>
      <x:c r="V10" s="9" t="str">
        <x:v>null</x:v>
      </x:c>
      <x:c r="W10" s="9" t="str">
        <x:v>CHEMBL3913607</x:v>
      </x:c>
      <x:c r="X10" s="11" t="n">
        <x:v>6.05</x:v>
      </x:c>
      <x:c r="Y10" s="13" t="n">
        <x:v>0</x:v>
      </x:c>
      <x:c r="Z10" s="9" t="str">
        <x:v>http://www.openphacts.org/units/Nanomolar</x:v>
      </x:c>
      <x:c r="AA10" s="9" t="str">
        <x:v>2796781</x:v>
      </x:c>
      <x:c r="AB10" s="9" t="str">
        <x:v>=</x:v>
      </x:c>
      <x:c r="AC10" s="9" t="str">
        <x:v>1</x:v>
      </x:c>
      <x:c r="AD10" s="13" t="n">
        <x:v>1</x:v>
      </x:c>
      <x:c r="AE10" s="9" t="str">
        <x:v>=</x:v>
      </x:c>
      <x:c r="AF10" s="9" t="str">
        <x:v>null</x:v>
      </x:c>
      <x:c r="AG10" s="9" t="str">
        <x:v>Ki</x:v>
      </x:c>
      <x:c r="AH10" s="9" t="str">
        <x:v>nM</x:v>
      </x:c>
      <x:c r="AI10" s="9" t="str">
        <x:v>null</x:v>
      </x:c>
      <x:c r="AJ10" s="11" t="n">
        <x:v>891.25</x:v>
      </x:c>
      <x:c r="AK10" s="9" t="str">
        <x:v>CHEMBL217</x:v>
      </x:c>
      <x:c r="AL10" s="9" t="str">
        <x:v>Homo sapiens</x:v>
      </x:c>
      <x:c r="AM10" s="9" t="str">
        <x:v>D(2) dopamine receptor</x:v>
      </x:c>
      <x:c r="AN10" s="9" t="str">
        <x:v>9606</x:v>
      </x:c>
      <x:c r="AO10" s="9" t="str">
        <x:v>null</x:v>
      </x:c>
      <x:c r="AP10" s="9" t="str">
        <x:v>null</x:v>
      </x:c>
      <x:c r="AQ10" s="9" t="str">
        <x:v>pKi</x:v>
      </x:c>
      <x:c r="AR10" s="9" t="str">
        <x:v>null</x:v>
      </x:c>
      <x:c r="AS10" s="9" t="str">
        <x:v>UO_0000065</x:v>
      </x:c>
      <x:c r="AT10" s="9" t="str">
        <x:v>null</x:v>
      </x:c>
      <x:c r="AU10" s="9" t="str">
        <x:v>6.05</x:v>
      </x:c>
    </x:row>
    <x:row r="11" ht="51" customHeight="1">
      <x:c r="A11" s="14" t="str">
        <x:v>null</x:v>
      </x:c>
      <x:c r="B11" s="14" t="str">
        <x:v>null</x:v>
      </x:c>
      <x:c r="C11" s="14" t="str">
        <x:v>16670142</x:v>
      </x:c>
      <x:c r="D11" s="14" t="str">
        <x:v>[]</x:v>
      </x:c>
      <x:c r="E11" s="14" t="str">
        <x:v>CHEMBL3855278</x:v>
      </x:c>
      <x:c r="F11" s="14" t="str">
        <x:v>Displacement of [3H]-spiperone from human dopamine D2 receptor expressed in CHO-K1 cell membranes coexpressing Galpha16 after 120 mins by liquid scintillation counting</x:v>
      </x:c>
      <x:c r="G11" s="14" t="str">
        <x:v>B</x:v>
      </x:c>
      <x:c r="H11" s="14" t="str">
        <x:v>null</x:v>
      </x:c>
      <x:c r="I11" s="14" t="str">
        <x:v>null</x:v>
      </x:c>
      <x:c r="J11" s="14" t="str">
        <x:v>BAO_0000192</x:v>
      </x:c>
      <x:c r="K11" s="14" t="str">
        <x:v>BAO_0000219</x:v>
      </x:c>
      <x:c r="L11" s="14" t="str">
        <x:v>cell-based format</x:v>
      </x:c>
      <x:c r="M11" s="14" t="str">
        <x:v>Cc1ncoc1-c1nnc(SCCCN2CC[C@@]3(C[C@@H]3c3ccc(C(F)(F)F)cc3)C2)n1C</x:v>
      </x:c>
      <x:c r="N11" s="14" t="str">
        <x:v>null</x:v>
      </x:c>
      <x:c r="O11" s="14" t="str">
        <x:v>null</x:v>
      </x:c>
      <x:c r="P11" s="14" t="str">
        <x:v>CHEMBL3853329</x:v>
      </x:c>
      <x:c r="Q11" s="14" t="str">
        <x:v>J Med Chem</x:v>
      </x:c>
      <x:c r="R11" s="17" t="n">
        <x:v>2016</x:v>
      </x:c>
      <x:c r="S11" s="14" t="str">
        <x:v>{"bei":"12.98","le":"0.26","lle":"1.04","sei":"10.34"}</x:v>
      </x:c>
      <x:c r="T11" s="14" t="str">
        <x:v>null</x:v>
      </x:c>
      <x:c r="U11" s="14" t="str">
        <x:v>CHEMBL3944642</x:v>
      </x:c>
      <x:c r="V11" s="14" t="str">
        <x:v>null</x:v>
      </x:c>
      <x:c r="W11" s="14" t="str">
        <x:v>CHEMBL3944642</x:v>
      </x:c>
      <x:c r="X11" s="15" t="n">
        <x:v>6.2</x:v>
      </x:c>
      <x:c r="Y11" s="17" t="n">
        <x:v>0</x:v>
      </x:c>
      <x:c r="Z11" s="14" t="str">
        <x:v>http://www.openphacts.org/units/Nanomolar</x:v>
      </x:c>
      <x:c r="AA11" s="14" t="str">
        <x:v>2796782</x:v>
      </x:c>
      <x:c r="AB11" s="14" t="str">
        <x:v>=</x:v>
      </x:c>
      <x:c r="AC11" s="14" t="str">
        <x:v>1</x:v>
      </x:c>
      <x:c r="AD11" s="17" t="n">
        <x:v>1</x:v>
      </x:c>
      <x:c r="AE11" s="14" t="str">
        <x:v>=</x:v>
      </x:c>
      <x:c r="AF11" s="14" t="str">
        <x:v>null</x:v>
      </x:c>
      <x:c r="AG11" s="14" t="str">
        <x:v>Ki</x:v>
      </x:c>
      <x:c r="AH11" s="14" t="str">
        <x:v>nM</x:v>
      </x:c>
      <x:c r="AI11" s="14" t="str">
        <x:v>null</x:v>
      </x:c>
      <x:c r="AJ11" s="15" t="n">
        <x:v>630.96</x:v>
      </x:c>
      <x:c r="AK11" s="14" t="str">
        <x:v>CHEMBL217</x:v>
      </x:c>
      <x:c r="AL11" s="14" t="str">
        <x:v>Homo sapiens</x:v>
      </x:c>
      <x:c r="AM11" s="14" t="str">
        <x:v>D(2) dopamine receptor</x:v>
      </x:c>
      <x:c r="AN11" s="14" t="str">
        <x:v>9606</x:v>
      </x:c>
      <x:c r="AO11" s="14" t="str">
        <x:v>null</x:v>
      </x:c>
      <x:c r="AP11" s="14" t="str">
        <x:v>null</x:v>
      </x:c>
      <x:c r="AQ11" s="14" t="str">
        <x:v>pKi</x:v>
      </x:c>
      <x:c r="AR11" s="14" t="str">
        <x:v>null</x:v>
      </x:c>
      <x:c r="AS11" s="14" t="str">
        <x:v>UO_0000065</x:v>
      </x:c>
      <x:c r="AT11" s="14" t="str">
        <x:v>null</x:v>
      </x:c>
      <x:c r="AU11" s="14" t="str">
        <x:v>6.2</x:v>
      </x:c>
    </x:row>
    <x:row r="12" ht="51" customHeight="1">
      <x:c r="A12" s="9" t="str">
        <x:v>null</x:v>
      </x:c>
      <x:c r="B12" s="9" t="str">
        <x:v>null</x:v>
      </x:c>
      <x:c r="C12" s="9" t="str">
        <x:v>16670143</x:v>
      </x:c>
      <x:c r="D12" s="9" t="str">
        <x:v>[]</x:v>
      </x:c>
      <x:c r="E12" s="9" t="str">
        <x:v>CHEMBL3855278</x:v>
      </x:c>
      <x:c r="F12" s="9" t="str">
        <x:v>Displacement of [3H]-spiperone from human dopamine D2 receptor expressed in CHO-K1 cell membranes coexpressing Galpha16 after 120 mins by liquid scintillation counting</x:v>
      </x:c>
      <x:c r="G12" s="9" t="str">
        <x:v>B</x:v>
      </x:c>
      <x:c r="H12" s="9" t="str">
        <x:v>null</x:v>
      </x:c>
      <x:c r="I12" s="9" t="str">
        <x:v>null</x:v>
      </x:c>
      <x:c r="J12" s="9" t="str">
        <x:v>BAO_0000192</x:v>
      </x:c>
      <x:c r="K12" s="9" t="str">
        <x:v>BAO_0000219</x:v>
      </x:c>
      <x:c r="L12" s="9" t="str">
        <x:v>cell-based format</x:v>
      </x:c>
      <x:c r="M12" s="9" t="str">
        <x:v>Cc1ncoc1-c1nnc(SCCCN2CC[C@]3(C[C@@H]3c3ccc(C(F)(F)F)cc3)C2)n1C</x:v>
      </x:c>
      <x:c r="N12" s="9" t="str">
        <x:v>null</x:v>
      </x:c>
      <x:c r="O12" s="9" t="str">
        <x:v>null</x:v>
      </x:c>
      <x:c r="P12" s="9" t="str">
        <x:v>CHEMBL3853329</x:v>
      </x:c>
      <x:c r="Q12" s="9" t="str">
        <x:v>J Med Chem</x:v>
      </x:c>
      <x:c r="R12" s="13" t="n">
        <x:v>2016</x:v>
      </x:c>
      <x:c r="S12" s="9" t="str">
        <x:v>{"bei":"13.67","le":"0.27","lle":"1.37","sei":"10.89"}</x:v>
      </x:c>
      <x:c r="T12" s="9" t="str">
        <x:v>null</x:v>
      </x:c>
      <x:c r="U12" s="9" t="str">
        <x:v>CHEMBL3935692</x:v>
      </x:c>
      <x:c r="V12" s="9" t="str">
        <x:v>null</x:v>
      </x:c>
      <x:c r="W12" s="9" t="str">
        <x:v>CHEMBL3935692</x:v>
      </x:c>
      <x:c r="X12" s="11" t="n">
        <x:v>6.53</x:v>
      </x:c>
      <x:c r="Y12" s="13" t="n">
        <x:v>0</x:v>
      </x:c>
      <x:c r="Z12" s="9" t="str">
        <x:v>http://www.openphacts.org/units/Nanomolar</x:v>
      </x:c>
      <x:c r="AA12" s="9" t="str">
        <x:v>2796783</x:v>
      </x:c>
      <x:c r="AB12" s="9" t="str">
        <x:v>=</x:v>
      </x:c>
      <x:c r="AC12" s="9" t="str">
        <x:v>1</x:v>
      </x:c>
      <x:c r="AD12" s="13" t="n">
        <x:v>1</x:v>
      </x:c>
      <x:c r="AE12" s="9" t="str">
        <x:v>=</x:v>
      </x:c>
      <x:c r="AF12" s="9" t="str">
        <x:v>null</x:v>
      </x:c>
      <x:c r="AG12" s="9" t="str">
        <x:v>Ki</x:v>
      </x:c>
      <x:c r="AH12" s="9" t="str">
        <x:v>nM</x:v>
      </x:c>
      <x:c r="AI12" s="9" t="str">
        <x:v>null</x:v>
      </x:c>
      <x:c r="AJ12" s="11" t="n">
        <x:v>295.12</x:v>
      </x:c>
      <x:c r="AK12" s="9" t="str">
        <x:v>CHEMBL217</x:v>
      </x:c>
      <x:c r="AL12" s="9" t="str">
        <x:v>Homo sapiens</x:v>
      </x:c>
      <x:c r="AM12" s="9" t="str">
        <x:v>D(2) dopamine receptor</x:v>
      </x:c>
      <x:c r="AN12" s="9" t="str">
        <x:v>9606</x:v>
      </x:c>
      <x:c r="AO12" s="9" t="str">
        <x:v>null</x:v>
      </x:c>
      <x:c r="AP12" s="9" t="str">
        <x:v>null</x:v>
      </x:c>
      <x:c r="AQ12" s="9" t="str">
        <x:v>pKi</x:v>
      </x:c>
      <x:c r="AR12" s="9" t="str">
        <x:v>null</x:v>
      </x:c>
      <x:c r="AS12" s="9" t="str">
        <x:v>UO_0000065</x:v>
      </x:c>
      <x:c r="AT12" s="9" t="str">
        <x:v>null</x:v>
      </x:c>
      <x:c r="AU12" s="9" t="str">
        <x:v>6.53</x:v>
      </x:c>
    </x:row>
    <x:row r="13" ht="51" customHeight="1">
      <x:c r="A13" s="14" t="str">
        <x:v>null</x:v>
      </x:c>
      <x:c r="B13" s="14" t="str">
        <x:v>null</x:v>
      </x:c>
      <x:c r="C13" s="14" t="str">
        <x:v>16670144</x:v>
      </x:c>
      <x:c r="D13" s="14" t="str">
        <x:v>[]</x:v>
      </x:c>
      <x:c r="E13" s="14" t="str">
        <x:v>CHEMBL3855278</x:v>
      </x:c>
      <x:c r="F13" s="14" t="str">
        <x:v>Displacement of [3H]-spiperone from human dopamine D2 receptor expressed in CHO-K1 cell membranes coexpressing Galpha16 after 120 mins by liquid scintillation counting</x:v>
      </x:c>
      <x:c r="G13" s="14" t="str">
        <x:v>B</x:v>
      </x:c>
      <x:c r="H13" s="14" t="str">
        <x:v>null</x:v>
      </x:c>
      <x:c r="I13" s="14" t="str">
        <x:v>null</x:v>
      </x:c>
      <x:c r="J13" s="14" t="str">
        <x:v>BAO_0000192</x:v>
      </x:c>
      <x:c r="K13" s="14" t="str">
        <x:v>BAO_0000219</x:v>
      </x:c>
      <x:c r="L13" s="14" t="str">
        <x:v>cell-based format</x:v>
      </x:c>
      <x:c r="M13" s="14" t="str">
        <x:v>Cc1ncoc1-c1nnc(SCCCN2CC[C@]3(C[C@@H]3c3ccc(C(F)(F)F)cc3)C2)n1C</x:v>
      </x:c>
      <x:c r="N13" s="14" t="str">
        <x:v>null</x:v>
      </x:c>
      <x:c r="O13" s="14" t="str">
        <x:v>null</x:v>
      </x:c>
      <x:c r="P13" s="14" t="str">
        <x:v>CHEMBL3853329</x:v>
      </x:c>
      <x:c r="Q13" s="14" t="str">
        <x:v>J Med Chem</x:v>
      </x:c>
      <x:c r="R13" s="17" t="n">
        <x:v>2016</x:v>
      </x:c>
      <x:c r="S13" s="14" t="str">
        <x:v>{"bei":"13.97","le":"0.28","lle":"1.51","sei":"11.12"}</x:v>
      </x:c>
      <x:c r="T13" s="14" t="str">
        <x:v>null</x:v>
      </x:c>
      <x:c r="U13" s="14" t="str">
        <x:v>CHEMBL3935692</x:v>
      </x:c>
      <x:c r="V13" s="14" t="str">
        <x:v>null</x:v>
      </x:c>
      <x:c r="W13" s="14" t="str">
        <x:v>CHEMBL3935692</x:v>
      </x:c>
      <x:c r="X13" s="15" t="n">
        <x:v>6.67</x:v>
      </x:c>
      <x:c r="Y13" s="17" t="n">
        <x:v>0</x:v>
      </x:c>
      <x:c r="Z13" s="14" t="str">
        <x:v>http://www.openphacts.org/units/Nanomolar</x:v>
      </x:c>
      <x:c r="AA13" s="14" t="str">
        <x:v>2796784</x:v>
      </x:c>
      <x:c r="AB13" s="14" t="str">
        <x:v>=</x:v>
      </x:c>
      <x:c r="AC13" s="14" t="str">
        <x:v>1</x:v>
      </x:c>
      <x:c r="AD13" s="17" t="n">
        <x:v>1</x:v>
      </x:c>
      <x:c r="AE13" s="14" t="str">
        <x:v>=</x:v>
      </x:c>
      <x:c r="AF13" s="14" t="str">
        <x:v>null</x:v>
      </x:c>
      <x:c r="AG13" s="14" t="str">
        <x:v>Ki</x:v>
      </x:c>
      <x:c r="AH13" s="14" t="str">
        <x:v>nM</x:v>
      </x:c>
      <x:c r="AI13" s="14" t="str">
        <x:v>null</x:v>
      </x:c>
      <x:c r="AJ13" s="15" t="n">
        <x:v>213.8</x:v>
      </x:c>
      <x:c r="AK13" s="14" t="str">
        <x:v>CHEMBL217</x:v>
      </x:c>
      <x:c r="AL13" s="14" t="str">
        <x:v>Homo sapiens</x:v>
      </x:c>
      <x:c r="AM13" s="14" t="str">
        <x:v>D(2) dopamine receptor</x:v>
      </x:c>
      <x:c r="AN13" s="14" t="str">
        <x:v>9606</x:v>
      </x:c>
      <x:c r="AO13" s="14" t="str">
        <x:v>null</x:v>
      </x:c>
      <x:c r="AP13" s="14" t="str">
        <x:v>null</x:v>
      </x:c>
      <x:c r="AQ13" s="14" t="str">
        <x:v>pKi</x:v>
      </x:c>
      <x:c r="AR13" s="14" t="str">
        <x:v>null</x:v>
      </x:c>
      <x:c r="AS13" s="14" t="str">
        <x:v>UO_0000065</x:v>
      </x:c>
      <x:c r="AT13" s="14" t="str">
        <x:v>null</x:v>
      </x:c>
      <x:c r="AU13" s="14" t="str">
        <x:v>6.67</x:v>
      </x:c>
    </x:row>
    <x:row r="14" ht="51" customHeight="1">
      <x:c r="A14" s="9" t="str">
        <x:v>null</x:v>
      </x:c>
      <x:c r="B14" s="9" t="str">
        <x:v>Not Determined</x:v>
      </x:c>
      <x:c r="C14" s="9" t="str">
        <x:v>16670145</x:v>
      </x:c>
      <x:c r="D14" s="9" t="str">
        <x:v>[]</x:v>
      </x:c>
      <x:c r="E14" s="9" t="str">
        <x:v>CHEMBL3855278</x:v>
      </x:c>
      <x:c r="F14" s="9" t="str">
        <x:v>Displacement of [3H]-spiperone from human dopamine D2 receptor expressed in CHO-K1 cell membranes coexpressing Galpha16 after 120 mins by liquid scintillation counting</x:v>
      </x:c>
      <x:c r="G14" s="9" t="str">
        <x:v>B</x:v>
      </x:c>
      <x:c r="H14" s="9" t="str">
        <x:v>null</x:v>
      </x:c>
      <x:c r="I14" s="9" t="str">
        <x:v>null</x:v>
      </x:c>
      <x:c r="J14" s="9" t="str">
        <x:v>BAO_0000179</x:v>
      </x:c>
      <x:c r="K14" s="9" t="str">
        <x:v>BAO_0000219</x:v>
      </x:c>
      <x:c r="L14" s="9" t="str">
        <x:v>cell-based format</x:v>
      </x:c>
      <x:c r="M14" s="9" t="str">
        <x:v>Cc1ncoc1-c1nnc(SCCCN2CC[C@@]3(C[C@H]3c3ccc(C(F)(F)F)cc3)C2)n1C</x:v>
      </x:c>
      <x:c r="N14" s="9" t="str">
        <x:v>null</x:v>
      </x:c>
      <x:c r="O14" s="9" t="str">
        <x:v>null</x:v>
      </x:c>
      <x:c r="P14" s="9" t="str">
        <x:v>CHEMBL3853329</x:v>
      </x:c>
      <x:c r="Q14" s="9" t="str">
        <x:v>J Med Chem</x:v>
      </x:c>
      <x:c r="R14" s="13" t="n">
        <x:v>2016</x:v>
      </x:c>
      <x:c r="S14" s="9" t="str">
        <x:v>null</x:v>
      </x:c>
      <x:c r="T14" s="9" t="str">
        <x:v>null</x:v>
      </x:c>
      <x:c r="U14" s="9" t="str">
        <x:v>CHEMBL3911264</x:v>
      </x:c>
      <x:c r="V14" s="9" t="str">
        <x:v>null</x:v>
      </x:c>
      <x:c r="W14" s="9" t="str">
        <x:v>CHEMBL3911264</x:v>
      </x:c>
      <x:c r="X14" s="11" t="str">
        <x:v>null</x:v>
      </x:c>
      <x:c r="Y14" s="13" t="n">
        <x:v>0</x:v>
      </x:c>
      <x:c r="Z14" s="9" t="str">
        <x:v>null</x:v>
      </x:c>
      <x:c r="AA14" s="9" t="str">
        <x:v>2796785</x:v>
      </x:c>
      <x:c r="AB14" s="9" t="str">
        <x:v>null</x:v>
      </x:c>
      <x:c r="AC14" s="9" t="str">
        <x:v>1</x:v>
      </x:c>
      <x:c r="AD14" s="13" t="n">
        <x:v>0</x:v>
      </x:c>
      <x:c r="AE14" s="9" t="str">
        <x:v>null</x:v>
      </x:c>
      <x:c r="AF14" s="9" t="str">
        <x:v>null</x:v>
      </x:c>
      <x:c r="AG14" s="9" t="str">
        <x:v>pKi</x:v>
      </x:c>
      <x:c r="AH14" s="9" t="str">
        <x:v>null</x:v>
      </x:c>
      <x:c r="AI14" s="9" t="str">
        <x:v>null</x:v>
      </x:c>
      <x:c r="AJ14" s="11" t="str">
        <x:v>null</x:v>
      </x:c>
      <x:c r="AK14" s="9" t="str">
        <x:v>CHEMBL217</x:v>
      </x:c>
      <x:c r="AL14" s="9" t="str">
        <x:v>Homo sapiens</x:v>
      </x:c>
      <x:c r="AM14" s="9" t="str">
        <x:v>D(2) dopamine receptor</x:v>
      </x:c>
      <x:c r="AN14" s="9" t="str">
        <x:v>9606</x:v>
      </x:c>
      <x:c r="AO14" s="9" t="str">
        <x:v>null</x:v>
      </x:c>
      <x:c r="AP14" s="9" t="str">
        <x:v>null</x:v>
      </x:c>
      <x:c r="AQ14" s="9" t="str">
        <x:v>pKi</x:v>
      </x:c>
      <x:c r="AR14" s="9" t="str">
        <x:v>null</x:v>
      </x:c>
      <x:c r="AS14" s="9" t="str">
        <x:v>null</x:v>
      </x:c>
      <x:c r="AT14" s="9" t="str">
        <x:v>null</x:v>
      </x:c>
      <x:c r="AU14" s="9" t="str">
        <x:v>null</x:v>
      </x:c>
    </x:row>
    <x:row r="15" ht="51" customHeight="1">
      <x:c r="A15" s="14" t="str">
        <x:v>null</x:v>
      </x:c>
      <x:c r="B15" s="14" t="str">
        <x:v>null</x:v>
      </x:c>
      <x:c r="C15" s="14" t="str">
        <x:v>16670146</x:v>
      </x:c>
      <x:c r="D15" s="14" t="str">
        <x:v>[]</x:v>
      </x:c>
      <x:c r="E15" s="14" t="str">
        <x:v>CHEMBL3855278</x:v>
      </x:c>
      <x:c r="F15" s="14" t="str">
        <x:v>Displacement of [3H]-spiperone from human dopamine D2 receptor expressed in CHO-K1 cell membranes coexpressing Galpha16 after 120 mins by liquid scintillation counting</x:v>
      </x:c>
      <x:c r="G15" s="14" t="str">
        <x:v>B</x:v>
      </x:c>
      <x:c r="H15" s="14" t="str">
        <x:v>null</x:v>
      </x:c>
      <x:c r="I15" s="14" t="str">
        <x:v>null</x:v>
      </x:c>
      <x:c r="J15" s="14" t="str">
        <x:v>BAO_0000192</x:v>
      </x:c>
      <x:c r="K15" s="14" t="str">
        <x:v>BAO_0000219</x:v>
      </x:c>
      <x:c r="L15" s="14" t="str">
        <x:v>cell-based format</x:v>
      </x:c>
      <x:c r="M15" s="14" t="str">
        <x:v>Cc1ncoc1-c1nnc(SCCN2CC[C@]3(C[C@H]3c3ccc(C(F)(F)F)cc3)C2)n1C</x:v>
      </x:c>
      <x:c r="N15" s="14" t="str">
        <x:v>null</x:v>
      </x:c>
      <x:c r="O15" s="14" t="str">
        <x:v>null</x:v>
      </x:c>
      <x:c r="P15" s="14" t="str">
        <x:v>CHEMBL3853329</x:v>
      </x:c>
      <x:c r="Q15" s="14" t="str">
        <x:v>J Med Chem</x:v>
      </x:c>
      <x:c r="R15" s="17" t="n">
        <x:v>2016</x:v>
      </x:c>
      <x:c r="S15" s="14" t="str">
        <x:v>{"bei":"13.57","le":"0.27","lle":"1.52","sei":"10.49"}</x:v>
      </x:c>
      <x:c r="T15" s="14" t="str">
        <x:v>null</x:v>
      </x:c>
      <x:c r="U15" s="14" t="str">
        <x:v>CHEMBL3954568</x:v>
      </x:c>
      <x:c r="V15" s="14" t="str">
        <x:v>null</x:v>
      </x:c>
      <x:c r="W15" s="14" t="str">
        <x:v>CHEMBL3954568</x:v>
      </x:c>
      <x:c r="X15" s="15" t="n">
        <x:v>6.29</x:v>
      </x:c>
      <x:c r="Y15" s="17" t="n">
        <x:v>0</x:v>
      </x:c>
      <x:c r="Z15" s="14" t="str">
        <x:v>http://www.openphacts.org/units/Nanomolar</x:v>
      </x:c>
      <x:c r="AA15" s="14" t="str">
        <x:v>2796786</x:v>
      </x:c>
      <x:c r="AB15" s="14" t="str">
        <x:v>=</x:v>
      </x:c>
      <x:c r="AC15" s="14" t="str">
        <x:v>1</x:v>
      </x:c>
      <x:c r="AD15" s="17" t="n">
        <x:v>1</x:v>
      </x:c>
      <x:c r="AE15" s="14" t="str">
        <x:v>=</x:v>
      </x:c>
      <x:c r="AF15" s="14" t="str">
        <x:v>null</x:v>
      </x:c>
      <x:c r="AG15" s="14" t="str">
        <x:v>Ki</x:v>
      </x:c>
      <x:c r="AH15" s="14" t="str">
        <x:v>nM</x:v>
      </x:c>
      <x:c r="AI15" s="14" t="str">
        <x:v>null</x:v>
      </x:c>
      <x:c r="AJ15" s="15" t="n">
        <x:v>512.86</x:v>
      </x:c>
      <x:c r="AK15" s="14" t="str">
        <x:v>CHEMBL217</x:v>
      </x:c>
      <x:c r="AL15" s="14" t="str">
        <x:v>Homo sapiens</x:v>
      </x:c>
      <x:c r="AM15" s="14" t="str">
        <x:v>D(2) dopamine receptor</x:v>
      </x:c>
      <x:c r="AN15" s="14" t="str">
        <x:v>9606</x:v>
      </x:c>
      <x:c r="AO15" s="14" t="str">
        <x:v>null</x:v>
      </x:c>
      <x:c r="AP15" s="14" t="str">
        <x:v>null</x:v>
      </x:c>
      <x:c r="AQ15" s="14" t="str">
        <x:v>pKi</x:v>
      </x:c>
      <x:c r="AR15" s="14" t="str">
        <x:v>null</x:v>
      </x:c>
      <x:c r="AS15" s="14" t="str">
        <x:v>UO_0000065</x:v>
      </x:c>
      <x:c r="AT15" s="14" t="str">
        <x:v>null</x:v>
      </x:c>
      <x:c r="AU15" s="14" t="str">
        <x:v>6.29</x:v>
      </x:c>
    </x:row>
    <x:row r="16" ht="51" customHeight="1">
      <x:c r="A16" s="9" t="str">
        <x:v>null</x:v>
      </x:c>
      <x:c r="B16" s="9" t="str">
        <x:v>null</x:v>
      </x:c>
      <x:c r="C16" s="9" t="str">
        <x:v>16670147</x:v>
      </x:c>
      <x:c r="D16" s="9" t="str">
        <x:v>[]</x:v>
      </x:c>
      <x:c r="E16" s="9" t="str">
        <x:v>CHEMBL3855278</x:v>
      </x:c>
      <x:c r="F16" s="9" t="str">
        <x:v>Displacement of [3H]-spiperone from human dopamine D2 receptor expressed in CHO-K1 cell membranes coexpressing Galpha16 after 120 mins by liquid scintillation counting</x:v>
      </x:c>
      <x:c r="G16" s="9" t="str">
        <x:v>B</x:v>
      </x:c>
      <x:c r="H16" s="9" t="str">
        <x:v>null</x:v>
      </x:c>
      <x:c r="I16" s="9" t="str">
        <x:v>null</x:v>
      </x:c>
      <x:c r="J16" s="9" t="str">
        <x:v>BAO_0000192</x:v>
      </x:c>
      <x:c r="K16" s="9" t="str">
        <x:v>BAO_0000219</x:v>
      </x:c>
      <x:c r="L16" s="9" t="str">
        <x:v>cell-based format</x:v>
      </x:c>
      <x:c r="M16" s="9" t="str">
        <x:v>Cc1ncoc1-c1nnc(SCCN2CC[C@]3(C[C@H]3c3ccc(C(F)(F)F)cc3)C2)n1C</x:v>
      </x:c>
      <x:c r="N16" s="9" t="str">
        <x:v>null</x:v>
      </x:c>
      <x:c r="O16" s="9" t="str">
        <x:v>null</x:v>
      </x:c>
      <x:c r="P16" s="9" t="str">
        <x:v>CHEMBL3853329</x:v>
      </x:c>
      <x:c r="Q16" s="9" t="str">
        <x:v>J Med Chem</x:v>
      </x:c>
      <x:c r="R16" s="13" t="n">
        <x:v>2016</x:v>
      </x:c>
      <x:c r="S16" s="9" t="str">
        <x:v>{"bei":"12.97","le":"0.26","lle":"1.24","sei":"10.02"}</x:v>
      </x:c>
      <x:c r="T16" s="9" t="str">
        <x:v>null</x:v>
      </x:c>
      <x:c r="U16" s="9" t="str">
        <x:v>CHEMBL3954568</x:v>
      </x:c>
      <x:c r="V16" s="9" t="str">
        <x:v>null</x:v>
      </x:c>
      <x:c r="W16" s="9" t="str">
        <x:v>CHEMBL3954568</x:v>
      </x:c>
      <x:c r="X16" s="11" t="n">
        <x:v>6.01</x:v>
      </x:c>
      <x:c r="Y16" s="13" t="n">
        <x:v>0</x:v>
      </x:c>
      <x:c r="Z16" s="9" t="str">
        <x:v>http://www.openphacts.org/units/Nanomolar</x:v>
      </x:c>
      <x:c r="AA16" s="9" t="str">
        <x:v>2796787</x:v>
      </x:c>
      <x:c r="AB16" s="9" t="str">
        <x:v>=</x:v>
      </x:c>
      <x:c r="AC16" s="9" t="str">
        <x:v>1</x:v>
      </x:c>
      <x:c r="AD16" s="13" t="n">
        <x:v>1</x:v>
      </x:c>
      <x:c r="AE16" s="9" t="str">
        <x:v>=</x:v>
      </x:c>
      <x:c r="AF16" s="9" t="str">
        <x:v>null</x:v>
      </x:c>
      <x:c r="AG16" s="9" t="str">
        <x:v>Ki</x:v>
      </x:c>
      <x:c r="AH16" s="9" t="str">
        <x:v>nM</x:v>
      </x:c>
      <x:c r="AI16" s="9" t="str">
        <x:v>null</x:v>
      </x:c>
      <x:c r="AJ16" s="11" t="n">
        <x:v>977.24</x:v>
      </x:c>
      <x:c r="AK16" s="9" t="str">
        <x:v>CHEMBL217</x:v>
      </x:c>
      <x:c r="AL16" s="9" t="str">
        <x:v>Homo sapiens</x:v>
      </x:c>
      <x:c r="AM16" s="9" t="str">
        <x:v>D(2) dopamine receptor</x:v>
      </x:c>
      <x:c r="AN16" s="9" t="str">
        <x:v>9606</x:v>
      </x:c>
      <x:c r="AO16" s="9" t="str">
        <x:v>null</x:v>
      </x:c>
      <x:c r="AP16" s="9" t="str">
        <x:v>null</x:v>
      </x:c>
      <x:c r="AQ16" s="9" t="str">
        <x:v>pKi</x:v>
      </x:c>
      <x:c r="AR16" s="9" t="str">
        <x:v>null</x:v>
      </x:c>
      <x:c r="AS16" s="9" t="str">
        <x:v>UO_0000065</x:v>
      </x:c>
      <x:c r="AT16" s="9" t="str">
        <x:v>null</x:v>
      </x:c>
      <x:c r="AU16" s="9" t="str">
        <x:v>6.01</x:v>
      </x:c>
    </x:row>
    <x:row r="17" ht="51" customHeight="1">
      <x:c r="A17" s="14" t="str">
        <x:v>null</x:v>
      </x:c>
      <x:c r="B17" s="14" t="str">
        <x:v>null</x:v>
      </x:c>
      <x:c r="C17" s="14" t="str">
        <x:v>16670148</x:v>
      </x:c>
      <x:c r="D17" s="14" t="str">
        <x:v>[]</x:v>
      </x:c>
      <x:c r="E17" s="14" t="str">
        <x:v>CHEMBL3855278</x:v>
      </x:c>
      <x:c r="F17" s="14" t="str">
        <x:v>Displacement of [3H]-spiperone from human dopamine D2 receptor expressed in CHO-K1 cell membranes coexpressing Galpha16 after 120 mins by liquid scintillation counting</x:v>
      </x:c>
      <x:c r="G17" s="14" t="str">
        <x:v>B</x:v>
      </x:c>
      <x:c r="H17" s="14" t="str">
        <x:v>null</x:v>
      </x:c>
      <x:c r="I17" s="14" t="str">
        <x:v>null</x:v>
      </x:c>
      <x:c r="J17" s="14" t="str">
        <x:v>BAO_0000192</x:v>
      </x:c>
      <x:c r="K17" s="14" t="str">
        <x:v>BAO_0000219</x:v>
      </x:c>
      <x:c r="L17" s="14" t="str">
        <x:v>cell-based format</x:v>
      </x:c>
      <x:c r="M17" s="14" t="str">
        <x:v>Cc1ncoc1-c1nnc(SCCN2CC[C@@]3(C[C@@H]3c3ccc(C(F)(F)F)cc3)C2)n1C</x:v>
      </x:c>
      <x:c r="N17" s="14" t="str">
        <x:v>null</x:v>
      </x:c>
      <x:c r="O17" s="14" t="str">
        <x:v>null</x:v>
      </x:c>
      <x:c r="P17" s="14" t="str">
        <x:v>CHEMBL3853329</x:v>
      </x:c>
      <x:c r="Q17" s="14" t="str">
        <x:v>J Med Chem</x:v>
      </x:c>
      <x:c r="R17" s="17" t="n">
        <x:v>2016</x:v>
      </x:c>
      <x:c r="S17" s="14" t="str">
        <x:v>{"bei":"13.16","le":"0.26","lle":"1.33","sei":"10.17"}</x:v>
      </x:c>
      <x:c r="T17" s="14" t="str">
        <x:v>null</x:v>
      </x:c>
      <x:c r="U17" s="14" t="str">
        <x:v>CHEMBL3953365</x:v>
      </x:c>
      <x:c r="V17" s="14" t="str">
        <x:v>null</x:v>
      </x:c>
      <x:c r="W17" s="14" t="str">
        <x:v>CHEMBL3953365</x:v>
      </x:c>
      <x:c r="X17" s="15" t="n">
        <x:v>6.1</x:v>
      </x:c>
      <x:c r="Y17" s="17" t="n">
        <x:v>0</x:v>
      </x:c>
      <x:c r="Z17" s="14" t="str">
        <x:v>http://www.openphacts.org/units/Nanomolar</x:v>
      </x:c>
      <x:c r="AA17" s="14" t="str">
        <x:v>2796788</x:v>
      </x:c>
      <x:c r="AB17" s="14" t="str">
        <x:v>=</x:v>
      </x:c>
      <x:c r="AC17" s="14" t="str">
        <x:v>1</x:v>
      </x:c>
      <x:c r="AD17" s="17" t="n">
        <x:v>1</x:v>
      </x:c>
      <x:c r="AE17" s="14" t="str">
        <x:v>=</x:v>
      </x:c>
      <x:c r="AF17" s="14" t="str">
        <x:v>null</x:v>
      </x:c>
      <x:c r="AG17" s="14" t="str">
        <x:v>Ki</x:v>
      </x:c>
      <x:c r="AH17" s="14" t="str">
        <x:v>nM</x:v>
      </x:c>
      <x:c r="AI17" s="14" t="str">
        <x:v>null</x:v>
      </x:c>
      <x:c r="AJ17" s="15" t="n">
        <x:v>794.33</x:v>
      </x:c>
      <x:c r="AK17" s="14" t="str">
        <x:v>CHEMBL217</x:v>
      </x:c>
      <x:c r="AL17" s="14" t="str">
        <x:v>Homo sapiens</x:v>
      </x:c>
      <x:c r="AM17" s="14" t="str">
        <x:v>D(2) dopamine receptor</x:v>
      </x:c>
      <x:c r="AN17" s="14" t="str">
        <x:v>9606</x:v>
      </x:c>
      <x:c r="AO17" s="14" t="str">
        <x:v>null</x:v>
      </x:c>
      <x:c r="AP17" s="14" t="str">
        <x:v>null</x:v>
      </x:c>
      <x:c r="AQ17" s="14" t="str">
        <x:v>pKi</x:v>
      </x:c>
      <x:c r="AR17" s="14" t="str">
        <x:v>null</x:v>
      </x:c>
      <x:c r="AS17" s="14" t="str">
        <x:v>UO_0000065</x:v>
      </x:c>
      <x:c r="AT17" s="14" t="str">
        <x:v>null</x:v>
      </x:c>
      <x:c r="AU17" s="14" t="str">
        <x:v>6.1</x:v>
      </x:c>
    </x:row>
    <x:row r="18" ht="51" customHeight="1">
      <x:c r="A18" s="9" t="str">
        <x:v>null</x:v>
      </x:c>
      <x:c r="B18" s="9" t="str">
        <x:v>null</x:v>
      </x:c>
      <x:c r="C18" s="9" t="str">
        <x:v>16670149</x:v>
      </x:c>
      <x:c r="D18" s="9" t="str">
        <x:v>[]</x:v>
      </x:c>
      <x:c r="E18" s="9" t="str">
        <x:v>CHEMBL3855278</x:v>
      </x:c>
      <x:c r="F18" s="9" t="str">
        <x:v>Displacement of [3H]-spiperone from human dopamine D2 receptor expressed in CHO-K1 cell membranes coexpressing Galpha16 after 120 mins by liquid scintillation counting</x:v>
      </x:c>
      <x:c r="G18" s="9" t="str">
        <x:v>B</x:v>
      </x:c>
      <x:c r="H18" s="9" t="str">
        <x:v>null</x:v>
      </x:c>
      <x:c r="I18" s="9" t="str">
        <x:v>null</x:v>
      </x:c>
      <x:c r="J18" s="9" t="str">
        <x:v>BAO_0000192</x:v>
      </x:c>
      <x:c r="K18" s="9" t="str">
        <x:v>BAO_0000219</x:v>
      </x:c>
      <x:c r="L18" s="9" t="str">
        <x:v>cell-based format</x:v>
      </x:c>
      <x:c r="M18" s="9" t="str">
        <x:v>Cc1ncoc1-c1nnc(SCCN2CC[C@]3(C[C@@H]3c3ccc(C(F)(F)F)cc3)C2)n1C</x:v>
      </x:c>
      <x:c r="N18" s="9" t="str">
        <x:v>null</x:v>
      </x:c>
      <x:c r="O18" s="9" t="str">
        <x:v>null</x:v>
      </x:c>
      <x:c r="P18" s="9" t="str">
        <x:v>CHEMBL3853329</x:v>
      </x:c>
      <x:c r="Q18" s="9" t="str">
        <x:v>J Med Chem</x:v>
      </x:c>
      <x:c r="R18" s="13" t="n">
        <x:v>2016</x:v>
      </x:c>
      <x:c r="S18" s="9" t="str">
        <x:v>{"bei":"13.55","le":"0.27","lle":"1.51","sei":"10.47"}</x:v>
      </x:c>
      <x:c r="T18" s="9" t="str">
        <x:v>null</x:v>
      </x:c>
      <x:c r="U18" s="9" t="str">
        <x:v>CHEMBL3936812</x:v>
      </x:c>
      <x:c r="V18" s="9" t="str">
        <x:v>null</x:v>
      </x:c>
      <x:c r="W18" s="9" t="str">
        <x:v>CHEMBL3936812</x:v>
      </x:c>
      <x:c r="X18" s="11" t="n">
        <x:v>6.28</x:v>
      </x:c>
      <x:c r="Y18" s="13" t="n">
        <x:v>0</x:v>
      </x:c>
      <x:c r="Z18" s="9" t="str">
        <x:v>http://www.openphacts.org/units/Nanomolar</x:v>
      </x:c>
      <x:c r="AA18" s="9" t="str">
        <x:v>2796789</x:v>
      </x:c>
      <x:c r="AB18" s="9" t="str">
        <x:v>=</x:v>
      </x:c>
      <x:c r="AC18" s="9" t="str">
        <x:v>1</x:v>
      </x:c>
      <x:c r="AD18" s="13" t="n">
        <x:v>1</x:v>
      </x:c>
      <x:c r="AE18" s="9" t="str">
        <x:v>=</x:v>
      </x:c>
      <x:c r="AF18" s="9" t="str">
        <x:v>null</x:v>
      </x:c>
      <x:c r="AG18" s="9" t="str">
        <x:v>Ki</x:v>
      </x:c>
      <x:c r="AH18" s="9" t="str">
        <x:v>nM</x:v>
      </x:c>
      <x:c r="AI18" s="9" t="str">
        <x:v>null</x:v>
      </x:c>
      <x:c r="AJ18" s="11" t="n">
        <x:v>524.81</x:v>
      </x:c>
      <x:c r="AK18" s="9" t="str">
        <x:v>CHEMBL217</x:v>
      </x:c>
      <x:c r="AL18" s="9" t="str">
        <x:v>Homo sapiens</x:v>
      </x:c>
      <x:c r="AM18" s="9" t="str">
        <x:v>D(2) dopamine receptor</x:v>
      </x:c>
      <x:c r="AN18" s="9" t="str">
        <x:v>9606</x:v>
      </x:c>
      <x:c r="AO18" s="9" t="str">
        <x:v>null</x:v>
      </x:c>
      <x:c r="AP18" s="9" t="str">
        <x:v>null</x:v>
      </x:c>
      <x:c r="AQ18" s="9" t="str">
        <x:v>pKi</x:v>
      </x:c>
      <x:c r="AR18" s="9" t="str">
        <x:v>null</x:v>
      </x:c>
      <x:c r="AS18" s="9" t="str">
        <x:v>UO_0000065</x:v>
      </x:c>
      <x:c r="AT18" s="9" t="str">
        <x:v>null</x:v>
      </x:c>
      <x:c r="AU18" s="9" t="str">
        <x:v>6.28</x:v>
      </x:c>
    </x:row>
    <x:row r="19" ht="51" customHeight="1">
      <x:c r="A19" s="14" t="str">
        <x:v>null</x:v>
      </x:c>
      <x:c r="B19" s="14" t="str">
        <x:v>null</x:v>
      </x:c>
      <x:c r="C19" s="14" t="str">
        <x:v>16670150</x:v>
      </x:c>
      <x:c r="D19" s="14" t="str">
        <x:v>[]</x:v>
      </x:c>
      <x:c r="E19" s="14" t="str">
        <x:v>CHEMBL3855278</x:v>
      </x:c>
      <x:c r="F19" s="14" t="str">
        <x:v>Displacement of [3H]-spiperone from human dopamine D2 receptor expressed in CHO-K1 cell membranes coexpressing Galpha16 after 120 mins by liquid scintillation counting</x:v>
      </x:c>
      <x:c r="G19" s="14" t="str">
        <x:v>B</x:v>
      </x:c>
      <x:c r="H19" s="14" t="str">
        <x:v>null</x:v>
      </x:c>
      <x:c r="I19" s="14" t="str">
        <x:v>null</x:v>
      </x:c>
      <x:c r="J19" s="14" t="str">
        <x:v>BAO_0000192</x:v>
      </x:c>
      <x:c r="K19" s="14" t="str">
        <x:v>BAO_0000219</x:v>
      </x:c>
      <x:c r="L19" s="14" t="str">
        <x:v>cell-based format</x:v>
      </x:c>
      <x:c r="M19" s="14" t="str">
        <x:v>Cc1ncoc1-c1nnc(SCCCCN2CC[C@]3(C[C@@H]3c3ccc(C(F)(F)F)cc3)C2)n1C</x:v>
      </x:c>
      <x:c r="N19" s="14" t="str">
        <x:v>null</x:v>
      </x:c>
      <x:c r="O19" s="14" t="str">
        <x:v>null</x:v>
      </x:c>
      <x:c r="P19" s="14" t="str">
        <x:v>CHEMBL3853329</x:v>
      </x:c>
      <x:c r="Q19" s="14" t="str">
        <x:v>J Med Chem</x:v>
      </x:c>
      <x:c r="R19" s="17" t="n">
        <x:v>2016</x:v>
      </x:c>
      <x:c r="S19" s="14" t="str">
        <x:v>{"bei":"12.23","le":"0.24","lle":"0.46","sei":"10.02"}</x:v>
      </x:c>
      <x:c r="T19" s="14" t="str">
        <x:v>null</x:v>
      </x:c>
      <x:c r="U19" s="14" t="str">
        <x:v>CHEMBL3908862</x:v>
      </x:c>
      <x:c r="V19" s="14" t="str">
        <x:v>null</x:v>
      </x:c>
      <x:c r="W19" s="14" t="str">
        <x:v>CHEMBL3908862</x:v>
      </x:c>
      <x:c r="X19" s="15" t="n">
        <x:v>6.01</x:v>
      </x:c>
      <x:c r="Y19" s="17" t="n">
        <x:v>0</x:v>
      </x:c>
      <x:c r="Z19" s="14" t="str">
        <x:v>http://www.openphacts.org/units/Nanomolar</x:v>
      </x:c>
      <x:c r="AA19" s="14" t="str">
        <x:v>2796790</x:v>
      </x:c>
      <x:c r="AB19" s="14" t="str">
        <x:v>=</x:v>
      </x:c>
      <x:c r="AC19" s="14" t="str">
        <x:v>1</x:v>
      </x:c>
      <x:c r="AD19" s="17" t="n">
        <x:v>1</x:v>
      </x:c>
      <x:c r="AE19" s="14" t="str">
        <x:v>=</x:v>
      </x:c>
      <x:c r="AF19" s="14" t="str">
        <x:v>null</x:v>
      </x:c>
      <x:c r="AG19" s="14" t="str">
        <x:v>Ki</x:v>
      </x:c>
      <x:c r="AH19" s="14" t="str">
        <x:v>nM</x:v>
      </x:c>
      <x:c r="AI19" s="14" t="str">
        <x:v>null</x:v>
      </x:c>
      <x:c r="AJ19" s="15" t="n">
        <x:v>977.24</x:v>
      </x:c>
      <x:c r="AK19" s="14" t="str">
        <x:v>CHEMBL217</x:v>
      </x:c>
      <x:c r="AL19" s="14" t="str">
        <x:v>Homo sapiens</x:v>
      </x:c>
      <x:c r="AM19" s="14" t="str">
        <x:v>D(2) dopamine receptor</x:v>
      </x:c>
      <x:c r="AN19" s="14" t="str">
        <x:v>9606</x:v>
      </x:c>
      <x:c r="AO19" s="14" t="str">
        <x:v>null</x:v>
      </x:c>
      <x:c r="AP19" s="14" t="str">
        <x:v>null</x:v>
      </x:c>
      <x:c r="AQ19" s="14" t="str">
        <x:v>pKi</x:v>
      </x:c>
      <x:c r="AR19" s="14" t="str">
        <x:v>null</x:v>
      </x:c>
      <x:c r="AS19" s="14" t="str">
        <x:v>UO_0000065</x:v>
      </x:c>
      <x:c r="AT19" s="14" t="str">
        <x:v>null</x:v>
      </x:c>
      <x:c r="AU19" s="14" t="str">
        <x:v>6.01</x:v>
      </x:c>
    </x:row>
    <x:row r="20" ht="51" customHeight="1">
      <x:c r="A20" s="9" t="str">
        <x:v>null</x:v>
      </x:c>
      <x:c r="B20" s="9" t="str">
        <x:v>null</x:v>
      </x:c>
      <x:c r="C20" s="9" t="str">
        <x:v>16670151</x:v>
      </x:c>
      <x:c r="D20" s="9" t="str">
        <x:v>[]</x:v>
      </x:c>
      <x:c r="E20" s="9" t="str">
        <x:v>CHEMBL3855278</x:v>
      </x:c>
      <x:c r="F20" s="9" t="str">
        <x:v>Displacement of [3H]-spiperone from human dopamine D2 receptor expressed in CHO-K1 cell membranes coexpressing Galpha16 after 120 mins by liquid scintillation counting</x:v>
      </x:c>
      <x:c r="G20" s="9" t="str">
        <x:v>B</x:v>
      </x:c>
      <x:c r="H20" s="9" t="str">
        <x:v>null</x:v>
      </x:c>
      <x:c r="I20" s="9" t="str">
        <x:v>null</x:v>
      </x:c>
      <x:c r="J20" s="9" t="str">
        <x:v>BAO_0000192</x:v>
      </x:c>
      <x:c r="K20" s="9" t="str">
        <x:v>BAO_0000219</x:v>
      </x:c>
      <x:c r="L20" s="9" t="str">
        <x:v>cell-based format</x:v>
      </x:c>
      <x:c r="M20" s="9" t="str">
        <x:v>Cc1ncoc1-c1nnc(SCCCN2CC[C@]3(C[C@H]3c3ccccc3C(F)(F)F)C2)n1C</x:v>
      </x:c>
      <x:c r="N20" s="9" t="str">
        <x:v>null</x:v>
      </x:c>
      <x:c r="O20" s="9" t="str">
        <x:v>null</x:v>
      </x:c>
      <x:c r="P20" s="9" t="str">
        <x:v>CHEMBL3853329</x:v>
      </x:c>
      <x:c r="Q20" s="9" t="str">
        <x:v>J Med Chem</x:v>
      </x:c>
      <x:c r="R20" s="13" t="n">
        <x:v>2016</x:v>
      </x:c>
      <x:c r="S20" s="9" t="str">
        <x:v>{"bei":"14.47","le":"0.29","lle":"1.75","sei":"11.52"}</x:v>
      </x:c>
      <x:c r="T20" s="9" t="str">
        <x:v>null</x:v>
      </x:c>
      <x:c r="U20" s="9" t="str">
        <x:v>CHEMBL3914195</x:v>
      </x:c>
      <x:c r="V20" s="9" t="str">
        <x:v>null</x:v>
      </x:c>
      <x:c r="W20" s="9" t="str">
        <x:v>CHEMBL3914195</x:v>
      </x:c>
      <x:c r="X20" s="11" t="n">
        <x:v>6.91</x:v>
      </x:c>
      <x:c r="Y20" s="13" t="n">
        <x:v>0</x:v>
      </x:c>
      <x:c r="Z20" s="9" t="str">
        <x:v>http://www.openphacts.org/units/Nanomolar</x:v>
      </x:c>
      <x:c r="AA20" s="9" t="str">
        <x:v>2796791</x:v>
      </x:c>
      <x:c r="AB20" s="9" t="str">
        <x:v>=</x:v>
      </x:c>
      <x:c r="AC20" s="9" t="str">
        <x:v>1</x:v>
      </x:c>
      <x:c r="AD20" s="13" t="n">
        <x:v>1</x:v>
      </x:c>
      <x:c r="AE20" s="9" t="str">
        <x:v>=</x:v>
      </x:c>
      <x:c r="AF20" s="9" t="str">
        <x:v>null</x:v>
      </x:c>
      <x:c r="AG20" s="9" t="str">
        <x:v>Ki</x:v>
      </x:c>
      <x:c r="AH20" s="9" t="str">
        <x:v>nM</x:v>
      </x:c>
      <x:c r="AI20" s="9" t="str">
        <x:v>null</x:v>
      </x:c>
      <x:c r="AJ20" s="11" t="n">
        <x:v>123.03</x:v>
      </x:c>
      <x:c r="AK20" s="9" t="str">
        <x:v>CHEMBL217</x:v>
      </x:c>
      <x:c r="AL20" s="9" t="str">
        <x:v>Homo sapiens</x:v>
      </x:c>
      <x:c r="AM20" s="9" t="str">
        <x:v>D(2) dopamine receptor</x:v>
      </x:c>
      <x:c r="AN20" s="9" t="str">
        <x:v>9606</x:v>
      </x:c>
      <x:c r="AO20" s="9" t="str">
        <x:v>null</x:v>
      </x:c>
      <x:c r="AP20" s="9" t="str">
        <x:v>null</x:v>
      </x:c>
      <x:c r="AQ20" s="9" t="str">
        <x:v>pKi</x:v>
      </x:c>
      <x:c r="AR20" s="9" t="str">
        <x:v>null</x:v>
      </x:c>
      <x:c r="AS20" s="9" t="str">
        <x:v>UO_0000065</x:v>
      </x:c>
      <x:c r="AT20" s="9" t="str">
        <x:v>null</x:v>
      </x:c>
      <x:c r="AU20" s="9" t="str">
        <x:v>6.91</x:v>
      </x:c>
    </x:row>
    <x:row r="21" ht="51" customHeight="1">
      <x:c r="A21" s="14" t="str">
        <x:v>null</x:v>
      </x:c>
      <x:c r="B21" s="14" t="str">
        <x:v>null</x:v>
      </x:c>
      <x:c r="C21" s="14" t="str">
        <x:v>16670152</x:v>
      </x:c>
      <x:c r="D21" s="14" t="str">
        <x:v>[]</x:v>
      </x:c>
      <x:c r="E21" s="14" t="str">
        <x:v>CHEMBL3855278</x:v>
      </x:c>
      <x:c r="F21" s="14" t="str">
        <x:v>Displacement of [3H]-spiperone from human dopamine D2 receptor expressed in CHO-K1 cell membranes coexpressing Galpha16 after 120 mins by liquid scintillation counting</x:v>
      </x:c>
      <x:c r="G21" s="14" t="str">
        <x:v>B</x:v>
      </x:c>
      <x:c r="H21" s="14" t="str">
        <x:v>null</x:v>
      </x:c>
      <x:c r="I21" s="14" t="str">
        <x:v>null</x:v>
      </x:c>
      <x:c r="J21" s="14" t="str">
        <x:v>BAO_0000192</x:v>
      </x:c>
      <x:c r="K21" s="14" t="str">
        <x:v>BAO_0000219</x:v>
      </x:c>
      <x:c r="L21" s="14" t="str">
        <x:v>cell-based format</x:v>
      </x:c>
      <x:c r="M21" s="14" t="str">
        <x:v>Cc1ncoc1-c1nnc(SCCCN2CC[C@]3(C[C@H]3c3ccccc3C(F)(F)F)C2)n1C</x:v>
      </x:c>
      <x:c r="N21" s="14" t="str">
        <x:v>null</x:v>
      </x:c>
      <x:c r="O21" s="14" t="str">
        <x:v>null</x:v>
      </x:c>
      <x:c r="P21" s="14" t="str">
        <x:v>CHEMBL3853329</x:v>
      </x:c>
      <x:c r="Q21" s="14" t="str">
        <x:v>J Med Chem</x:v>
      </x:c>
      <x:c r="R21" s="17" t="n">
        <x:v>2016</x:v>
      </x:c>
      <x:c r="S21" s="14" t="str">
        <x:v>{"bei":"12.86","le":"0.25","lle":"0.98","sei":"10.24"}</x:v>
      </x:c>
      <x:c r="T21" s="14" t="str">
        <x:v>null</x:v>
      </x:c>
      <x:c r="U21" s="14" t="str">
        <x:v>CHEMBL3914195</x:v>
      </x:c>
      <x:c r="V21" s="14" t="str">
        <x:v>null</x:v>
      </x:c>
      <x:c r="W21" s="14" t="str">
        <x:v>CHEMBL3914195</x:v>
      </x:c>
      <x:c r="X21" s="15" t="n">
        <x:v>6.14</x:v>
      </x:c>
      <x:c r="Y21" s="17" t="n">
        <x:v>0</x:v>
      </x:c>
      <x:c r="Z21" s="14" t="str">
        <x:v>http://www.openphacts.org/units/Nanomolar</x:v>
      </x:c>
      <x:c r="AA21" s="14" t="str">
        <x:v>2796792</x:v>
      </x:c>
      <x:c r="AB21" s="14" t="str">
        <x:v>=</x:v>
      </x:c>
      <x:c r="AC21" s="14" t="str">
        <x:v>1</x:v>
      </x:c>
      <x:c r="AD21" s="17" t="n">
        <x:v>1</x:v>
      </x:c>
      <x:c r="AE21" s="14" t="str">
        <x:v>=</x:v>
      </x:c>
      <x:c r="AF21" s="14" t="str">
        <x:v>null</x:v>
      </x:c>
      <x:c r="AG21" s="14" t="str">
        <x:v>Ki</x:v>
      </x:c>
      <x:c r="AH21" s="14" t="str">
        <x:v>nM</x:v>
      </x:c>
      <x:c r="AI21" s="14" t="str">
        <x:v>null</x:v>
      </x:c>
      <x:c r="AJ21" s="15" t="n">
        <x:v>724.44</x:v>
      </x:c>
      <x:c r="AK21" s="14" t="str">
        <x:v>CHEMBL217</x:v>
      </x:c>
      <x:c r="AL21" s="14" t="str">
        <x:v>Homo sapiens</x:v>
      </x:c>
      <x:c r="AM21" s="14" t="str">
        <x:v>D(2) dopamine receptor</x:v>
      </x:c>
      <x:c r="AN21" s="14" t="str">
        <x:v>9606</x:v>
      </x:c>
      <x:c r="AO21" s="14" t="str">
        <x:v>null</x:v>
      </x:c>
      <x:c r="AP21" s="14" t="str">
        <x:v>null</x:v>
      </x:c>
      <x:c r="AQ21" s="14" t="str">
        <x:v>pKi</x:v>
      </x:c>
      <x:c r="AR21" s="14" t="str">
        <x:v>null</x:v>
      </x:c>
      <x:c r="AS21" s="14" t="str">
        <x:v>UO_0000065</x:v>
      </x:c>
      <x:c r="AT21" s="14" t="str">
        <x:v>null</x:v>
      </x:c>
      <x:c r="AU21" s="14" t="str">
        <x:v>6.14</x:v>
      </x:c>
    </x:row>
    <x:row r="22" ht="51" customHeight="1">
      <x:c r="A22" s="9" t="str">
        <x:v>null</x:v>
      </x:c>
      <x:c r="B22" s="9" t="str">
        <x:v>null</x:v>
      </x:c>
      <x:c r="C22" s="9" t="str">
        <x:v>16670153</x:v>
      </x:c>
      <x:c r="D22" s="9" t="str">
        <x:v>[]</x:v>
      </x:c>
      <x:c r="E22" s="9" t="str">
        <x:v>CHEMBL3855278</x:v>
      </x:c>
      <x:c r="F22" s="9" t="str">
        <x:v>Displacement of [3H]-spiperone from human dopamine D2 receptor expressed in CHO-K1 cell membranes coexpressing Galpha16 after 120 mins by liquid scintillation counting</x:v>
      </x:c>
      <x:c r="G22" s="9" t="str">
        <x:v>B</x:v>
      </x:c>
      <x:c r="H22" s="9" t="str">
        <x:v>null</x:v>
      </x:c>
      <x:c r="I22" s="9" t="str">
        <x:v>null</x:v>
      </x:c>
      <x:c r="J22" s="9" t="str">
        <x:v>BAO_0000192</x:v>
      </x:c>
      <x:c r="K22" s="9" t="str">
        <x:v>BAO_0000219</x:v>
      </x:c>
      <x:c r="L22" s="9" t="str">
        <x:v>cell-based format</x:v>
      </x:c>
      <x:c r="M22" s="9" t="str">
        <x:v>Cc1ncoc1-c1nnc(SCCCN2CC[C@@]3(C[C@@H]3c3ccccc3C(F)(F)F)C2)n1C</x:v>
      </x:c>
      <x:c r="N22" s="9" t="str">
        <x:v>null</x:v>
      </x:c>
      <x:c r="O22" s="9" t="str">
        <x:v>null</x:v>
      </x:c>
      <x:c r="P22" s="9" t="str">
        <x:v>CHEMBL3853329</x:v>
      </x:c>
      <x:c r="Q22" s="9" t="str">
        <x:v>J Med Chem</x:v>
      </x:c>
      <x:c r="R22" s="13" t="n">
        <x:v>2016</x:v>
      </x:c>
      <x:c r="S22" s="9" t="str">
        <x:v>{"bei":"15.08","le":"0.30","lle":"2.04","sei":"12.00"}</x:v>
      </x:c>
      <x:c r="T22" s="9" t="str">
        <x:v>null</x:v>
      </x:c>
      <x:c r="U22" s="9" t="str">
        <x:v>CHEMBL3975989</x:v>
      </x:c>
      <x:c r="V22" s="9" t="str">
        <x:v>null</x:v>
      </x:c>
      <x:c r="W22" s="9" t="str">
        <x:v>CHEMBL3975989</x:v>
      </x:c>
      <x:c r="X22" s="11" t="n">
        <x:v>7.2</x:v>
      </x:c>
      <x:c r="Y22" s="13" t="n">
        <x:v>0</x:v>
      </x:c>
      <x:c r="Z22" s="9" t="str">
        <x:v>http://www.openphacts.org/units/Nanomolar</x:v>
      </x:c>
      <x:c r="AA22" s="9" t="str">
        <x:v>2796793</x:v>
      </x:c>
      <x:c r="AB22" s="9" t="str">
        <x:v>=</x:v>
      </x:c>
      <x:c r="AC22" s="9" t="str">
        <x:v>1</x:v>
      </x:c>
      <x:c r="AD22" s="13" t="n">
        <x:v>1</x:v>
      </x:c>
      <x:c r="AE22" s="9" t="str">
        <x:v>=</x:v>
      </x:c>
      <x:c r="AF22" s="9" t="str">
        <x:v>null</x:v>
      </x:c>
      <x:c r="AG22" s="9" t="str">
        <x:v>Ki</x:v>
      </x:c>
      <x:c r="AH22" s="9" t="str">
        <x:v>nM</x:v>
      </x:c>
      <x:c r="AI22" s="9" t="str">
        <x:v>null</x:v>
      </x:c>
      <x:c r="AJ22" s="11" t="n">
        <x:v>63.1</x:v>
      </x:c>
      <x:c r="AK22" s="9" t="str">
        <x:v>CHEMBL217</x:v>
      </x:c>
      <x:c r="AL22" s="9" t="str">
        <x:v>Homo sapiens</x:v>
      </x:c>
      <x:c r="AM22" s="9" t="str">
        <x:v>D(2) dopamine receptor</x:v>
      </x:c>
      <x:c r="AN22" s="9" t="str">
        <x:v>9606</x:v>
      </x:c>
      <x:c r="AO22" s="9" t="str">
        <x:v>null</x:v>
      </x:c>
      <x:c r="AP22" s="9" t="str">
        <x:v>null</x:v>
      </x:c>
      <x:c r="AQ22" s="9" t="str">
        <x:v>pKi</x:v>
      </x:c>
      <x:c r="AR22" s="9" t="str">
        <x:v>null</x:v>
      </x:c>
      <x:c r="AS22" s="9" t="str">
        <x:v>UO_0000065</x:v>
      </x:c>
      <x:c r="AT22" s="9" t="str">
        <x:v>null</x:v>
      </x:c>
      <x:c r="AU22" s="9" t="str">
        <x:v>7.2</x:v>
      </x:c>
    </x:row>
    <x:row r="23" ht="51" customHeight="1">
      <x:c r="A23" s="14" t="str">
        <x:v>null</x:v>
      </x:c>
      <x:c r="B23" s="14" t="str">
        <x:v>null</x:v>
      </x:c>
      <x:c r="C23" s="14" t="str">
        <x:v>16670154</x:v>
      </x:c>
      <x:c r="D23" s="14" t="str">
        <x:v>[]</x:v>
      </x:c>
      <x:c r="E23" s="14" t="str">
        <x:v>CHEMBL3855278</x:v>
      </x:c>
      <x:c r="F23" s="14" t="str">
        <x:v>Displacement of [3H]-spiperone from human dopamine D2 receptor expressed in CHO-K1 cell membranes coexpressing Galpha16 after 120 mins by liquid scintillation counting</x:v>
      </x:c>
      <x:c r="G23" s="14" t="str">
        <x:v>B</x:v>
      </x:c>
      <x:c r="H23" s="14" t="str">
        <x:v>null</x:v>
      </x:c>
      <x:c r="I23" s="14" t="str">
        <x:v>null</x:v>
      </x:c>
      <x:c r="J23" s="14" t="str">
        <x:v>BAO_0000192</x:v>
      </x:c>
      <x:c r="K23" s="14" t="str">
        <x:v>BAO_0000219</x:v>
      </x:c>
      <x:c r="L23" s="14" t="str">
        <x:v>cell-based format</x:v>
      </x:c>
      <x:c r="M23" s="14" t="str">
        <x:v>Cc1ncoc1-c1nnc(SCCCN2CC[C@]3(C[C@@H]3c3ccccc3C(F)(F)F)C2)n1C</x:v>
      </x:c>
      <x:c r="N23" s="14" t="str">
        <x:v>null</x:v>
      </x:c>
      <x:c r="O23" s="14" t="str">
        <x:v>null</x:v>
      </x:c>
      <x:c r="P23" s="14" t="str">
        <x:v>CHEMBL3853329</x:v>
      </x:c>
      <x:c r="Q23" s="14" t="str">
        <x:v>J Med Chem</x:v>
      </x:c>
      <x:c r="R23" s="17" t="n">
        <x:v>2016</x:v>
      </x:c>
      <x:c r="S23" s="14" t="str">
        <x:v>{"bei":"12.15","le":"0.24","lle":"0.64","sei":"9.67"}</x:v>
      </x:c>
      <x:c r="T23" s="14" t="str">
        <x:v>null</x:v>
      </x:c>
      <x:c r="U23" s="14" t="str">
        <x:v>CHEMBL3905196</x:v>
      </x:c>
      <x:c r="V23" s="14" t="str">
        <x:v>null</x:v>
      </x:c>
      <x:c r="W23" s="14" t="str">
        <x:v>CHEMBL3905196</x:v>
      </x:c>
      <x:c r="X23" s="15" t="n">
        <x:v>5.8</x:v>
      </x:c>
      <x:c r="Y23" s="17" t="n">
        <x:v>0</x:v>
      </x:c>
      <x:c r="Z23" s="14" t="str">
        <x:v>http://www.openphacts.org/units/Nanomolar</x:v>
      </x:c>
      <x:c r="AA23" s="14" t="str">
        <x:v>2796794</x:v>
      </x:c>
      <x:c r="AB23" s="14" t="str">
        <x:v>=</x:v>
      </x:c>
      <x:c r="AC23" s="14" t="str">
        <x:v>1</x:v>
      </x:c>
      <x:c r="AD23" s="17" t="n">
        <x:v>1</x:v>
      </x:c>
      <x:c r="AE23" s="14" t="str">
        <x:v>=</x:v>
      </x:c>
      <x:c r="AF23" s="14" t="str">
        <x:v>null</x:v>
      </x:c>
      <x:c r="AG23" s="14" t="str">
        <x:v>Ki</x:v>
      </x:c>
      <x:c r="AH23" s="14" t="str">
        <x:v>nM</x:v>
      </x:c>
      <x:c r="AI23" s="14" t="str">
        <x:v>null</x:v>
      </x:c>
      <x:c r="AJ23" s="15" t="n">
        <x:v>1584.89</x:v>
      </x:c>
      <x:c r="AK23" s="14" t="str">
        <x:v>CHEMBL217</x:v>
      </x:c>
      <x:c r="AL23" s="14" t="str">
        <x:v>Homo sapiens</x:v>
      </x:c>
      <x:c r="AM23" s="14" t="str">
        <x:v>D(2) dopamine receptor</x:v>
      </x:c>
      <x:c r="AN23" s="14" t="str">
        <x:v>9606</x:v>
      </x:c>
      <x:c r="AO23" s="14" t="str">
        <x:v>null</x:v>
      </x:c>
      <x:c r="AP23" s="14" t="str">
        <x:v>null</x:v>
      </x:c>
      <x:c r="AQ23" s="14" t="str">
        <x:v>pKi</x:v>
      </x:c>
      <x:c r="AR23" s="14" t="str">
        <x:v>null</x:v>
      </x:c>
      <x:c r="AS23" s="14" t="str">
        <x:v>UO_0000065</x:v>
      </x:c>
      <x:c r="AT23" s="14" t="str">
        <x:v>null</x:v>
      </x:c>
      <x:c r="AU23" s="14" t="str">
        <x:v>5.8</x:v>
      </x:c>
    </x:row>
    <x:row r="24" ht="51" customHeight="1">
      <x:c r="A24" s="9" t="str">
        <x:v>null</x:v>
      </x:c>
      <x:c r="B24" s="9" t="str">
        <x:v>null</x:v>
      </x:c>
      <x:c r="C24" s="9" t="str">
        <x:v>16670155</x:v>
      </x:c>
      <x:c r="D24" s="9" t="str">
        <x:v>[]</x:v>
      </x:c>
      <x:c r="E24" s="9" t="str">
        <x:v>CHEMBL3855278</x:v>
      </x:c>
      <x:c r="F24" s="9" t="str">
        <x:v>Displacement of [3H]-spiperone from human dopamine D2 receptor expressed in CHO-K1 cell membranes coexpressing Galpha16 after 120 mins by liquid scintillation counting</x:v>
      </x:c>
      <x:c r="G24" s="9" t="str">
        <x:v>B</x:v>
      </x:c>
      <x:c r="H24" s="9" t="str">
        <x:v>null</x:v>
      </x:c>
      <x:c r="I24" s="9" t="str">
        <x:v>null</x:v>
      </x:c>
      <x:c r="J24" s="9" t="str">
        <x:v>BAO_0000192</x:v>
      </x:c>
      <x:c r="K24" s="9" t="str">
        <x:v>BAO_0000219</x:v>
      </x:c>
      <x:c r="L24" s="9" t="str">
        <x:v>cell-based format</x:v>
      </x:c>
      <x:c r="M24" s="9" t="str">
        <x:v>Cc1ncoc1-c1nnc(SCCCN2CC[C@]3(C[C@H]3c3ccc(F)cc3)C2)n1C</x:v>
      </x:c>
      <x:c r="N24" s="9" t="str">
        <x:v>null</x:v>
      </x:c>
      <x:c r="O24" s="9" t="str">
        <x:v>null</x:v>
      </x:c>
      <x:c r="P24" s="9" t="str">
        <x:v>CHEMBL3853329</x:v>
      </x:c>
      <x:c r="Q24" s="9" t="str">
        <x:v>J Med Chem</x:v>
      </x:c>
      <x:c r="R24" s="13" t="n">
        <x:v>2016</x:v>
      </x:c>
      <x:c r="S24" s="9" t="str">
        <x:v>{"bei":"14.06","le":"0.27","lle":"1.73","sei":"10.02"}</x:v>
      </x:c>
      <x:c r="T24" s="9" t="str">
        <x:v>null</x:v>
      </x:c>
      <x:c r="U24" s="9" t="str">
        <x:v>CHEMBL3950264</x:v>
      </x:c>
      <x:c r="V24" s="9" t="str">
        <x:v>null</x:v>
      </x:c>
      <x:c r="W24" s="9" t="str">
        <x:v>CHEMBL3950264</x:v>
      </x:c>
      <x:c r="X24" s="11" t="n">
        <x:v>6.01</x:v>
      </x:c>
      <x:c r="Y24" s="13" t="n">
        <x:v>0</x:v>
      </x:c>
      <x:c r="Z24" s="9" t="str">
        <x:v>http://www.openphacts.org/units/Nanomolar</x:v>
      </x:c>
      <x:c r="AA24" s="9" t="str">
        <x:v>2796795</x:v>
      </x:c>
      <x:c r="AB24" s="9" t="str">
        <x:v>=</x:v>
      </x:c>
      <x:c r="AC24" s="9" t="str">
        <x:v>1</x:v>
      </x:c>
      <x:c r="AD24" s="13" t="n">
        <x:v>1</x:v>
      </x:c>
      <x:c r="AE24" s="9" t="str">
        <x:v>=</x:v>
      </x:c>
      <x:c r="AF24" s="9" t="str">
        <x:v>null</x:v>
      </x:c>
      <x:c r="AG24" s="9" t="str">
        <x:v>Ki</x:v>
      </x:c>
      <x:c r="AH24" s="9" t="str">
        <x:v>nM</x:v>
      </x:c>
      <x:c r="AI24" s="9" t="str">
        <x:v>null</x:v>
      </x:c>
      <x:c r="AJ24" s="11" t="n">
        <x:v>977.24</x:v>
      </x:c>
      <x:c r="AK24" s="9" t="str">
        <x:v>CHEMBL217</x:v>
      </x:c>
      <x:c r="AL24" s="9" t="str">
        <x:v>Homo sapiens</x:v>
      </x:c>
      <x:c r="AM24" s="9" t="str">
        <x:v>D(2) dopamine receptor</x:v>
      </x:c>
      <x:c r="AN24" s="9" t="str">
        <x:v>9606</x:v>
      </x:c>
      <x:c r="AO24" s="9" t="str">
        <x:v>null</x:v>
      </x:c>
      <x:c r="AP24" s="9" t="str">
        <x:v>null</x:v>
      </x:c>
      <x:c r="AQ24" s="9" t="str">
        <x:v>pKi</x:v>
      </x:c>
      <x:c r="AR24" s="9" t="str">
        <x:v>null</x:v>
      </x:c>
      <x:c r="AS24" s="9" t="str">
        <x:v>UO_0000065</x:v>
      </x:c>
      <x:c r="AT24" s="9" t="str">
        <x:v>null</x:v>
      </x:c>
      <x:c r="AU24" s="9" t="str">
        <x:v>6.01</x:v>
      </x:c>
    </x:row>
    <x:row r="25" ht="51" customHeight="1">
      <x:c r="A25" s="14" t="str">
        <x:v>null</x:v>
      </x:c>
      <x:c r="B25" s="14" t="str">
        <x:v>null</x:v>
      </x:c>
      <x:c r="C25" s="14" t="str">
        <x:v>16670156</x:v>
      </x:c>
      <x:c r="D25" s="14" t="str">
        <x:v>[]</x:v>
      </x:c>
      <x:c r="E25" s="14" t="str">
        <x:v>CHEMBL3855278</x:v>
      </x:c>
      <x:c r="F25" s="14" t="str">
        <x:v>Displacement of [3H]-spiperone from human dopamine D2 receptor expressed in CHO-K1 cell membranes coexpressing Galpha16 after 120 mins by liquid scintillation counting</x:v>
      </x:c>
      <x:c r="G25" s="14" t="str">
        <x:v>B</x:v>
      </x:c>
      <x:c r="H25" s="14" t="str">
        <x:v>null</x:v>
      </x:c>
      <x:c r="I25" s="14" t="str">
        <x:v>null</x:v>
      </x:c>
      <x:c r="J25" s="14" t="str">
        <x:v>BAO_0000192</x:v>
      </x:c>
      <x:c r="K25" s="14" t="str">
        <x:v>BAO_0000219</x:v>
      </x:c>
      <x:c r="L25" s="14" t="str">
        <x:v>cell-based format</x:v>
      </x:c>
      <x:c r="M25" s="14" t="str">
        <x:v>Cc1ncoc1-c1nnc(SCCCN2CC[C@]3(C[C@H]3c3ccc(F)cc3)C2)n1C</x:v>
      </x:c>
      <x:c r="N25" s="14" t="str">
        <x:v>null</x:v>
      </x:c>
      <x:c r="O25" s="14" t="str">
        <x:v>null</x:v>
      </x:c>
      <x:c r="P25" s="14" t="str">
        <x:v>CHEMBL3853329</x:v>
      </x:c>
      <x:c r="Q25" s="14" t="str">
        <x:v>J Med Chem</x:v>
      </x:c>
      <x:c r="R25" s="17" t="n">
        <x:v>2016</x:v>
      </x:c>
      <x:c r="S25" s="14" t="str">
        <x:v>{"bei":"13.94","le":"0.27","lle":"1.68","sei":"9.94"}</x:v>
      </x:c>
      <x:c r="T25" s="14" t="str">
        <x:v>null</x:v>
      </x:c>
      <x:c r="U25" s="14" t="str">
        <x:v>CHEMBL3950264</x:v>
      </x:c>
      <x:c r="V25" s="14" t="str">
        <x:v>null</x:v>
      </x:c>
      <x:c r="W25" s="14" t="str">
        <x:v>CHEMBL3950264</x:v>
      </x:c>
      <x:c r="X25" s="15" t="n">
        <x:v>5.96</x:v>
      </x:c>
      <x:c r="Y25" s="17" t="n">
        <x:v>0</x:v>
      </x:c>
      <x:c r="Z25" s="14" t="str">
        <x:v>http://www.openphacts.org/units/Nanomolar</x:v>
      </x:c>
      <x:c r="AA25" s="14" t="str">
        <x:v>2796796</x:v>
      </x:c>
      <x:c r="AB25" s="14" t="str">
        <x:v>=</x:v>
      </x:c>
      <x:c r="AC25" s="14" t="str">
        <x:v>1</x:v>
      </x:c>
      <x:c r="AD25" s="17" t="n">
        <x:v>1</x:v>
      </x:c>
      <x:c r="AE25" s="14" t="str">
        <x:v>=</x:v>
      </x:c>
      <x:c r="AF25" s="14" t="str">
        <x:v>null</x:v>
      </x:c>
      <x:c r="AG25" s="14" t="str">
        <x:v>Ki</x:v>
      </x:c>
      <x:c r="AH25" s="14" t="str">
        <x:v>nM</x:v>
      </x:c>
      <x:c r="AI25" s="14" t="str">
        <x:v>null</x:v>
      </x:c>
      <x:c r="AJ25" s="15" t="n">
        <x:v>1096.48</x:v>
      </x:c>
      <x:c r="AK25" s="14" t="str">
        <x:v>CHEMBL217</x:v>
      </x:c>
      <x:c r="AL25" s="14" t="str">
        <x:v>Homo sapiens</x:v>
      </x:c>
      <x:c r="AM25" s="14" t="str">
        <x:v>D(2) dopamine receptor</x:v>
      </x:c>
      <x:c r="AN25" s="14" t="str">
        <x:v>9606</x:v>
      </x:c>
      <x:c r="AO25" s="14" t="str">
        <x:v>null</x:v>
      </x:c>
      <x:c r="AP25" s="14" t="str">
        <x:v>null</x:v>
      </x:c>
      <x:c r="AQ25" s="14" t="str">
        <x:v>pKi</x:v>
      </x:c>
      <x:c r="AR25" s="14" t="str">
        <x:v>null</x:v>
      </x:c>
      <x:c r="AS25" s="14" t="str">
        <x:v>UO_0000065</x:v>
      </x:c>
      <x:c r="AT25" s="14" t="str">
        <x:v>null</x:v>
      </x:c>
      <x:c r="AU25" s="14" t="str">
        <x:v>5.96</x:v>
      </x:c>
    </x:row>
    <x:row r="26" ht="51" customHeight="1">
      <x:c r="A26" s="9" t="str">
        <x:v>null</x:v>
      </x:c>
      <x:c r="B26" s="9" t="str">
        <x:v>null</x:v>
      </x:c>
      <x:c r="C26" s="9" t="str">
        <x:v>16670157</x:v>
      </x:c>
      <x:c r="D26" s="9" t="str">
        <x:v>[]</x:v>
      </x:c>
      <x:c r="E26" s="9" t="str">
        <x:v>CHEMBL3855278</x:v>
      </x:c>
      <x:c r="F26" s="9" t="str">
        <x:v>Displacement of [3H]-spiperone from human dopamine D2 receptor expressed in CHO-K1 cell membranes coexpressing Galpha16 after 120 mins by liquid scintillation counting</x:v>
      </x:c>
      <x:c r="G26" s="9" t="str">
        <x:v>B</x:v>
      </x:c>
      <x:c r="H26" s="9" t="str">
        <x:v>null</x:v>
      </x:c>
      <x:c r="I26" s="9" t="str">
        <x:v>null</x:v>
      </x:c>
      <x:c r="J26" s="9" t="str">
        <x:v>BAO_0000192</x:v>
      </x:c>
      <x:c r="K26" s="9" t="str">
        <x:v>BAO_0000219</x:v>
      </x:c>
      <x:c r="L26" s="9" t="str">
        <x:v>cell-based format</x:v>
      </x:c>
      <x:c r="M26" s="9" t="str">
        <x:v>Cc1ncoc1-c1nnc(SCCCN2CC[C@@]3(C[C@@H]3c3ccc(F)cc3)C2)n1C</x:v>
      </x:c>
      <x:c r="N26" s="9" t="str">
        <x:v>null</x:v>
      </x:c>
      <x:c r="O26" s="9" t="str">
        <x:v>null</x:v>
      </x:c>
      <x:c r="P26" s="9" t="str">
        <x:v>CHEMBL3853329</x:v>
      </x:c>
      <x:c r="Q26" s="9" t="str">
        <x:v>J Med Chem</x:v>
      </x:c>
      <x:c r="R26" s="13" t="n">
        <x:v>2016</x:v>
      </x:c>
      <x:c r="S26" s="9" t="str">
        <x:v>{"bei":"14.27","le":"0.28","lle":"1.82","sei":"10.17"}</x:v>
      </x:c>
      <x:c r="T26" s="9" t="str">
        <x:v>null</x:v>
      </x:c>
      <x:c r="U26" s="9" t="str">
        <x:v>CHEMBL3912029</x:v>
      </x:c>
      <x:c r="V26" s="9" t="str">
        <x:v>null</x:v>
      </x:c>
      <x:c r="W26" s="9" t="str">
        <x:v>CHEMBL3912029</x:v>
      </x:c>
      <x:c r="X26" s="11" t="n">
        <x:v>6.1</x:v>
      </x:c>
      <x:c r="Y26" s="13" t="n">
        <x:v>0</x:v>
      </x:c>
      <x:c r="Z26" s="9" t="str">
        <x:v>http://www.openphacts.org/units/Nanomolar</x:v>
      </x:c>
      <x:c r="AA26" s="9" t="str">
        <x:v>2796797</x:v>
      </x:c>
      <x:c r="AB26" s="9" t="str">
        <x:v>=</x:v>
      </x:c>
      <x:c r="AC26" s="9" t="str">
        <x:v>1</x:v>
      </x:c>
      <x:c r="AD26" s="13" t="n">
        <x:v>1</x:v>
      </x:c>
      <x:c r="AE26" s="9" t="str">
        <x:v>=</x:v>
      </x:c>
      <x:c r="AF26" s="9" t="str">
        <x:v>null</x:v>
      </x:c>
      <x:c r="AG26" s="9" t="str">
        <x:v>Ki</x:v>
      </x:c>
      <x:c r="AH26" s="9" t="str">
        <x:v>nM</x:v>
      </x:c>
      <x:c r="AI26" s="9" t="str">
        <x:v>null</x:v>
      </x:c>
      <x:c r="AJ26" s="11" t="n">
        <x:v>794.33</x:v>
      </x:c>
      <x:c r="AK26" s="9" t="str">
        <x:v>CHEMBL217</x:v>
      </x:c>
      <x:c r="AL26" s="9" t="str">
        <x:v>Homo sapiens</x:v>
      </x:c>
      <x:c r="AM26" s="9" t="str">
        <x:v>D(2) dopamine receptor</x:v>
      </x:c>
      <x:c r="AN26" s="9" t="str">
        <x:v>9606</x:v>
      </x:c>
      <x:c r="AO26" s="9" t="str">
        <x:v>null</x:v>
      </x:c>
      <x:c r="AP26" s="9" t="str">
        <x:v>null</x:v>
      </x:c>
      <x:c r="AQ26" s="9" t="str">
        <x:v>pKi</x:v>
      </x:c>
      <x:c r="AR26" s="9" t="str">
        <x:v>null</x:v>
      </x:c>
      <x:c r="AS26" s="9" t="str">
        <x:v>UO_0000065</x:v>
      </x:c>
      <x:c r="AT26" s="9" t="str">
        <x:v>null</x:v>
      </x:c>
      <x:c r="AU26" s="9" t="str">
        <x:v>6.1</x:v>
      </x:c>
    </x:row>
    <x:row r="27" ht="51" customHeight="1">
      <x:c r="A27" s="14" t="str">
        <x:v>null</x:v>
      </x:c>
      <x:c r="B27" s="14" t="str">
        <x:v>null</x:v>
      </x:c>
      <x:c r="C27" s="14" t="str">
        <x:v>16670158</x:v>
      </x:c>
      <x:c r="D27" s="14" t="str">
        <x:v>[]</x:v>
      </x:c>
      <x:c r="E27" s="14" t="str">
        <x:v>CHEMBL3855278</x:v>
      </x:c>
      <x:c r="F27" s="14" t="str">
        <x:v>Displacement of [3H]-spiperone from human dopamine D2 receptor expressed in CHO-K1 cell membranes coexpressing Galpha16 after 120 mins by liquid scintillation counting</x:v>
      </x:c>
      <x:c r="G27" s="14" t="str">
        <x:v>B</x:v>
      </x:c>
      <x:c r="H27" s="14" t="str">
        <x:v>null</x:v>
      </x:c>
      <x:c r="I27" s="14" t="str">
        <x:v>null</x:v>
      </x:c>
      <x:c r="J27" s="14" t="str">
        <x:v>BAO_0000192</x:v>
      </x:c>
      <x:c r="K27" s="14" t="str">
        <x:v>BAO_0000219</x:v>
      </x:c>
      <x:c r="L27" s="14" t="str">
        <x:v>cell-based format</x:v>
      </x:c>
      <x:c r="M27" s="14" t="str">
        <x:v>Cc1ncoc1-c1nnc(SCCCN2CC[C@]3(C[C@@H]3c3ccc(F)cc3)C2)n1C</x:v>
      </x:c>
      <x:c r="N27" s="14" t="str">
        <x:v>null</x:v>
      </x:c>
      <x:c r="O27" s="14" t="str">
        <x:v>null</x:v>
      </x:c>
      <x:c r="P27" s="14" t="str">
        <x:v>CHEMBL3853329</x:v>
      </x:c>
      <x:c r="Q27" s="14" t="str">
        <x:v>J Med Chem</x:v>
      </x:c>
      <x:c r="R27" s="17" t="n">
        <x:v>2016</x:v>
      </x:c>
      <x:c r="S27" s="14" t="str">
        <x:v>{"bei":"14.90","le":"0.29","lle":"2.09","sei":"10.62"}</x:v>
      </x:c>
      <x:c r="T27" s="14" t="str">
        <x:v>null</x:v>
      </x:c>
      <x:c r="U27" s="14" t="str">
        <x:v>CHEMBL3922143</x:v>
      </x:c>
      <x:c r="V27" s="14" t="str">
        <x:v>null</x:v>
      </x:c>
      <x:c r="W27" s="14" t="str">
        <x:v>CHEMBL3922143</x:v>
      </x:c>
      <x:c r="X27" s="15" t="n">
        <x:v>6.37</x:v>
      </x:c>
      <x:c r="Y27" s="17" t="n">
        <x:v>0</x:v>
      </x:c>
      <x:c r="Z27" s="14" t="str">
        <x:v>http://www.openphacts.org/units/Nanomolar</x:v>
      </x:c>
      <x:c r="AA27" s="14" t="str">
        <x:v>2796798</x:v>
      </x:c>
      <x:c r="AB27" s="14" t="str">
        <x:v>=</x:v>
      </x:c>
      <x:c r="AC27" s="14" t="str">
        <x:v>1</x:v>
      </x:c>
      <x:c r="AD27" s="17" t="n">
        <x:v>1</x:v>
      </x:c>
      <x:c r="AE27" s="14" t="str">
        <x:v>=</x:v>
      </x:c>
      <x:c r="AF27" s="14" t="str">
        <x:v>null</x:v>
      </x:c>
      <x:c r="AG27" s="14" t="str">
        <x:v>Ki</x:v>
      </x:c>
      <x:c r="AH27" s="14" t="str">
        <x:v>nM</x:v>
      </x:c>
      <x:c r="AI27" s="14" t="str">
        <x:v>null</x:v>
      </x:c>
      <x:c r="AJ27" s="15" t="n">
        <x:v>426.58</x:v>
      </x:c>
      <x:c r="AK27" s="14" t="str">
        <x:v>CHEMBL217</x:v>
      </x:c>
      <x:c r="AL27" s="14" t="str">
        <x:v>Homo sapiens</x:v>
      </x:c>
      <x:c r="AM27" s="14" t="str">
        <x:v>D(2) dopamine receptor</x:v>
      </x:c>
      <x:c r="AN27" s="14" t="str">
        <x:v>9606</x:v>
      </x:c>
      <x:c r="AO27" s="14" t="str">
        <x:v>null</x:v>
      </x:c>
      <x:c r="AP27" s="14" t="str">
        <x:v>null</x:v>
      </x:c>
      <x:c r="AQ27" s="14" t="str">
        <x:v>pKi</x:v>
      </x:c>
      <x:c r="AR27" s="14" t="str">
        <x:v>null</x:v>
      </x:c>
      <x:c r="AS27" s="14" t="str">
        <x:v>UO_0000065</x:v>
      </x:c>
      <x:c r="AT27" s="14" t="str">
        <x:v>null</x:v>
      </x:c>
      <x:c r="AU27" s="14" t="str">
        <x:v>6.37</x:v>
      </x:c>
    </x:row>
    <x:row r="28" ht="51" customHeight="1">
      <x:c r="A28" s="9" t="str">
        <x:v>null</x:v>
      </x:c>
      <x:c r="B28" s="9" t="str">
        <x:v>null</x:v>
      </x:c>
      <x:c r="C28" s="9" t="str">
        <x:v>16670159</x:v>
      </x:c>
      <x:c r="D28" s="9" t="str">
        <x:v>[]</x:v>
      </x:c>
      <x:c r="E28" s="9" t="str">
        <x:v>CHEMBL3855278</x:v>
      </x:c>
      <x:c r="F28" s="9" t="str">
        <x:v>Displacement of [3H]-spiperone from human dopamine D2 receptor expressed in CHO-K1 cell membranes coexpressing Galpha16 after 120 mins by liquid scintillation counting</x:v>
      </x:c>
      <x:c r="G28" s="9" t="str">
        <x:v>B</x:v>
      </x:c>
      <x:c r="H28" s="9" t="str">
        <x:v>null</x:v>
      </x:c>
      <x:c r="I28" s="9" t="str">
        <x:v>null</x:v>
      </x:c>
      <x:c r="J28" s="9" t="str">
        <x:v>BAO_0000192</x:v>
      </x:c>
      <x:c r="K28" s="9" t="str">
        <x:v>BAO_0000219</x:v>
      </x:c>
      <x:c r="L28" s="9" t="str">
        <x:v>cell-based format</x:v>
      </x:c>
      <x:c r="M28" s="9" t="str">
        <x:v>Cc1ncoc1-c1nnc(SCCCN2CC[C@]3(C[C@@H]3c3ccc(F)cc3)C2)n1C</x:v>
      </x:c>
      <x:c r="N28" s="9" t="str">
        <x:v>null</x:v>
      </x:c>
      <x:c r="O28" s="9" t="str">
        <x:v>null</x:v>
      </x:c>
      <x:c r="P28" s="9" t="str">
        <x:v>CHEMBL3853329</x:v>
      </x:c>
      <x:c r="Q28" s="9" t="str">
        <x:v>J Med Chem</x:v>
      </x:c>
      <x:c r="R28" s="13" t="n">
        <x:v>2016</x:v>
      </x:c>
      <x:c r="S28" s="9" t="str">
        <x:v>{"bei":"11.91","le":"0.23","lle":"0.81","sei":"8.49"}</x:v>
      </x:c>
      <x:c r="T28" s="9" t="str">
        <x:v>null</x:v>
      </x:c>
      <x:c r="U28" s="9" t="str">
        <x:v>CHEMBL3922143</x:v>
      </x:c>
      <x:c r="V28" s="9" t="str">
        <x:v>null</x:v>
      </x:c>
      <x:c r="W28" s="9" t="str">
        <x:v>CHEMBL3922143</x:v>
      </x:c>
      <x:c r="X28" s="11" t="n">
        <x:v>5.09</x:v>
      </x:c>
      <x:c r="Y28" s="13" t="n">
        <x:v>0</x:v>
      </x:c>
      <x:c r="Z28" s="9" t="str">
        <x:v>http://www.openphacts.org/units/Nanomolar</x:v>
      </x:c>
      <x:c r="AA28" s="9" t="str">
        <x:v>2796799</x:v>
      </x:c>
      <x:c r="AB28" s="9" t="str">
        <x:v>=</x:v>
      </x:c>
      <x:c r="AC28" s="9" t="str">
        <x:v>1</x:v>
      </x:c>
      <x:c r="AD28" s="13" t="n">
        <x:v>1</x:v>
      </x:c>
      <x:c r="AE28" s="9" t="str">
        <x:v>=</x:v>
      </x:c>
      <x:c r="AF28" s="9" t="str">
        <x:v>null</x:v>
      </x:c>
      <x:c r="AG28" s="9" t="str">
        <x:v>Ki</x:v>
      </x:c>
      <x:c r="AH28" s="9" t="str">
        <x:v>nM</x:v>
      </x:c>
      <x:c r="AI28" s="9" t="str">
        <x:v>null</x:v>
      </x:c>
      <x:c r="AJ28" s="11" t="n">
        <x:v>8128.31</x:v>
      </x:c>
      <x:c r="AK28" s="9" t="str">
        <x:v>CHEMBL217</x:v>
      </x:c>
      <x:c r="AL28" s="9" t="str">
        <x:v>Homo sapiens</x:v>
      </x:c>
      <x:c r="AM28" s="9" t="str">
        <x:v>D(2) dopamine receptor</x:v>
      </x:c>
      <x:c r="AN28" s="9" t="str">
        <x:v>9606</x:v>
      </x:c>
      <x:c r="AO28" s="9" t="str">
        <x:v>null</x:v>
      </x:c>
      <x:c r="AP28" s="9" t="str">
        <x:v>null</x:v>
      </x:c>
      <x:c r="AQ28" s="9" t="str">
        <x:v>pKi</x:v>
      </x:c>
      <x:c r="AR28" s="9" t="str">
        <x:v>null</x:v>
      </x:c>
      <x:c r="AS28" s="9" t="str">
        <x:v>UO_0000065</x:v>
      </x:c>
      <x:c r="AT28" s="9" t="str">
        <x:v>null</x:v>
      </x:c>
      <x:c r="AU28" s="9" t="str">
        <x:v>5.09</x:v>
      </x:c>
    </x:row>
    <x:row r="29" ht="51" customHeight="1">
      <x:c r="A29" s="14" t="str">
        <x:v>null</x:v>
      </x:c>
      <x:c r="B29" s="14" t="str">
        <x:v>null</x:v>
      </x:c>
      <x:c r="C29" s="14" t="str">
        <x:v>16670160</x:v>
      </x:c>
      <x:c r="D29" s="14" t="str">
        <x:v>[]</x:v>
      </x:c>
      <x:c r="E29" s="14" t="str">
        <x:v>CHEMBL3855278</x:v>
      </x:c>
      <x:c r="F29" s="14" t="str">
        <x:v>Displacement of [3H]-spiperone from human dopamine D2 receptor expressed in CHO-K1 cell membranes coexpressing Galpha16 after 120 mins by liquid scintillation counting</x:v>
      </x:c>
      <x:c r="G29" s="14" t="str">
        <x:v>B</x:v>
      </x:c>
      <x:c r="H29" s="14" t="str">
        <x:v>null</x:v>
      </x:c>
      <x:c r="I29" s="14" t="str">
        <x:v>null</x:v>
      </x:c>
      <x:c r="J29" s="14" t="str">
        <x:v>BAO_0000192</x:v>
      </x:c>
      <x:c r="K29" s="14" t="str">
        <x:v>BAO_0000219</x:v>
      </x:c>
      <x:c r="L29" s="14" t="str">
        <x:v>cell-based format</x:v>
      </x:c>
      <x:c r="M29" s="14" t="str">
        <x:v>Cc1ncoc1-c1nnc(SCCCN2CC[C@@]3(C[C@H]3c3ccc(F)cc3)C2)n1C</x:v>
      </x:c>
      <x:c r="N29" s="14" t="str">
        <x:v>null</x:v>
      </x:c>
      <x:c r="O29" s="14" t="str">
        <x:v>null</x:v>
      </x:c>
      <x:c r="P29" s="14" t="str">
        <x:v>CHEMBL3853329</x:v>
      </x:c>
      <x:c r="Q29" s="14" t="str">
        <x:v>J Med Chem</x:v>
      </x:c>
      <x:c r="R29" s="17" t="n">
        <x:v>2016</x:v>
      </x:c>
      <x:c r="S29" s="14" t="str">
        <x:v>{"bei":"15.48","le":"0.30","lle":"2.34","sei":"11.04"}</x:v>
      </x:c>
      <x:c r="T29" s="14" t="str">
        <x:v>null</x:v>
      </x:c>
      <x:c r="U29" s="14" t="str">
        <x:v>CHEMBL3963783</x:v>
      </x:c>
      <x:c r="V29" s="14" t="str">
        <x:v>null</x:v>
      </x:c>
      <x:c r="W29" s="14" t="str">
        <x:v>CHEMBL3963783</x:v>
      </x:c>
      <x:c r="X29" s="15" t="n">
        <x:v>6.62</x:v>
      </x:c>
      <x:c r="Y29" s="17" t="n">
        <x:v>0</x:v>
      </x:c>
      <x:c r="Z29" s="14" t="str">
        <x:v>http://www.openphacts.org/units/Nanomolar</x:v>
      </x:c>
      <x:c r="AA29" s="14" t="str">
        <x:v>2796800</x:v>
      </x:c>
      <x:c r="AB29" s="14" t="str">
        <x:v>=</x:v>
      </x:c>
      <x:c r="AC29" s="14" t="str">
        <x:v>1</x:v>
      </x:c>
      <x:c r="AD29" s="17" t="n">
        <x:v>1</x:v>
      </x:c>
      <x:c r="AE29" s="14" t="str">
        <x:v>=</x:v>
      </x:c>
      <x:c r="AF29" s="14" t="str">
        <x:v>null</x:v>
      </x:c>
      <x:c r="AG29" s="14" t="str">
        <x:v>Ki</x:v>
      </x:c>
      <x:c r="AH29" s="14" t="str">
        <x:v>nM</x:v>
      </x:c>
      <x:c r="AI29" s="14" t="str">
        <x:v>null</x:v>
      </x:c>
      <x:c r="AJ29" s="15" t="n">
        <x:v>239.88</x:v>
      </x:c>
      <x:c r="AK29" s="14" t="str">
        <x:v>CHEMBL217</x:v>
      </x:c>
      <x:c r="AL29" s="14" t="str">
        <x:v>Homo sapiens</x:v>
      </x:c>
      <x:c r="AM29" s="14" t="str">
        <x:v>D(2) dopamine receptor</x:v>
      </x:c>
      <x:c r="AN29" s="14" t="str">
        <x:v>9606</x:v>
      </x:c>
      <x:c r="AO29" s="14" t="str">
        <x:v>null</x:v>
      </x:c>
      <x:c r="AP29" s="14" t="str">
        <x:v>null</x:v>
      </x:c>
      <x:c r="AQ29" s="14" t="str">
        <x:v>pKi</x:v>
      </x:c>
      <x:c r="AR29" s="14" t="str">
        <x:v>null</x:v>
      </x:c>
      <x:c r="AS29" s="14" t="str">
        <x:v>UO_0000065</x:v>
      </x:c>
      <x:c r="AT29" s="14" t="str">
        <x:v>null</x:v>
      </x:c>
      <x:c r="AU29" s="14" t="str">
        <x:v>6.62</x:v>
      </x:c>
    </x:row>
    <x:row r="30" ht="51" customHeight="1">
      <x:c r="A30" s="9" t="str">
        <x:v>null</x:v>
      </x:c>
      <x:c r="B30" s="9" t="str">
        <x:v>null</x:v>
      </x:c>
      <x:c r="C30" s="9" t="str">
        <x:v>16670161</x:v>
      </x:c>
      <x:c r="D30" s="9" t="str">
        <x:v>[]</x:v>
      </x:c>
      <x:c r="E30" s="9" t="str">
        <x:v>CHEMBL3855278</x:v>
      </x:c>
      <x:c r="F30" s="9" t="str">
        <x:v>Displacement of [3H]-spiperone from human dopamine D2 receptor expressed in CHO-K1 cell membranes coexpressing Galpha16 after 120 mins by liquid scintillation counting</x:v>
      </x:c>
      <x:c r="G30" s="9" t="str">
        <x:v>B</x:v>
      </x:c>
      <x:c r="H30" s="9" t="str">
        <x:v>null</x:v>
      </x:c>
      <x:c r="I30" s="9" t="str">
        <x:v>null</x:v>
      </x:c>
      <x:c r="J30" s="9" t="str">
        <x:v>BAO_0000192</x:v>
      </x:c>
      <x:c r="K30" s="9" t="str">
        <x:v>BAO_0000219</x:v>
      </x:c>
      <x:c r="L30" s="9" t="str">
        <x:v>cell-based format</x:v>
      </x:c>
      <x:c r="M30" s="9" t="str">
        <x:v>Cc1ncoc1-c1nnc(SCCCN2CC[C@]3(C[C@H]3c3ccc(F)cc3F)C2)n1C</x:v>
      </x:c>
      <x:c r="N30" s="9" t="str">
        <x:v>null</x:v>
      </x:c>
      <x:c r="O30" s="9" t="str">
        <x:v>null</x:v>
      </x:c>
      <x:c r="P30" s="9" t="str">
        <x:v>CHEMBL3853329</x:v>
      </x:c>
      <x:c r="Q30" s="9" t="str">
        <x:v>J Med Chem</x:v>
      </x:c>
      <x:c r="R30" s="13" t="n">
        <x:v>2016</x:v>
      </x:c>
      <x:c r="S30" s="9" t="str">
        <x:v>{"bei":"14.07","le":"0.28","lle":"1.85","sei":"10.45"}</x:v>
      </x:c>
      <x:c r="T30" s="9" t="str">
        <x:v>null</x:v>
      </x:c>
      <x:c r="U30" s="9" t="str">
        <x:v>CHEMBL3908548</x:v>
      </x:c>
      <x:c r="V30" s="9" t="str">
        <x:v>null</x:v>
      </x:c>
      <x:c r="W30" s="9" t="str">
        <x:v>CHEMBL3908548</x:v>
      </x:c>
      <x:c r="X30" s="11" t="n">
        <x:v>6.27</x:v>
      </x:c>
      <x:c r="Y30" s="13" t="n">
        <x:v>0</x:v>
      </x:c>
      <x:c r="Z30" s="9" t="str">
        <x:v>http://www.openphacts.org/units/Nanomolar</x:v>
      </x:c>
      <x:c r="AA30" s="9" t="str">
        <x:v>2796801</x:v>
      </x:c>
      <x:c r="AB30" s="9" t="str">
        <x:v>=</x:v>
      </x:c>
      <x:c r="AC30" s="9" t="str">
        <x:v>1</x:v>
      </x:c>
      <x:c r="AD30" s="13" t="n">
        <x:v>1</x:v>
      </x:c>
      <x:c r="AE30" s="9" t="str">
        <x:v>=</x:v>
      </x:c>
      <x:c r="AF30" s="9" t="str">
        <x:v>null</x:v>
      </x:c>
      <x:c r="AG30" s="9" t="str">
        <x:v>Ki</x:v>
      </x:c>
      <x:c r="AH30" s="9" t="str">
        <x:v>nM</x:v>
      </x:c>
      <x:c r="AI30" s="9" t="str">
        <x:v>null</x:v>
      </x:c>
      <x:c r="AJ30" s="11" t="n">
        <x:v>537.03</x:v>
      </x:c>
      <x:c r="AK30" s="9" t="str">
        <x:v>CHEMBL217</x:v>
      </x:c>
      <x:c r="AL30" s="9" t="str">
        <x:v>Homo sapiens</x:v>
      </x:c>
      <x:c r="AM30" s="9" t="str">
        <x:v>D(2) dopamine receptor</x:v>
      </x:c>
      <x:c r="AN30" s="9" t="str">
        <x:v>9606</x:v>
      </x:c>
      <x:c r="AO30" s="9" t="str">
        <x:v>null</x:v>
      </x:c>
      <x:c r="AP30" s="9" t="str">
        <x:v>null</x:v>
      </x:c>
      <x:c r="AQ30" s="9" t="str">
        <x:v>pKi</x:v>
      </x:c>
      <x:c r="AR30" s="9" t="str">
        <x:v>null</x:v>
      </x:c>
      <x:c r="AS30" s="9" t="str">
        <x:v>UO_0000065</x:v>
      </x:c>
      <x:c r="AT30" s="9" t="str">
        <x:v>null</x:v>
      </x:c>
      <x:c r="AU30" s="9" t="str">
        <x:v>6.27</x:v>
      </x:c>
    </x:row>
    <x:row r="31" ht="51" customHeight="1">
      <x:c r="A31" s="14" t="str">
        <x:v>null</x:v>
      </x:c>
      <x:c r="B31" s="14" t="str">
        <x:v>null</x:v>
      </x:c>
      <x:c r="C31" s="14" t="str">
        <x:v>16670162</x:v>
      </x:c>
      <x:c r="D31" s="14" t="str">
        <x:v>[]</x:v>
      </x:c>
      <x:c r="E31" s="14" t="str">
        <x:v>CHEMBL3855278</x:v>
      </x:c>
      <x:c r="F31" s="14" t="str">
        <x:v>Displacement of [3H]-spiperone from human dopamine D2 receptor expressed in CHO-K1 cell membranes coexpressing Galpha16 after 120 mins by liquid scintillation counting</x:v>
      </x:c>
      <x:c r="G31" s="14" t="str">
        <x:v>B</x:v>
      </x:c>
      <x:c r="H31" s="14" t="str">
        <x:v>null</x:v>
      </x:c>
      <x:c r="I31" s="14" t="str">
        <x:v>null</x:v>
      </x:c>
      <x:c r="J31" s="14" t="str">
        <x:v>BAO_0000192</x:v>
      </x:c>
      <x:c r="K31" s="14" t="str">
        <x:v>BAO_0000219</x:v>
      </x:c>
      <x:c r="L31" s="14" t="str">
        <x:v>cell-based format</x:v>
      </x:c>
      <x:c r="M31" s="14" t="str">
        <x:v>Cc1ncoc1-c1nnc(SCCCN2CC[C@]3(C[C@H]3c3ccc(F)cc3F)C2)n1C</x:v>
      </x:c>
      <x:c r="N31" s="14" t="str">
        <x:v>null</x:v>
      </x:c>
      <x:c r="O31" s="14" t="str">
        <x:v>null</x:v>
      </x:c>
      <x:c r="P31" s="14" t="str">
        <x:v>CHEMBL3853329</x:v>
      </x:c>
      <x:c r="Q31" s="14" t="str">
        <x:v>J Med Chem</x:v>
      </x:c>
      <x:c r="R31" s="17" t="n">
        <x:v>2016</x:v>
      </x:c>
      <x:c r="S31" s="14" t="str">
        <x:v>{"bei":"13.85","le":"0.27","lle":"1.75","sei":"10.29"}</x:v>
      </x:c>
      <x:c r="T31" s="14" t="str">
        <x:v>null</x:v>
      </x:c>
      <x:c r="U31" s="14" t="str">
        <x:v>CHEMBL3908548</x:v>
      </x:c>
      <x:c r="V31" s="14" t="str">
        <x:v>null</x:v>
      </x:c>
      <x:c r="W31" s="14" t="str">
        <x:v>CHEMBL3908548</x:v>
      </x:c>
      <x:c r="X31" s="15" t="n">
        <x:v>6.17</x:v>
      </x:c>
      <x:c r="Y31" s="17" t="n">
        <x:v>0</x:v>
      </x:c>
      <x:c r="Z31" s="14" t="str">
        <x:v>http://www.openphacts.org/units/Nanomolar</x:v>
      </x:c>
      <x:c r="AA31" s="14" t="str">
        <x:v>2796802</x:v>
      </x:c>
      <x:c r="AB31" s="14" t="str">
        <x:v>=</x:v>
      </x:c>
      <x:c r="AC31" s="14" t="str">
        <x:v>1</x:v>
      </x:c>
      <x:c r="AD31" s="17" t="n">
        <x:v>1</x:v>
      </x:c>
      <x:c r="AE31" s="14" t="str">
        <x:v>=</x:v>
      </x:c>
      <x:c r="AF31" s="14" t="str">
        <x:v>null</x:v>
      </x:c>
      <x:c r="AG31" s="14" t="str">
        <x:v>Ki</x:v>
      </x:c>
      <x:c r="AH31" s="14" t="str">
        <x:v>nM</x:v>
      </x:c>
      <x:c r="AI31" s="14" t="str">
        <x:v>null</x:v>
      </x:c>
      <x:c r="AJ31" s="15" t="n">
        <x:v>676.08</x:v>
      </x:c>
      <x:c r="AK31" s="14" t="str">
        <x:v>CHEMBL217</x:v>
      </x:c>
      <x:c r="AL31" s="14" t="str">
        <x:v>Homo sapiens</x:v>
      </x:c>
      <x:c r="AM31" s="14" t="str">
        <x:v>D(2) dopamine receptor</x:v>
      </x:c>
      <x:c r="AN31" s="14" t="str">
        <x:v>9606</x:v>
      </x:c>
      <x:c r="AO31" s="14" t="str">
        <x:v>null</x:v>
      </x:c>
      <x:c r="AP31" s="14" t="str">
        <x:v>null</x:v>
      </x:c>
      <x:c r="AQ31" s="14" t="str">
        <x:v>pKi</x:v>
      </x:c>
      <x:c r="AR31" s="14" t="str">
        <x:v>null</x:v>
      </x:c>
      <x:c r="AS31" s="14" t="str">
        <x:v>UO_0000065</x:v>
      </x:c>
      <x:c r="AT31" s="14" t="str">
        <x:v>null</x:v>
      </x:c>
      <x:c r="AU31" s="14" t="str">
        <x:v>6.17</x:v>
      </x:c>
    </x:row>
    <x:row r="32" ht="51" customHeight="1">
      <x:c r="A32" s="9" t="str">
        <x:v>null</x:v>
      </x:c>
      <x:c r="B32" s="9" t="str">
        <x:v>null</x:v>
      </x:c>
      <x:c r="C32" s="9" t="str">
        <x:v>16670163</x:v>
      </x:c>
      <x:c r="D32" s="9" t="str">
        <x:v>[]</x:v>
      </x:c>
      <x:c r="E32" s="9" t="str">
        <x:v>CHEMBL3855278</x:v>
      </x:c>
      <x:c r="F32" s="9" t="str">
        <x:v>Displacement of [3H]-spiperone from human dopamine D2 receptor expressed in CHO-K1 cell membranes coexpressing Galpha16 after 120 mins by liquid scintillation counting</x:v>
      </x:c>
      <x:c r="G32" s="9" t="str">
        <x:v>B</x:v>
      </x:c>
      <x:c r="H32" s="9" t="str">
        <x:v>null</x:v>
      </x:c>
      <x:c r="I32" s="9" t="str">
        <x:v>null</x:v>
      </x:c>
      <x:c r="J32" s="9" t="str">
        <x:v>BAO_0000192</x:v>
      </x:c>
      <x:c r="K32" s="9" t="str">
        <x:v>BAO_0000219</x:v>
      </x:c>
      <x:c r="L32" s="9" t="str">
        <x:v>cell-based format</x:v>
      </x:c>
      <x:c r="M32" s="9" t="str">
        <x:v>Cc1ncoc1-c1nnc(SCCCN2CC[C@@]3(C[C@@H]3c3ccc(F)cc3F)C2)n1C</x:v>
      </x:c>
      <x:c r="N32" s="9" t="str">
        <x:v>null</x:v>
      </x:c>
      <x:c r="O32" s="9" t="str">
        <x:v>null</x:v>
      </x:c>
      <x:c r="P32" s="9" t="str">
        <x:v>CHEMBL3853329</x:v>
      </x:c>
      <x:c r="Q32" s="9" t="str">
        <x:v>J Med Chem</x:v>
      </x:c>
      <x:c r="R32" s="13" t="n">
        <x:v>2016</x:v>
      </x:c>
      <x:c r="S32" s="9" t="str">
        <x:v>{"bei":"13.51","le":"0.27","lle":"1.60","sei":"10.04"}</x:v>
      </x:c>
      <x:c r="T32" s="9" t="str">
        <x:v>null</x:v>
      </x:c>
      <x:c r="U32" s="9" t="str">
        <x:v>CHEMBL3945775</x:v>
      </x:c>
      <x:c r="V32" s="9" t="str">
        <x:v>null</x:v>
      </x:c>
      <x:c r="W32" s="9" t="str">
        <x:v>CHEMBL3945775</x:v>
      </x:c>
      <x:c r="X32" s="11" t="n">
        <x:v>6.02</x:v>
      </x:c>
      <x:c r="Y32" s="13" t="n">
        <x:v>0</x:v>
      </x:c>
      <x:c r="Z32" s="9" t="str">
        <x:v>http://www.openphacts.org/units/Nanomolar</x:v>
      </x:c>
      <x:c r="AA32" s="9" t="str">
        <x:v>2796803</x:v>
      </x:c>
      <x:c r="AB32" s="9" t="str">
        <x:v>=</x:v>
      </x:c>
      <x:c r="AC32" s="9" t="str">
        <x:v>1</x:v>
      </x:c>
      <x:c r="AD32" s="13" t="n">
        <x:v>1</x:v>
      </x:c>
      <x:c r="AE32" s="9" t="str">
        <x:v>=</x:v>
      </x:c>
      <x:c r="AF32" s="9" t="str">
        <x:v>null</x:v>
      </x:c>
      <x:c r="AG32" s="9" t="str">
        <x:v>Ki</x:v>
      </x:c>
      <x:c r="AH32" s="9" t="str">
        <x:v>nM</x:v>
      </x:c>
      <x:c r="AI32" s="9" t="str">
        <x:v>null</x:v>
      </x:c>
      <x:c r="AJ32" s="11" t="n">
        <x:v>954.99</x:v>
      </x:c>
      <x:c r="AK32" s="9" t="str">
        <x:v>CHEMBL217</x:v>
      </x:c>
      <x:c r="AL32" s="9" t="str">
        <x:v>Homo sapiens</x:v>
      </x:c>
      <x:c r="AM32" s="9" t="str">
        <x:v>D(2) dopamine receptor</x:v>
      </x:c>
      <x:c r="AN32" s="9" t="str">
        <x:v>9606</x:v>
      </x:c>
      <x:c r="AO32" s="9" t="str">
        <x:v>null</x:v>
      </x:c>
      <x:c r="AP32" s="9" t="str">
        <x:v>null</x:v>
      </x:c>
      <x:c r="AQ32" s="9" t="str">
        <x:v>pKi</x:v>
      </x:c>
      <x:c r="AR32" s="9" t="str">
        <x:v>null</x:v>
      </x:c>
      <x:c r="AS32" s="9" t="str">
        <x:v>UO_0000065</x:v>
      </x:c>
      <x:c r="AT32" s="9" t="str">
        <x:v>null</x:v>
      </x:c>
      <x:c r="AU32" s="9" t="str">
        <x:v>6.02</x:v>
      </x:c>
    </x:row>
    <x:row r="33" ht="51" customHeight="1">
      <x:c r="A33" s="14" t="str">
        <x:v>null</x:v>
      </x:c>
      <x:c r="B33" s="14" t="str">
        <x:v>null</x:v>
      </x:c>
      <x:c r="C33" s="14" t="str">
        <x:v>16670164</x:v>
      </x:c>
      <x:c r="D33" s="14" t="str">
        <x:v>[]</x:v>
      </x:c>
      <x:c r="E33" s="14" t="str">
        <x:v>CHEMBL3855278</x:v>
      </x:c>
      <x:c r="F33" s="14" t="str">
        <x:v>Displacement of [3H]-spiperone from human dopamine D2 receptor expressed in CHO-K1 cell membranes coexpressing Galpha16 after 120 mins by liquid scintillation counting</x:v>
      </x:c>
      <x:c r="G33" s="14" t="str">
        <x:v>B</x:v>
      </x:c>
      <x:c r="H33" s="14" t="str">
        <x:v>null</x:v>
      </x:c>
      <x:c r="I33" s="14" t="str">
        <x:v>null</x:v>
      </x:c>
      <x:c r="J33" s="14" t="str">
        <x:v>BAO_0000192</x:v>
      </x:c>
      <x:c r="K33" s="14" t="str">
        <x:v>BAO_0000219</x:v>
      </x:c>
      <x:c r="L33" s="14" t="str">
        <x:v>cell-based format</x:v>
      </x:c>
      <x:c r="M33" s="14" t="str">
        <x:v>Cc1ncoc1-c1nnc(SCCCN2CC[C@]3(C[C@@H]3c3ccc(F)cc3F)C2)n1C</x:v>
      </x:c>
      <x:c r="N33" s="14" t="str">
        <x:v>null</x:v>
      </x:c>
      <x:c r="O33" s="14" t="str">
        <x:v>null</x:v>
      </x:c>
      <x:c r="P33" s="14" t="str">
        <x:v>CHEMBL3853329</x:v>
      </x:c>
      <x:c r="Q33" s="14" t="str">
        <x:v>J Med Chem</x:v>
      </x:c>
      <x:c r="R33" s="17" t="n">
        <x:v>2016</x:v>
      </x:c>
      <x:c r="S33" s="14" t="str">
        <x:v>{"bei":"14.66","le":"0.29","lle":"2.11","sei":"10.89"}</x:v>
      </x:c>
      <x:c r="T33" s="14" t="str">
        <x:v>null</x:v>
      </x:c>
      <x:c r="U33" s="14" t="str">
        <x:v>CHEMBL3917887</x:v>
      </x:c>
      <x:c r="V33" s="14" t="str">
        <x:v>null</x:v>
      </x:c>
      <x:c r="W33" s="14" t="str">
        <x:v>CHEMBL3917887</x:v>
      </x:c>
      <x:c r="X33" s="15" t="n">
        <x:v>6.53</x:v>
      </x:c>
      <x:c r="Y33" s="17" t="n">
        <x:v>0</x:v>
      </x:c>
      <x:c r="Z33" s="14" t="str">
        <x:v>http://www.openphacts.org/units/Nanomolar</x:v>
      </x:c>
      <x:c r="AA33" s="14" t="str">
        <x:v>2796804</x:v>
      </x:c>
      <x:c r="AB33" s="14" t="str">
        <x:v>=</x:v>
      </x:c>
      <x:c r="AC33" s="14" t="str">
        <x:v>1</x:v>
      </x:c>
      <x:c r="AD33" s="17" t="n">
        <x:v>1</x:v>
      </x:c>
      <x:c r="AE33" s="14" t="str">
        <x:v>=</x:v>
      </x:c>
      <x:c r="AF33" s="14" t="str">
        <x:v>null</x:v>
      </x:c>
      <x:c r="AG33" s="14" t="str">
        <x:v>Ki</x:v>
      </x:c>
      <x:c r="AH33" s="14" t="str">
        <x:v>nM</x:v>
      </x:c>
      <x:c r="AI33" s="14" t="str">
        <x:v>null</x:v>
      </x:c>
      <x:c r="AJ33" s="15" t="n">
        <x:v>295.12</x:v>
      </x:c>
      <x:c r="AK33" s="14" t="str">
        <x:v>CHEMBL217</x:v>
      </x:c>
      <x:c r="AL33" s="14" t="str">
        <x:v>Homo sapiens</x:v>
      </x:c>
      <x:c r="AM33" s="14" t="str">
        <x:v>D(2) dopamine receptor</x:v>
      </x:c>
      <x:c r="AN33" s="14" t="str">
        <x:v>9606</x:v>
      </x:c>
      <x:c r="AO33" s="14" t="str">
        <x:v>null</x:v>
      </x:c>
      <x:c r="AP33" s="14" t="str">
        <x:v>null</x:v>
      </x:c>
      <x:c r="AQ33" s="14" t="str">
        <x:v>pKi</x:v>
      </x:c>
      <x:c r="AR33" s="14" t="str">
        <x:v>null</x:v>
      </x:c>
      <x:c r="AS33" s="14" t="str">
        <x:v>UO_0000065</x:v>
      </x:c>
      <x:c r="AT33" s="14" t="str">
        <x:v>null</x:v>
      </x:c>
      <x:c r="AU33" s="14" t="str">
        <x:v>6.53</x:v>
      </x:c>
    </x:row>
    <x:row r="34" ht="51" customHeight="1">
      <x:c r="A34" s="9" t="str">
        <x:v>null</x:v>
      </x:c>
      <x:c r="B34" s="9" t="str">
        <x:v>Not Determined</x:v>
      </x:c>
      <x:c r="C34" s="9" t="str">
        <x:v>16670165</x:v>
      </x:c>
      <x:c r="D34" s="9" t="str">
        <x:v>[]</x:v>
      </x:c>
      <x:c r="E34" s="9" t="str">
        <x:v>CHEMBL3855278</x:v>
      </x:c>
      <x:c r="F34" s="9" t="str">
        <x:v>Displacement of [3H]-spiperone from human dopamine D2 receptor expressed in CHO-K1 cell membranes coexpressing Galpha16 after 120 mins by liquid scintillation counting</x:v>
      </x:c>
      <x:c r="G34" s="9" t="str">
        <x:v>B</x:v>
      </x:c>
      <x:c r="H34" s="9" t="str">
        <x:v>null</x:v>
      </x:c>
      <x:c r="I34" s="9" t="str">
        <x:v>null</x:v>
      </x:c>
      <x:c r="J34" s="9" t="str">
        <x:v>BAO_0000179</x:v>
      </x:c>
      <x:c r="K34" s="9" t="str">
        <x:v>BAO_0000219</x:v>
      </x:c>
      <x:c r="L34" s="9" t="str">
        <x:v>cell-based format</x:v>
      </x:c>
      <x:c r="M34" s="9" t="str">
        <x:v>Cc1ncoc1-c1nnc(SCCCN2CC[C@]3(C[C@@H]3c3ccc(F)cc3F)C2)n1C</x:v>
      </x:c>
      <x:c r="N34" s="9" t="str">
        <x:v>null</x:v>
      </x:c>
      <x:c r="O34" s="9" t="str">
        <x:v>null</x:v>
      </x:c>
      <x:c r="P34" s="9" t="str">
        <x:v>CHEMBL3853329</x:v>
      </x:c>
      <x:c r="Q34" s="9" t="str">
        <x:v>J Med Chem</x:v>
      </x:c>
      <x:c r="R34" s="13" t="n">
        <x:v>2016</x:v>
      </x:c>
      <x:c r="S34" s="9" t="str">
        <x:v>null</x:v>
      </x:c>
      <x:c r="T34" s="9" t="str">
        <x:v>null</x:v>
      </x:c>
      <x:c r="U34" s="9" t="str">
        <x:v>CHEMBL3917887</x:v>
      </x:c>
      <x:c r="V34" s="9" t="str">
        <x:v>null</x:v>
      </x:c>
      <x:c r="W34" s="9" t="str">
        <x:v>CHEMBL3917887</x:v>
      </x:c>
      <x:c r="X34" s="11" t="str">
        <x:v>null</x:v>
      </x:c>
      <x:c r="Y34" s="13" t="n">
        <x:v>0</x:v>
      </x:c>
      <x:c r="Z34" s="9" t="str">
        <x:v>null</x:v>
      </x:c>
      <x:c r="AA34" s="9" t="str">
        <x:v>2796805</x:v>
      </x:c>
      <x:c r="AB34" s="9" t="str">
        <x:v>null</x:v>
      </x:c>
      <x:c r="AC34" s="9" t="str">
        <x:v>1</x:v>
      </x:c>
      <x:c r="AD34" s="13" t="n">
        <x:v>0</x:v>
      </x:c>
      <x:c r="AE34" s="9" t="str">
        <x:v>null</x:v>
      </x:c>
      <x:c r="AF34" s="9" t="str">
        <x:v>null</x:v>
      </x:c>
      <x:c r="AG34" s="9" t="str">
        <x:v>pKi</x:v>
      </x:c>
      <x:c r="AH34" s="9" t="str">
        <x:v>null</x:v>
      </x:c>
      <x:c r="AI34" s="9" t="str">
        <x:v>null</x:v>
      </x:c>
      <x:c r="AJ34" s="11" t="str">
        <x:v>null</x:v>
      </x:c>
      <x:c r="AK34" s="9" t="str">
        <x:v>CHEMBL217</x:v>
      </x:c>
      <x:c r="AL34" s="9" t="str">
        <x:v>Homo sapiens</x:v>
      </x:c>
      <x:c r="AM34" s="9" t="str">
        <x:v>D(2) dopamine receptor</x:v>
      </x:c>
      <x:c r="AN34" s="9" t="str">
        <x:v>9606</x:v>
      </x:c>
      <x:c r="AO34" s="9" t="str">
        <x:v>null</x:v>
      </x:c>
      <x:c r="AP34" s="9" t="str">
        <x:v>null</x:v>
      </x:c>
      <x:c r="AQ34" s="9" t="str">
        <x:v>pKi</x:v>
      </x:c>
      <x:c r="AR34" s="9" t="str">
        <x:v>null</x:v>
      </x:c>
      <x:c r="AS34" s="9" t="str">
        <x:v>null</x:v>
      </x:c>
      <x:c r="AT34" s="9" t="str">
        <x:v>null</x:v>
      </x:c>
      <x:c r="AU34" s="9" t="str">
        <x:v>null</x:v>
      </x:c>
    </x:row>
    <x:row r="35" ht="51" customHeight="1">
      <x:c r="A35" s="14" t="str">
        <x:v>null</x:v>
      </x:c>
      <x:c r="B35" s="14" t="str">
        <x:v>null</x:v>
      </x:c>
      <x:c r="C35" s="14" t="str">
        <x:v>16670166</x:v>
      </x:c>
      <x:c r="D35" s="14" t="str">
        <x:v>[]</x:v>
      </x:c>
      <x:c r="E35" s="14" t="str">
        <x:v>CHEMBL3855278</x:v>
      </x:c>
      <x:c r="F35" s="14" t="str">
        <x:v>Displacement of [3H]-spiperone from human dopamine D2 receptor expressed in CHO-K1 cell membranes coexpressing Galpha16 after 120 mins by liquid scintillation counting</x:v>
      </x:c>
      <x:c r="G35" s="14" t="str">
        <x:v>B</x:v>
      </x:c>
      <x:c r="H35" s="14" t="str">
        <x:v>null</x:v>
      </x:c>
      <x:c r="I35" s="14" t="str">
        <x:v>null</x:v>
      </x:c>
      <x:c r="J35" s="14" t="str">
        <x:v>BAO_0000192</x:v>
      </x:c>
      <x:c r="K35" s="14" t="str">
        <x:v>BAO_0000219</x:v>
      </x:c>
      <x:c r="L35" s="14" t="str">
        <x:v>cell-based format</x:v>
      </x:c>
      <x:c r="M35" s="14" t="str">
        <x:v>Cc1ncoc1-c1nnc(SCCCN2CC[C@@]3(C[C@H]3c3ccc(F)cc3F)C2)n1C</x:v>
      </x:c>
      <x:c r="N35" s="14" t="str">
        <x:v>null</x:v>
      </x:c>
      <x:c r="O35" s="14" t="str">
        <x:v>null</x:v>
      </x:c>
      <x:c r="P35" s="14" t="str">
        <x:v>CHEMBL3853329</x:v>
      </x:c>
      <x:c r="Q35" s="14" t="str">
        <x:v>J Med Chem</x:v>
      </x:c>
      <x:c r="R35" s="17" t="n">
        <x:v>2016</x:v>
      </x:c>
      <x:c r="S35" s="14" t="str">
        <x:v>{"bei":"14.79","le":"0.29","lle":"2.17","sei":"10.99"}</x:v>
      </x:c>
      <x:c r="T35" s="14" t="str">
        <x:v>null</x:v>
      </x:c>
      <x:c r="U35" s="14" t="str">
        <x:v>CHEMBL3926847</x:v>
      </x:c>
      <x:c r="V35" s="14" t="str">
        <x:v>null</x:v>
      </x:c>
      <x:c r="W35" s="14" t="str">
        <x:v>CHEMBL3926847</x:v>
      </x:c>
      <x:c r="X35" s="15" t="n">
        <x:v>6.59</x:v>
      </x:c>
      <x:c r="Y35" s="17" t="n">
        <x:v>0</x:v>
      </x:c>
      <x:c r="Z35" s="14" t="str">
        <x:v>http://www.openphacts.org/units/Nanomolar</x:v>
      </x:c>
      <x:c r="AA35" s="14" t="str">
        <x:v>2796806</x:v>
      </x:c>
      <x:c r="AB35" s="14" t="str">
        <x:v>=</x:v>
      </x:c>
      <x:c r="AC35" s="14" t="str">
        <x:v>1</x:v>
      </x:c>
      <x:c r="AD35" s="17" t="n">
        <x:v>1</x:v>
      </x:c>
      <x:c r="AE35" s="14" t="str">
        <x:v>=</x:v>
      </x:c>
      <x:c r="AF35" s="14" t="str">
        <x:v>null</x:v>
      </x:c>
      <x:c r="AG35" s="14" t="str">
        <x:v>Ki</x:v>
      </x:c>
      <x:c r="AH35" s="14" t="str">
        <x:v>nM</x:v>
      </x:c>
      <x:c r="AI35" s="14" t="str">
        <x:v>null</x:v>
      </x:c>
      <x:c r="AJ35" s="15" t="n">
        <x:v>257.04</x:v>
      </x:c>
      <x:c r="AK35" s="14" t="str">
        <x:v>CHEMBL217</x:v>
      </x:c>
      <x:c r="AL35" s="14" t="str">
        <x:v>Homo sapiens</x:v>
      </x:c>
      <x:c r="AM35" s="14" t="str">
        <x:v>D(2) dopamine receptor</x:v>
      </x:c>
      <x:c r="AN35" s="14" t="str">
        <x:v>9606</x:v>
      </x:c>
      <x:c r="AO35" s="14" t="str">
        <x:v>null</x:v>
      </x:c>
      <x:c r="AP35" s="14" t="str">
        <x:v>null</x:v>
      </x:c>
      <x:c r="AQ35" s="14" t="str">
        <x:v>pKi</x:v>
      </x:c>
      <x:c r="AR35" s="14" t="str">
        <x:v>null</x:v>
      </x:c>
      <x:c r="AS35" s="14" t="str">
        <x:v>UO_0000065</x:v>
      </x:c>
      <x:c r="AT35" s="14" t="str">
        <x:v>null</x:v>
      </x:c>
      <x:c r="AU35" s="14" t="str">
        <x:v>6.59</x:v>
      </x:c>
    </x:row>
    <x:row r="36" ht="51" customHeight="1">
      <x:c r="A36" s="9" t="str">
        <x:v>null</x:v>
      </x:c>
      <x:c r="B36" s="9" t="str">
        <x:v>null</x:v>
      </x:c>
      <x:c r="C36" s="9" t="str">
        <x:v>16670167</x:v>
      </x:c>
      <x:c r="D36" s="9" t="str">
        <x:v>[]</x:v>
      </x:c>
      <x:c r="E36" s="9" t="str">
        <x:v>CHEMBL3855278</x:v>
      </x:c>
      <x:c r="F36" s="9" t="str">
        <x:v>Displacement of [3H]-spiperone from human dopamine D2 receptor expressed in CHO-K1 cell membranes coexpressing Galpha16 after 120 mins by liquid scintillation counting</x:v>
      </x:c>
      <x:c r="G36" s="9" t="str">
        <x:v>B</x:v>
      </x:c>
      <x:c r="H36" s="9" t="str">
        <x:v>null</x:v>
      </x:c>
      <x:c r="I36" s="9" t="str">
        <x:v>null</x:v>
      </x:c>
      <x:c r="J36" s="9" t="str">
        <x:v>BAO_0000192</x:v>
      </x:c>
      <x:c r="K36" s="9" t="str">
        <x:v>BAO_0000219</x:v>
      </x:c>
      <x:c r="L36" s="9" t="str">
        <x:v>cell-based format</x:v>
      </x:c>
      <x:c r="M36" s="9" t="str">
        <x:v>Cc1ncoc1-c1nnc(SCCCN2CC[C@]3(C[C@H]3c3ccc(C(F)(F)F)cc3F)C2)n1C</x:v>
      </x:c>
      <x:c r="N36" s="9" t="str">
        <x:v>null</x:v>
      </x:c>
      <x:c r="O36" s="9" t="str">
        <x:v>null</x:v>
      </x:c>
      <x:c r="P36" s="9" t="str">
        <x:v>CHEMBL3853329</x:v>
      </x:c>
      <x:c r="Q36" s="9" t="str">
        <x:v>J Med Chem</x:v>
      </x:c>
      <x:c r="R36" s="13" t="n">
        <x:v>2016</x:v>
      </x:c>
      <x:c r="S36" s="9" t="str">
        <x:v>{"bei":"13.12","le":"0.26","lle":"1.20","sei":"10.84"}</x:v>
      </x:c>
      <x:c r="T36" s="9" t="str">
        <x:v>null</x:v>
      </x:c>
      <x:c r="U36" s="9" t="str">
        <x:v>CHEMBL3935776</x:v>
      </x:c>
      <x:c r="V36" s="9" t="str">
        <x:v>null</x:v>
      </x:c>
      <x:c r="W36" s="9" t="str">
        <x:v>CHEMBL3935776</x:v>
      </x:c>
      <x:c r="X36" s="11" t="n">
        <x:v>6.5</x:v>
      </x:c>
      <x:c r="Y36" s="13" t="n">
        <x:v>0</x:v>
      </x:c>
      <x:c r="Z36" s="9" t="str">
        <x:v>http://www.openphacts.org/units/Nanomolar</x:v>
      </x:c>
      <x:c r="AA36" s="9" t="str">
        <x:v>2796807</x:v>
      </x:c>
      <x:c r="AB36" s="9" t="str">
        <x:v>=</x:v>
      </x:c>
      <x:c r="AC36" s="9" t="str">
        <x:v>1</x:v>
      </x:c>
      <x:c r="AD36" s="13" t="n">
        <x:v>1</x:v>
      </x:c>
      <x:c r="AE36" s="9" t="str">
        <x:v>=</x:v>
      </x:c>
      <x:c r="AF36" s="9" t="str">
        <x:v>null</x:v>
      </x:c>
      <x:c r="AG36" s="9" t="str">
        <x:v>Ki</x:v>
      </x:c>
      <x:c r="AH36" s="9" t="str">
        <x:v>nM</x:v>
      </x:c>
      <x:c r="AI36" s="9" t="str">
        <x:v>null</x:v>
      </x:c>
      <x:c r="AJ36" s="11" t="n">
        <x:v>316.23</x:v>
      </x:c>
      <x:c r="AK36" s="9" t="str">
        <x:v>CHEMBL217</x:v>
      </x:c>
      <x:c r="AL36" s="9" t="str">
        <x:v>Homo sapiens</x:v>
      </x:c>
      <x:c r="AM36" s="9" t="str">
        <x:v>D(2) dopamine receptor</x:v>
      </x:c>
      <x:c r="AN36" s="9" t="str">
        <x:v>9606</x:v>
      </x:c>
      <x:c r="AO36" s="9" t="str">
        <x:v>null</x:v>
      </x:c>
      <x:c r="AP36" s="9" t="str">
        <x:v>null</x:v>
      </x:c>
      <x:c r="AQ36" s="9" t="str">
        <x:v>pKi</x:v>
      </x:c>
      <x:c r="AR36" s="9" t="str">
        <x:v>null</x:v>
      </x:c>
      <x:c r="AS36" s="9" t="str">
        <x:v>UO_0000065</x:v>
      </x:c>
      <x:c r="AT36" s="9" t="str">
        <x:v>null</x:v>
      </x:c>
      <x:c r="AU36" s="9" t="str">
        <x:v>6.5</x:v>
      </x:c>
    </x:row>
    <x:row r="37" ht="51" customHeight="1">
      <x:c r="A37" s="14" t="str">
        <x:v>null</x:v>
      </x:c>
      <x:c r="B37" s="14" t="str">
        <x:v>null</x:v>
      </x:c>
      <x:c r="C37" s="14" t="str">
        <x:v>16670168</x:v>
      </x:c>
      <x:c r="D37" s="14" t="str">
        <x:v>[]</x:v>
      </x:c>
      <x:c r="E37" s="14" t="str">
        <x:v>CHEMBL3855278</x:v>
      </x:c>
      <x:c r="F37" s="14" t="str">
        <x:v>Displacement of [3H]-spiperone from human dopamine D2 receptor expressed in CHO-K1 cell membranes coexpressing Galpha16 after 120 mins by liquid scintillation counting</x:v>
      </x:c>
      <x:c r="G37" s="14" t="str">
        <x:v>B</x:v>
      </x:c>
      <x:c r="H37" s="14" t="str">
        <x:v>null</x:v>
      </x:c>
      <x:c r="I37" s="14" t="str">
        <x:v>null</x:v>
      </x:c>
      <x:c r="J37" s="14" t="str">
        <x:v>BAO_0000192</x:v>
      </x:c>
      <x:c r="K37" s="14" t="str">
        <x:v>BAO_0000219</x:v>
      </x:c>
      <x:c r="L37" s="14" t="str">
        <x:v>cell-based format</x:v>
      </x:c>
      <x:c r="M37" s="14" t="str">
        <x:v>Cc1ncoc1-c1nnc(SCCCN2CC[C@]3(C[C@H]3c3ccc(C(F)(F)F)cc3F)C2)n1C</x:v>
      </x:c>
      <x:c r="N37" s="14" t="str">
        <x:v>null</x:v>
      </x:c>
      <x:c r="O37" s="14" t="str">
        <x:v>null</x:v>
      </x:c>
      <x:c r="P37" s="14" t="str">
        <x:v>CHEMBL3853329</x:v>
      </x:c>
      <x:c r="Q37" s="14" t="str">
        <x:v>J Med Chem</x:v>
      </x:c>
      <x:c r="R37" s="17" t="n">
        <x:v>2016</x:v>
      </x:c>
      <x:c r="S37" s="14" t="str">
        <x:v>{"bei":"13.14","le":"0.26","lle":"1.21","sei":"10.85"}</x:v>
      </x:c>
      <x:c r="T37" s="14" t="str">
        <x:v>null</x:v>
      </x:c>
      <x:c r="U37" s="14" t="str">
        <x:v>CHEMBL3935776</x:v>
      </x:c>
      <x:c r="V37" s="14" t="str">
        <x:v>null</x:v>
      </x:c>
      <x:c r="W37" s="14" t="str">
        <x:v>CHEMBL3935776</x:v>
      </x:c>
      <x:c r="X37" s="15" t="n">
        <x:v>6.51</x:v>
      </x:c>
      <x:c r="Y37" s="17" t="n">
        <x:v>0</x:v>
      </x:c>
      <x:c r="Z37" s="14" t="str">
        <x:v>http://www.openphacts.org/units/Nanomolar</x:v>
      </x:c>
      <x:c r="AA37" s="14" t="str">
        <x:v>2796808</x:v>
      </x:c>
      <x:c r="AB37" s="14" t="str">
        <x:v>=</x:v>
      </x:c>
      <x:c r="AC37" s="14" t="str">
        <x:v>1</x:v>
      </x:c>
      <x:c r="AD37" s="17" t="n">
        <x:v>1</x:v>
      </x:c>
      <x:c r="AE37" s="14" t="str">
        <x:v>=</x:v>
      </x:c>
      <x:c r="AF37" s="14" t="str">
        <x:v>null</x:v>
      </x:c>
      <x:c r="AG37" s="14" t="str">
        <x:v>Ki</x:v>
      </x:c>
      <x:c r="AH37" s="14" t="str">
        <x:v>nM</x:v>
      </x:c>
      <x:c r="AI37" s="14" t="str">
        <x:v>null</x:v>
      </x:c>
      <x:c r="AJ37" s="15" t="n">
        <x:v>309.03</x:v>
      </x:c>
      <x:c r="AK37" s="14" t="str">
        <x:v>CHEMBL217</x:v>
      </x:c>
      <x:c r="AL37" s="14" t="str">
        <x:v>Homo sapiens</x:v>
      </x:c>
      <x:c r="AM37" s="14" t="str">
        <x:v>D(2) dopamine receptor</x:v>
      </x:c>
      <x:c r="AN37" s="14" t="str">
        <x:v>9606</x:v>
      </x:c>
      <x:c r="AO37" s="14" t="str">
        <x:v>null</x:v>
      </x:c>
      <x:c r="AP37" s="14" t="str">
        <x:v>null</x:v>
      </x:c>
      <x:c r="AQ37" s="14" t="str">
        <x:v>pKi</x:v>
      </x:c>
      <x:c r="AR37" s="14" t="str">
        <x:v>null</x:v>
      </x:c>
      <x:c r="AS37" s="14" t="str">
        <x:v>UO_0000065</x:v>
      </x:c>
      <x:c r="AT37" s="14" t="str">
        <x:v>null</x:v>
      </x:c>
      <x:c r="AU37" s="14" t="str">
        <x:v>6.51</x:v>
      </x:c>
    </x:row>
    <x:row r="38" ht="51" customHeight="1">
      <x:c r="A38" s="9" t="str">
        <x:v>null</x:v>
      </x:c>
      <x:c r="B38" s="9" t="str">
        <x:v>null</x:v>
      </x:c>
      <x:c r="C38" s="9" t="str">
        <x:v>16670169</x:v>
      </x:c>
      <x:c r="D38" s="9" t="str">
        <x:v>[]</x:v>
      </x:c>
      <x:c r="E38" s="9" t="str">
        <x:v>CHEMBL3855278</x:v>
      </x:c>
      <x:c r="F38" s="9" t="str">
        <x:v>Displacement of [3H]-spiperone from human dopamine D2 receptor expressed in CHO-K1 cell membranes coexpressing Galpha16 after 120 mins by liquid scintillation counting</x:v>
      </x:c>
      <x:c r="G38" s="9" t="str">
        <x:v>B</x:v>
      </x:c>
      <x:c r="H38" s="9" t="str">
        <x:v>null</x:v>
      </x:c>
      <x:c r="I38" s="9" t="str">
        <x:v>null</x:v>
      </x:c>
      <x:c r="J38" s="9" t="str">
        <x:v>BAO_0000192</x:v>
      </x:c>
      <x:c r="K38" s="9" t="str">
        <x:v>BAO_0000219</x:v>
      </x:c>
      <x:c r="L38" s="9" t="str">
        <x:v>cell-based format</x:v>
      </x:c>
      <x:c r="M38" s="9" t="str">
        <x:v>Cc1ncoc1-c1nnc(SCCCN2CC[C@@]3(C[C@@H]3c3ccc(C(F)(F)F)cc3F)C2)n1C</x:v>
      </x:c>
      <x:c r="N38" s="9" t="str">
        <x:v>null</x:v>
      </x:c>
      <x:c r="O38" s="9" t="str">
        <x:v>null</x:v>
      </x:c>
      <x:c r="P38" s="9" t="str">
        <x:v>CHEMBL3853329</x:v>
      </x:c>
      <x:c r="Q38" s="9" t="str">
        <x:v>J Med Chem</x:v>
      </x:c>
      <x:c r="R38" s="13" t="n">
        <x:v>2016</x:v>
      </x:c>
      <x:c r="S38" s="9" t="str">
        <x:v>{"bei":"12.13","le":"0.24","lle":"0.71","sei":"10.02"}</x:v>
      </x:c>
      <x:c r="T38" s="9" t="str">
        <x:v>null</x:v>
      </x:c>
      <x:c r="U38" s="9" t="str">
        <x:v>CHEMBL3901587</x:v>
      </x:c>
      <x:c r="V38" s="9" t="str">
        <x:v>null</x:v>
      </x:c>
      <x:c r="W38" s="9" t="str">
        <x:v>CHEMBL3901587</x:v>
      </x:c>
      <x:c r="X38" s="11" t="n">
        <x:v>6.01</x:v>
      </x:c>
      <x:c r="Y38" s="13" t="n">
        <x:v>0</x:v>
      </x:c>
      <x:c r="Z38" s="9" t="str">
        <x:v>http://www.openphacts.org/units/Nanomolar</x:v>
      </x:c>
      <x:c r="AA38" s="9" t="str">
        <x:v>2796809</x:v>
      </x:c>
      <x:c r="AB38" s="9" t="str">
        <x:v>=</x:v>
      </x:c>
      <x:c r="AC38" s="9" t="str">
        <x:v>1</x:v>
      </x:c>
      <x:c r="AD38" s="13" t="n">
        <x:v>1</x:v>
      </x:c>
      <x:c r="AE38" s="9" t="str">
        <x:v>=</x:v>
      </x:c>
      <x:c r="AF38" s="9" t="str">
        <x:v>null</x:v>
      </x:c>
      <x:c r="AG38" s="9" t="str">
        <x:v>Ki</x:v>
      </x:c>
      <x:c r="AH38" s="9" t="str">
        <x:v>nM</x:v>
      </x:c>
      <x:c r="AI38" s="9" t="str">
        <x:v>null</x:v>
      </x:c>
      <x:c r="AJ38" s="11" t="n">
        <x:v>977.24</x:v>
      </x:c>
      <x:c r="AK38" s="9" t="str">
        <x:v>CHEMBL217</x:v>
      </x:c>
      <x:c r="AL38" s="9" t="str">
        <x:v>Homo sapiens</x:v>
      </x:c>
      <x:c r="AM38" s="9" t="str">
        <x:v>D(2) dopamine receptor</x:v>
      </x:c>
      <x:c r="AN38" s="9" t="str">
        <x:v>9606</x:v>
      </x:c>
      <x:c r="AO38" s="9" t="str">
        <x:v>null</x:v>
      </x:c>
      <x:c r="AP38" s="9" t="str">
        <x:v>null</x:v>
      </x:c>
      <x:c r="AQ38" s="9" t="str">
        <x:v>pKi</x:v>
      </x:c>
      <x:c r="AR38" s="9" t="str">
        <x:v>null</x:v>
      </x:c>
      <x:c r="AS38" s="9" t="str">
        <x:v>UO_0000065</x:v>
      </x:c>
      <x:c r="AT38" s="9" t="str">
        <x:v>null</x:v>
      </x:c>
      <x:c r="AU38" s="9" t="str">
        <x:v>6.01</x:v>
      </x:c>
    </x:row>
    <x:row r="39" ht="51" customHeight="1">
      <x:c r="A39" s="14" t="str">
        <x:v>null</x:v>
      </x:c>
      <x:c r="B39" s="14" t="str">
        <x:v>null</x:v>
      </x:c>
      <x:c r="C39" s="14" t="str">
        <x:v>16670170</x:v>
      </x:c>
      <x:c r="D39" s="14" t="str">
        <x:v>[]</x:v>
      </x:c>
      <x:c r="E39" s="14" t="str">
        <x:v>CHEMBL3855278</x:v>
      </x:c>
      <x:c r="F39" s="14" t="str">
        <x:v>Displacement of [3H]-spiperone from human dopamine D2 receptor expressed in CHO-K1 cell membranes coexpressing Galpha16 after 120 mins by liquid scintillation counting</x:v>
      </x:c>
      <x:c r="G39" s="14" t="str">
        <x:v>B</x:v>
      </x:c>
      <x:c r="H39" s="14" t="str">
        <x:v>null</x:v>
      </x:c>
      <x:c r="I39" s="14" t="str">
        <x:v>null</x:v>
      </x:c>
      <x:c r="J39" s="14" t="str">
        <x:v>BAO_0000192</x:v>
      </x:c>
      <x:c r="K39" s="14" t="str">
        <x:v>BAO_0000219</x:v>
      </x:c>
      <x:c r="L39" s="14" t="str">
        <x:v>cell-based format</x:v>
      </x:c>
      <x:c r="M39" s="14" t="str">
        <x:v>Cc1ncoc1-c1nnc(SCCCN2CC[C@]3(C[C@@H]3c3ccc(C(F)(F)F)cc3F)C2)n1C</x:v>
      </x:c>
      <x:c r="N39" s="14" t="str">
        <x:v>null</x:v>
      </x:c>
      <x:c r="O39" s="14" t="str">
        <x:v>null</x:v>
      </x:c>
      <x:c r="P39" s="14" t="str">
        <x:v>CHEMBL3853329</x:v>
      </x:c>
      <x:c r="Q39" s="14" t="str">
        <x:v>J Med Chem</x:v>
      </x:c>
      <x:c r="R39" s="17" t="n">
        <x:v>2016</x:v>
      </x:c>
      <x:c r="S39" s="14" t="str">
        <x:v>{"bei":"13.08","le":"0.26","lle":"1.18","sei":"10.80"}</x:v>
      </x:c>
      <x:c r="T39" s="14" t="str">
        <x:v>null</x:v>
      </x:c>
      <x:c r="U39" s="14" t="str">
        <x:v>CHEMBL3927895</x:v>
      </x:c>
      <x:c r="V39" s="14" t="str">
        <x:v>null</x:v>
      </x:c>
      <x:c r="W39" s="14" t="str">
        <x:v>CHEMBL3927895</x:v>
      </x:c>
      <x:c r="X39" s="15" t="n">
        <x:v>6.48</x:v>
      </x:c>
      <x:c r="Y39" s="17" t="n">
        <x:v>0</x:v>
      </x:c>
      <x:c r="Z39" s="14" t="str">
        <x:v>http://www.openphacts.org/units/Nanomolar</x:v>
      </x:c>
      <x:c r="AA39" s="14" t="str">
        <x:v>2796810</x:v>
      </x:c>
      <x:c r="AB39" s="14" t="str">
        <x:v>=</x:v>
      </x:c>
      <x:c r="AC39" s="14" t="str">
        <x:v>1</x:v>
      </x:c>
      <x:c r="AD39" s="17" t="n">
        <x:v>1</x:v>
      </x:c>
      <x:c r="AE39" s="14" t="str">
        <x:v>=</x:v>
      </x:c>
      <x:c r="AF39" s="14" t="str">
        <x:v>null</x:v>
      </x:c>
      <x:c r="AG39" s="14" t="str">
        <x:v>Ki</x:v>
      </x:c>
      <x:c r="AH39" s="14" t="str">
        <x:v>nM</x:v>
      </x:c>
      <x:c r="AI39" s="14" t="str">
        <x:v>null</x:v>
      </x:c>
      <x:c r="AJ39" s="15" t="n">
        <x:v>331.13</x:v>
      </x:c>
      <x:c r="AK39" s="14" t="str">
        <x:v>CHEMBL217</x:v>
      </x:c>
      <x:c r="AL39" s="14" t="str">
        <x:v>Homo sapiens</x:v>
      </x:c>
      <x:c r="AM39" s="14" t="str">
        <x:v>D(2) dopamine receptor</x:v>
      </x:c>
      <x:c r="AN39" s="14" t="str">
        <x:v>9606</x:v>
      </x:c>
      <x:c r="AO39" s="14" t="str">
        <x:v>null</x:v>
      </x:c>
      <x:c r="AP39" s="14" t="str">
        <x:v>null</x:v>
      </x:c>
      <x:c r="AQ39" s="14" t="str">
        <x:v>pKi</x:v>
      </x:c>
      <x:c r="AR39" s="14" t="str">
        <x:v>null</x:v>
      </x:c>
      <x:c r="AS39" s="14" t="str">
        <x:v>UO_0000065</x:v>
      </x:c>
      <x:c r="AT39" s="14" t="str">
        <x:v>null</x:v>
      </x:c>
      <x:c r="AU39" s="14" t="str">
        <x:v>6.48</x:v>
      </x:c>
    </x:row>
    <x:row r="40" ht="51" customHeight="1">
      <x:c r="A40" s="9" t="str">
        <x:v>null</x:v>
      </x:c>
      <x:c r="B40" s="9" t="str">
        <x:v>null</x:v>
      </x:c>
      <x:c r="C40" s="9" t="str">
        <x:v>16670171</x:v>
      </x:c>
      <x:c r="D40" s="9" t="str">
        <x:v>[]</x:v>
      </x:c>
      <x:c r="E40" s="9" t="str">
        <x:v>CHEMBL3855278</x:v>
      </x:c>
      <x:c r="F40" s="9" t="str">
        <x:v>Displacement of [3H]-spiperone from human dopamine D2 receptor expressed in CHO-K1 cell membranes coexpressing Galpha16 after 120 mins by liquid scintillation counting</x:v>
      </x:c>
      <x:c r="G40" s="9" t="str">
        <x:v>B</x:v>
      </x:c>
      <x:c r="H40" s="9" t="str">
        <x:v>null</x:v>
      </x:c>
      <x:c r="I40" s="9" t="str">
        <x:v>null</x:v>
      </x:c>
      <x:c r="J40" s="9" t="str">
        <x:v>BAO_0000192</x:v>
      </x:c>
      <x:c r="K40" s="9" t="str">
        <x:v>BAO_0000219</x:v>
      </x:c>
      <x:c r="L40" s="9" t="str">
        <x:v>cell-based format</x:v>
      </x:c>
      <x:c r="M40" s="9" t="str">
        <x:v>Cc1ncoc1-c1nnc(SCCCN2CC[C@]3(C[C@@H]3c3ccc(C(F)(F)F)cc3F)C2)n1C</x:v>
      </x:c>
      <x:c r="N40" s="9" t="str">
        <x:v>null</x:v>
      </x:c>
      <x:c r="O40" s="9" t="str">
        <x:v>null</x:v>
      </x:c>
      <x:c r="P40" s="9" t="str">
        <x:v>CHEMBL3853329</x:v>
      </x:c>
      <x:c r="Q40" s="9" t="str">
        <x:v>J Med Chem</x:v>
      </x:c>
      <x:c r="R40" s="13" t="n">
        <x:v>2016</x:v>
      </x:c>
      <x:c r="S40" s="9" t="str">
        <x:v>{"bei":"10.82","le":"0.22","lle":"0.06","sei":"8.94"}</x:v>
      </x:c>
      <x:c r="T40" s="9" t="str">
        <x:v>null</x:v>
      </x:c>
      <x:c r="U40" s="9" t="str">
        <x:v>CHEMBL3927895</x:v>
      </x:c>
      <x:c r="V40" s="9" t="str">
        <x:v>null</x:v>
      </x:c>
      <x:c r="W40" s="9" t="str">
        <x:v>CHEMBL3927895</x:v>
      </x:c>
      <x:c r="X40" s="11" t="n">
        <x:v>5.36</x:v>
      </x:c>
      <x:c r="Y40" s="13" t="n">
        <x:v>0</x:v>
      </x:c>
      <x:c r="Z40" s="9" t="str">
        <x:v>http://www.openphacts.org/units/Nanomolar</x:v>
      </x:c>
      <x:c r="AA40" s="9" t="str">
        <x:v>2796811</x:v>
      </x:c>
      <x:c r="AB40" s="9" t="str">
        <x:v>=</x:v>
      </x:c>
      <x:c r="AC40" s="9" t="str">
        <x:v>1</x:v>
      </x:c>
      <x:c r="AD40" s="13" t="n">
        <x:v>1</x:v>
      </x:c>
      <x:c r="AE40" s="9" t="str">
        <x:v>=</x:v>
      </x:c>
      <x:c r="AF40" s="9" t="str">
        <x:v>null</x:v>
      </x:c>
      <x:c r="AG40" s="9" t="str">
        <x:v>Ki</x:v>
      </x:c>
      <x:c r="AH40" s="9" t="str">
        <x:v>nM</x:v>
      </x:c>
      <x:c r="AI40" s="9" t="str">
        <x:v>null</x:v>
      </x:c>
      <x:c r="AJ40" s="11" t="n">
        <x:v>4365.16</x:v>
      </x:c>
      <x:c r="AK40" s="9" t="str">
        <x:v>CHEMBL217</x:v>
      </x:c>
      <x:c r="AL40" s="9" t="str">
        <x:v>Homo sapiens</x:v>
      </x:c>
      <x:c r="AM40" s="9" t="str">
        <x:v>D(2) dopamine receptor</x:v>
      </x:c>
      <x:c r="AN40" s="9" t="str">
        <x:v>9606</x:v>
      </x:c>
      <x:c r="AO40" s="9" t="str">
        <x:v>null</x:v>
      </x:c>
      <x:c r="AP40" s="9" t="str">
        <x:v>null</x:v>
      </x:c>
      <x:c r="AQ40" s="9" t="str">
        <x:v>pKi</x:v>
      </x:c>
      <x:c r="AR40" s="9" t="str">
        <x:v>null</x:v>
      </x:c>
      <x:c r="AS40" s="9" t="str">
        <x:v>UO_0000065</x:v>
      </x:c>
      <x:c r="AT40" s="9" t="str">
        <x:v>null</x:v>
      </x:c>
      <x:c r="AU40" s="9" t="str">
        <x:v>5.36</x:v>
      </x:c>
    </x:row>
    <x:row r="41" ht="51" customHeight="1">
      <x:c r="A41" s="14" t="str">
        <x:v>null</x:v>
      </x:c>
      <x:c r="B41" s="14" t="str">
        <x:v>null</x:v>
      </x:c>
      <x:c r="C41" s="14" t="str">
        <x:v>16670172</x:v>
      </x:c>
      <x:c r="D41" s="14" t="str">
        <x:v>[]</x:v>
      </x:c>
      <x:c r="E41" s="14" t="str">
        <x:v>CHEMBL3855278</x:v>
      </x:c>
      <x:c r="F41" s="14" t="str">
        <x:v>Displacement of [3H]-spiperone from human dopamine D2 receptor expressed in CHO-K1 cell membranes coexpressing Galpha16 after 120 mins by liquid scintillation counting</x:v>
      </x:c>
      <x:c r="G41" s="14" t="str">
        <x:v>B</x:v>
      </x:c>
      <x:c r="H41" s="14" t="str">
        <x:v>null</x:v>
      </x:c>
      <x:c r="I41" s="14" t="str">
        <x:v>null</x:v>
      </x:c>
      <x:c r="J41" s="14" t="str">
        <x:v>BAO_0000192</x:v>
      </x:c>
      <x:c r="K41" s="14" t="str">
        <x:v>BAO_0000219</x:v>
      </x:c>
      <x:c r="L41" s="14" t="str">
        <x:v>cell-based format</x:v>
      </x:c>
      <x:c r="M41" s="14" t="str">
        <x:v>Cc1ncoc1-c1nnc(SCCCN2CC[C@@]3(C[C@H]3c3ccc(C(F)(F)F)cc3F)C2)n1C</x:v>
      </x:c>
      <x:c r="N41" s="14" t="str">
        <x:v>null</x:v>
      </x:c>
      <x:c r="O41" s="14" t="str">
        <x:v>null</x:v>
      </x:c>
      <x:c r="P41" s="14" t="str">
        <x:v>CHEMBL3853329</x:v>
      </x:c>
      <x:c r="Q41" s="14" t="str">
        <x:v>J Med Chem</x:v>
      </x:c>
      <x:c r="R41" s="17" t="n">
        <x:v>2016</x:v>
      </x:c>
      <x:c r="S41" s="14" t="str">
        <x:v>{"bei":"13.42","le":"0.27","lle":"1.35","sei":"11.09"}</x:v>
      </x:c>
      <x:c r="T41" s="14" t="str">
        <x:v>null</x:v>
      </x:c>
      <x:c r="U41" s="14" t="str">
        <x:v>CHEMBL3955505</x:v>
      </x:c>
      <x:c r="V41" s="14" t="str">
        <x:v>null</x:v>
      </x:c>
      <x:c r="W41" s="14" t="str">
        <x:v>CHEMBL3955505</x:v>
      </x:c>
      <x:c r="X41" s="15" t="n">
        <x:v>6.65</x:v>
      </x:c>
      <x:c r="Y41" s="17" t="n">
        <x:v>0</x:v>
      </x:c>
      <x:c r="Z41" s="14" t="str">
        <x:v>http://www.openphacts.org/units/Nanomolar</x:v>
      </x:c>
      <x:c r="AA41" s="14" t="str">
        <x:v>2796812</x:v>
      </x:c>
      <x:c r="AB41" s="14" t="str">
        <x:v>=</x:v>
      </x:c>
      <x:c r="AC41" s="14" t="str">
        <x:v>1</x:v>
      </x:c>
      <x:c r="AD41" s="17" t="n">
        <x:v>1</x:v>
      </x:c>
      <x:c r="AE41" s="14" t="str">
        <x:v>=</x:v>
      </x:c>
      <x:c r="AF41" s="14" t="str">
        <x:v>null</x:v>
      </x:c>
      <x:c r="AG41" s="14" t="str">
        <x:v>Ki</x:v>
      </x:c>
      <x:c r="AH41" s="14" t="str">
        <x:v>nM</x:v>
      </x:c>
      <x:c r="AI41" s="14" t="str">
        <x:v>null</x:v>
      </x:c>
      <x:c r="AJ41" s="15" t="n">
        <x:v>223.87</x:v>
      </x:c>
      <x:c r="AK41" s="14" t="str">
        <x:v>CHEMBL217</x:v>
      </x:c>
      <x:c r="AL41" s="14" t="str">
        <x:v>Homo sapiens</x:v>
      </x:c>
      <x:c r="AM41" s="14" t="str">
        <x:v>D(2) dopamine receptor</x:v>
      </x:c>
      <x:c r="AN41" s="14" t="str">
        <x:v>9606</x:v>
      </x:c>
      <x:c r="AO41" s="14" t="str">
        <x:v>null</x:v>
      </x:c>
      <x:c r="AP41" s="14" t="str">
        <x:v>null</x:v>
      </x:c>
      <x:c r="AQ41" s="14" t="str">
        <x:v>pKi</x:v>
      </x:c>
      <x:c r="AR41" s="14" t="str">
        <x:v>null</x:v>
      </x:c>
      <x:c r="AS41" s="14" t="str">
        <x:v>UO_0000065</x:v>
      </x:c>
      <x:c r="AT41" s="14" t="str">
        <x:v>null</x:v>
      </x:c>
      <x:c r="AU41" s="14" t="str">
        <x:v>6.65</x:v>
      </x:c>
    </x:row>
    <x:row r="42" ht="51" customHeight="1">
      <x:c r="A42" s="9" t="str">
        <x:v>null</x:v>
      </x:c>
      <x:c r="B42" s="9" t="str">
        <x:v>null</x:v>
      </x:c>
      <x:c r="C42" s="9" t="str">
        <x:v>16670173</x:v>
      </x:c>
      <x:c r="D42" s="9" t="str">
        <x:v>[]</x:v>
      </x:c>
      <x:c r="E42" s="9" t="str">
        <x:v>CHEMBL3855278</x:v>
      </x:c>
      <x:c r="F42" s="9" t="str">
        <x:v>Displacement of [3H]-spiperone from human dopamine D2 receptor expressed in CHO-K1 cell membranes coexpressing Galpha16 after 120 mins by liquid scintillation counting</x:v>
      </x:c>
      <x:c r="G42" s="9" t="str">
        <x:v>B</x:v>
      </x:c>
      <x:c r="H42" s="9" t="str">
        <x:v>null</x:v>
      </x:c>
      <x:c r="I42" s="9" t="str">
        <x:v>null</x:v>
      </x:c>
      <x:c r="J42" s="9" t="str">
        <x:v>BAO_0000192</x:v>
      </x:c>
      <x:c r="K42" s="9" t="str">
        <x:v>BAO_0000219</x:v>
      </x:c>
      <x:c r="L42" s="9" t="str">
        <x:v>cell-based format</x:v>
      </x:c>
      <x:c r="M42" s="9" t="str">
        <x:v>Cc1ncoc1-c1nnc(SCCCN2CC[C@]3(C[C@H]3c3ccc(F)cc3C(F)(F)F)C2)n1C</x:v>
      </x:c>
      <x:c r="N42" s="9" t="str">
        <x:v>null</x:v>
      </x:c>
      <x:c r="O42" s="9" t="str">
        <x:v>null</x:v>
      </x:c>
      <x:c r="P42" s="9" t="str">
        <x:v>CHEMBL3853329</x:v>
      </x:c>
      <x:c r="Q42" s="9" t="str">
        <x:v>J Med Chem</x:v>
      </x:c>
      <x:c r="R42" s="13" t="n">
        <x:v>2016</x:v>
      </x:c>
      <x:c r="S42" s="9" t="str">
        <x:v>{"bei":"13.68","le":"0.27","lle":"1.48","sei":"11.30"}</x:v>
      </x:c>
      <x:c r="T42" s="9" t="str">
        <x:v>null</x:v>
      </x:c>
      <x:c r="U42" s="9" t="str">
        <x:v>CHEMBL3985877</x:v>
      </x:c>
      <x:c r="V42" s="9" t="str">
        <x:v>null</x:v>
      </x:c>
      <x:c r="W42" s="9" t="str">
        <x:v>CHEMBL3985877</x:v>
      </x:c>
      <x:c r="X42" s="11" t="n">
        <x:v>6.78</x:v>
      </x:c>
      <x:c r="Y42" s="13" t="n">
        <x:v>0</x:v>
      </x:c>
      <x:c r="Z42" s="9" t="str">
        <x:v>http://www.openphacts.org/units/Nanomolar</x:v>
      </x:c>
      <x:c r="AA42" s="9" t="str">
        <x:v>2796813</x:v>
      </x:c>
      <x:c r="AB42" s="9" t="str">
        <x:v>=</x:v>
      </x:c>
      <x:c r="AC42" s="9" t="str">
        <x:v>1</x:v>
      </x:c>
      <x:c r="AD42" s="13" t="n">
        <x:v>1</x:v>
      </x:c>
      <x:c r="AE42" s="9" t="str">
        <x:v>=</x:v>
      </x:c>
      <x:c r="AF42" s="9" t="str">
        <x:v>null</x:v>
      </x:c>
      <x:c r="AG42" s="9" t="str">
        <x:v>Ki</x:v>
      </x:c>
      <x:c r="AH42" s="9" t="str">
        <x:v>nM</x:v>
      </x:c>
      <x:c r="AI42" s="9" t="str">
        <x:v>null</x:v>
      </x:c>
      <x:c r="AJ42" s="11" t="n">
        <x:v>165.96</x:v>
      </x:c>
      <x:c r="AK42" s="9" t="str">
        <x:v>CHEMBL217</x:v>
      </x:c>
      <x:c r="AL42" s="9" t="str">
        <x:v>Homo sapiens</x:v>
      </x:c>
      <x:c r="AM42" s="9" t="str">
        <x:v>D(2) dopamine receptor</x:v>
      </x:c>
      <x:c r="AN42" s="9" t="str">
        <x:v>9606</x:v>
      </x:c>
      <x:c r="AO42" s="9" t="str">
        <x:v>null</x:v>
      </x:c>
      <x:c r="AP42" s="9" t="str">
        <x:v>null</x:v>
      </x:c>
      <x:c r="AQ42" s="9" t="str">
        <x:v>pKi</x:v>
      </x:c>
      <x:c r="AR42" s="9" t="str">
        <x:v>null</x:v>
      </x:c>
      <x:c r="AS42" s="9" t="str">
        <x:v>UO_0000065</x:v>
      </x:c>
      <x:c r="AT42" s="9" t="str">
        <x:v>null</x:v>
      </x:c>
      <x:c r="AU42" s="9" t="str">
        <x:v>6.78</x:v>
      </x:c>
    </x:row>
    <x:row r="43" ht="51" customHeight="1">
      <x:c r="A43" s="14" t="str">
        <x:v>null</x:v>
      </x:c>
      <x:c r="B43" s="14" t="str">
        <x:v>null</x:v>
      </x:c>
      <x:c r="C43" s="14" t="str">
        <x:v>16670174</x:v>
      </x:c>
      <x:c r="D43" s="14" t="str">
        <x:v>[]</x:v>
      </x:c>
      <x:c r="E43" s="14" t="str">
        <x:v>CHEMBL3855278</x:v>
      </x:c>
      <x:c r="F43" s="14" t="str">
        <x:v>Displacement of [3H]-spiperone from human dopamine D2 receptor expressed in CHO-K1 cell membranes coexpressing Galpha16 after 120 mins by liquid scintillation counting</x:v>
      </x:c>
      <x:c r="G43" s="14" t="str">
        <x:v>B</x:v>
      </x:c>
      <x:c r="H43" s="14" t="str">
        <x:v>null</x:v>
      </x:c>
      <x:c r="I43" s="14" t="str">
        <x:v>null</x:v>
      </x:c>
      <x:c r="J43" s="14" t="str">
        <x:v>BAO_0000192</x:v>
      </x:c>
      <x:c r="K43" s="14" t="str">
        <x:v>BAO_0000219</x:v>
      </x:c>
      <x:c r="L43" s="14" t="str">
        <x:v>cell-based format</x:v>
      </x:c>
      <x:c r="M43" s="14" t="str">
        <x:v>Cc1ncoc1-c1nnc(SCCCN2CC[C@@]3(C[C@@H]3c3ccc(F)cc3C(F)(F)F)C2)n1C</x:v>
      </x:c>
      <x:c r="N43" s="14" t="str">
        <x:v>null</x:v>
      </x:c>
      <x:c r="O43" s="14" t="str">
        <x:v>null</x:v>
      </x:c>
      <x:c r="P43" s="14" t="str">
        <x:v>CHEMBL3853329</x:v>
      </x:c>
      <x:c r="Q43" s="14" t="str">
        <x:v>J Med Chem</x:v>
      </x:c>
      <x:c r="R43" s="17" t="n">
        <x:v>2016</x:v>
      </x:c>
      <x:c r="S43" s="14" t="str">
        <x:v>{"bei":"11.42","le":"0.23","lle":"0.36","sei":"9.44"}</x:v>
      </x:c>
      <x:c r="T43" s="14" t="str">
        <x:v>null</x:v>
      </x:c>
      <x:c r="U43" s="14" t="str">
        <x:v>CHEMBL3966647</x:v>
      </x:c>
      <x:c r="V43" s="14" t="str">
        <x:v>null</x:v>
      </x:c>
      <x:c r="W43" s="14" t="str">
        <x:v>CHEMBL3966647</x:v>
      </x:c>
      <x:c r="X43" s="15" t="n">
        <x:v>5.66</x:v>
      </x:c>
      <x:c r="Y43" s="17" t="n">
        <x:v>0</x:v>
      </x:c>
      <x:c r="Z43" s="14" t="str">
        <x:v>http://www.openphacts.org/units/Nanomolar</x:v>
      </x:c>
      <x:c r="AA43" s="14" t="str">
        <x:v>2796814</x:v>
      </x:c>
      <x:c r="AB43" s="14" t="str">
        <x:v>=</x:v>
      </x:c>
      <x:c r="AC43" s="14" t="str">
        <x:v>1</x:v>
      </x:c>
      <x:c r="AD43" s="17" t="n">
        <x:v>1</x:v>
      </x:c>
      <x:c r="AE43" s="14" t="str">
        <x:v>=</x:v>
      </x:c>
      <x:c r="AF43" s="14" t="str">
        <x:v>null</x:v>
      </x:c>
      <x:c r="AG43" s="14" t="str">
        <x:v>Ki</x:v>
      </x:c>
      <x:c r="AH43" s="14" t="str">
        <x:v>nM</x:v>
      </x:c>
      <x:c r="AI43" s="14" t="str">
        <x:v>null</x:v>
      </x:c>
      <x:c r="AJ43" s="15" t="n">
        <x:v>2187.76</x:v>
      </x:c>
      <x:c r="AK43" s="14" t="str">
        <x:v>CHEMBL217</x:v>
      </x:c>
      <x:c r="AL43" s="14" t="str">
        <x:v>Homo sapiens</x:v>
      </x:c>
      <x:c r="AM43" s="14" t="str">
        <x:v>D(2) dopamine receptor</x:v>
      </x:c>
      <x:c r="AN43" s="14" t="str">
        <x:v>9606</x:v>
      </x:c>
      <x:c r="AO43" s="14" t="str">
        <x:v>null</x:v>
      </x:c>
      <x:c r="AP43" s="14" t="str">
        <x:v>null</x:v>
      </x:c>
      <x:c r="AQ43" s="14" t="str">
        <x:v>pKi</x:v>
      </x:c>
      <x:c r="AR43" s="14" t="str">
        <x:v>null</x:v>
      </x:c>
      <x:c r="AS43" s="14" t="str">
        <x:v>UO_0000065</x:v>
      </x:c>
      <x:c r="AT43" s="14" t="str">
        <x:v>null</x:v>
      </x:c>
      <x:c r="AU43" s="14" t="str">
        <x:v>5.66</x:v>
      </x:c>
    </x:row>
    <x:row r="44" ht="51" customHeight="1">
      <x:c r="A44" s="9" t="str">
        <x:v>null</x:v>
      </x:c>
      <x:c r="B44" s="9" t="str">
        <x:v>null</x:v>
      </x:c>
      <x:c r="C44" s="9" t="str">
        <x:v>16670175</x:v>
      </x:c>
      <x:c r="D44" s="9" t="str">
        <x:v>[]</x:v>
      </x:c>
      <x:c r="E44" s="9" t="str">
        <x:v>CHEMBL3855278</x:v>
      </x:c>
      <x:c r="F44" s="9" t="str">
        <x:v>Displacement of [3H]-spiperone from human dopamine D2 receptor expressed in CHO-K1 cell membranes coexpressing Galpha16 after 120 mins by liquid scintillation counting</x:v>
      </x:c>
      <x:c r="G44" s="9" t="str">
        <x:v>B</x:v>
      </x:c>
      <x:c r="H44" s="9" t="str">
        <x:v>null</x:v>
      </x:c>
      <x:c r="I44" s="9" t="str">
        <x:v>null</x:v>
      </x:c>
      <x:c r="J44" s="9" t="str">
        <x:v>BAO_0000192</x:v>
      </x:c>
      <x:c r="K44" s="9" t="str">
        <x:v>BAO_0000219</x:v>
      </x:c>
      <x:c r="L44" s="9" t="str">
        <x:v>cell-based format</x:v>
      </x:c>
      <x:c r="M44" s="9" t="str">
        <x:v>Cc1ncoc1-c1nnc(SCCCN2CC[C@]3(C[C@@H]3c3ccc(F)cc3C(F)(F)F)C2)n1C</x:v>
      </x:c>
      <x:c r="N44" s="9" t="str">
        <x:v>null</x:v>
      </x:c>
      <x:c r="O44" s="9" t="str">
        <x:v>null</x:v>
      </x:c>
      <x:c r="P44" s="9" t="str">
        <x:v>CHEMBL3853329</x:v>
      </x:c>
      <x:c r="Q44" s="9" t="str">
        <x:v>J Med Chem</x:v>
      </x:c>
      <x:c r="R44" s="13" t="n">
        <x:v>2016</x:v>
      </x:c>
      <x:c r="S44" s="9" t="str">
        <x:v>{"bei":"10.94","le":"0.22","lle":"0.12","sei":"9.04"}</x:v>
      </x:c>
      <x:c r="T44" s="9" t="str">
        <x:v>null</x:v>
      </x:c>
      <x:c r="U44" s="9" t="str">
        <x:v>CHEMBL3945776</x:v>
      </x:c>
      <x:c r="V44" s="9" t="str">
        <x:v>null</x:v>
      </x:c>
      <x:c r="W44" s="9" t="str">
        <x:v>CHEMBL3945776</x:v>
      </x:c>
      <x:c r="X44" s="11" t="n">
        <x:v>5.42</x:v>
      </x:c>
      <x:c r="Y44" s="13" t="n">
        <x:v>0</x:v>
      </x:c>
      <x:c r="Z44" s="9" t="str">
        <x:v>http://www.openphacts.org/units/Nanomolar</x:v>
      </x:c>
      <x:c r="AA44" s="9" t="str">
        <x:v>2796815</x:v>
      </x:c>
      <x:c r="AB44" s="9" t="str">
        <x:v>=</x:v>
      </x:c>
      <x:c r="AC44" s="9" t="str">
        <x:v>1</x:v>
      </x:c>
      <x:c r="AD44" s="13" t="n">
        <x:v>1</x:v>
      </x:c>
      <x:c r="AE44" s="9" t="str">
        <x:v>=</x:v>
      </x:c>
      <x:c r="AF44" s="9" t="str">
        <x:v>null</x:v>
      </x:c>
      <x:c r="AG44" s="9" t="str">
        <x:v>Ki</x:v>
      </x:c>
      <x:c r="AH44" s="9" t="str">
        <x:v>nM</x:v>
      </x:c>
      <x:c r="AI44" s="9" t="str">
        <x:v>null</x:v>
      </x:c>
      <x:c r="AJ44" s="11" t="n">
        <x:v>3801.89</x:v>
      </x:c>
      <x:c r="AK44" s="9" t="str">
        <x:v>CHEMBL217</x:v>
      </x:c>
      <x:c r="AL44" s="9" t="str">
        <x:v>Homo sapiens</x:v>
      </x:c>
      <x:c r="AM44" s="9" t="str">
        <x:v>D(2) dopamine receptor</x:v>
      </x:c>
      <x:c r="AN44" s="9" t="str">
        <x:v>9606</x:v>
      </x:c>
      <x:c r="AO44" s="9" t="str">
        <x:v>null</x:v>
      </x:c>
      <x:c r="AP44" s="9" t="str">
        <x:v>null</x:v>
      </x:c>
      <x:c r="AQ44" s="9" t="str">
        <x:v>pKi</x:v>
      </x:c>
      <x:c r="AR44" s="9" t="str">
        <x:v>null</x:v>
      </x:c>
      <x:c r="AS44" s="9" t="str">
        <x:v>UO_0000065</x:v>
      </x:c>
      <x:c r="AT44" s="9" t="str">
        <x:v>null</x:v>
      </x:c>
      <x:c r="AU44" s="9" t="str">
        <x:v>5.42</x:v>
      </x:c>
    </x:row>
    <x:row r="45" ht="51" customHeight="1">
      <x:c r="A45" s="14" t="str">
        <x:v>null</x:v>
      </x:c>
      <x:c r="B45" s="14" t="str">
        <x:v>null</x:v>
      </x:c>
      <x:c r="C45" s="14" t="str">
        <x:v>16670176</x:v>
      </x:c>
      <x:c r="D45" s="14" t="str">
        <x:v>[]</x:v>
      </x:c>
      <x:c r="E45" s="14" t="str">
        <x:v>CHEMBL3855278</x:v>
      </x:c>
      <x:c r="F45" s="14" t="str">
        <x:v>Displacement of [3H]-spiperone from human dopamine D2 receptor expressed in CHO-K1 cell membranes coexpressing Galpha16 after 120 mins by liquid scintillation counting</x:v>
      </x:c>
      <x:c r="G45" s="14" t="str">
        <x:v>B</x:v>
      </x:c>
      <x:c r="H45" s="14" t="str">
        <x:v>null</x:v>
      </x:c>
      <x:c r="I45" s="14" t="str">
        <x:v>null</x:v>
      </x:c>
      <x:c r="J45" s="14" t="str">
        <x:v>BAO_0000192</x:v>
      </x:c>
      <x:c r="K45" s="14" t="str">
        <x:v>BAO_0000219</x:v>
      </x:c>
      <x:c r="L45" s="14" t="str">
        <x:v>cell-based format</x:v>
      </x:c>
      <x:c r="M45" s="14" t="str">
        <x:v>Cc1ncoc1-c1nnc(SCCCN2CC[C@@]3(C[C@H]3c3ccc(F)cc3C(F)(F)F)C2)n1C</x:v>
      </x:c>
      <x:c r="N45" s="14" t="str">
        <x:v>null</x:v>
      </x:c>
      <x:c r="O45" s="14" t="str">
        <x:v>null</x:v>
      </x:c>
      <x:c r="P45" s="14" t="str">
        <x:v>CHEMBL3853329</x:v>
      </x:c>
      <x:c r="Q45" s="14" t="str">
        <x:v>J Med Chem</x:v>
      </x:c>
      <x:c r="R45" s="17" t="n">
        <x:v>2016</x:v>
      </x:c>
      <x:c r="S45" s="14" t="str">
        <x:v>{"bei":"11.89","le":"0.24","lle":"0.59","sei":"9.82"}</x:v>
      </x:c>
      <x:c r="T45" s="14" t="str">
        <x:v>null</x:v>
      </x:c>
      <x:c r="U45" s="14" t="str">
        <x:v>CHEMBL3975147</x:v>
      </x:c>
      <x:c r="V45" s="14" t="str">
        <x:v>null</x:v>
      </x:c>
      <x:c r="W45" s="14" t="str">
        <x:v>CHEMBL3975147</x:v>
      </x:c>
      <x:c r="X45" s="15" t="n">
        <x:v>5.89</x:v>
      </x:c>
      <x:c r="Y45" s="17" t="n">
        <x:v>0</x:v>
      </x:c>
      <x:c r="Z45" s="14" t="str">
        <x:v>http://www.openphacts.org/units/Nanomolar</x:v>
      </x:c>
      <x:c r="AA45" s="14" t="str">
        <x:v>2796816</x:v>
      </x:c>
      <x:c r="AB45" s="14" t="str">
        <x:v>=</x:v>
      </x:c>
      <x:c r="AC45" s="14" t="str">
        <x:v>1</x:v>
      </x:c>
      <x:c r="AD45" s="17" t="n">
        <x:v>1</x:v>
      </x:c>
      <x:c r="AE45" s="14" t="str">
        <x:v>=</x:v>
      </x:c>
      <x:c r="AF45" s="14" t="str">
        <x:v>null</x:v>
      </x:c>
      <x:c r="AG45" s="14" t="str">
        <x:v>Ki</x:v>
      </x:c>
      <x:c r="AH45" s="14" t="str">
        <x:v>nM</x:v>
      </x:c>
      <x:c r="AI45" s="14" t="str">
        <x:v>null</x:v>
      </x:c>
      <x:c r="AJ45" s="15" t="n">
        <x:v>1288.25</x:v>
      </x:c>
      <x:c r="AK45" s="14" t="str">
        <x:v>CHEMBL217</x:v>
      </x:c>
      <x:c r="AL45" s="14" t="str">
        <x:v>Homo sapiens</x:v>
      </x:c>
      <x:c r="AM45" s="14" t="str">
        <x:v>D(2) dopamine receptor</x:v>
      </x:c>
      <x:c r="AN45" s="14" t="str">
        <x:v>9606</x:v>
      </x:c>
      <x:c r="AO45" s="14" t="str">
        <x:v>null</x:v>
      </x:c>
      <x:c r="AP45" s="14" t="str">
        <x:v>null</x:v>
      </x:c>
      <x:c r="AQ45" s="14" t="str">
        <x:v>pKi</x:v>
      </x:c>
      <x:c r="AR45" s="14" t="str">
        <x:v>null</x:v>
      </x:c>
      <x:c r="AS45" s="14" t="str">
        <x:v>UO_0000065</x:v>
      </x:c>
      <x:c r="AT45" s="14" t="str">
        <x:v>null</x:v>
      </x:c>
      <x:c r="AU45" s="14" t="str">
        <x:v>5.89</x:v>
      </x:c>
    </x:row>
    <x:row r="46" ht="51" customHeight="1">
      <x:c r="A46" s="9" t="str">
        <x:v>null</x:v>
      </x:c>
      <x:c r="B46" s="9" t="str">
        <x:v>null</x:v>
      </x:c>
      <x:c r="C46" s="9" t="str">
        <x:v>16670177</x:v>
      </x:c>
      <x:c r="D46" s="9" t="str">
        <x:v>[]</x:v>
      </x:c>
      <x:c r="E46" s="9" t="str">
        <x:v>CHEMBL3855278</x:v>
      </x:c>
      <x:c r="F46" s="9" t="str">
        <x:v>Displacement of [3H]-spiperone from human dopamine D2 receptor expressed in CHO-K1 cell membranes coexpressing Galpha16 after 120 mins by liquid scintillation counting</x:v>
      </x:c>
      <x:c r="G46" s="9" t="str">
        <x:v>B</x:v>
      </x:c>
      <x:c r="H46" s="9" t="str">
        <x:v>null</x:v>
      </x:c>
      <x:c r="I46" s="9" t="str">
        <x:v>null</x:v>
      </x:c>
      <x:c r="J46" s="9" t="str">
        <x:v>BAO_0000192</x:v>
      </x:c>
      <x:c r="K46" s="9" t="str">
        <x:v>BAO_0000219</x:v>
      </x:c>
      <x:c r="L46" s="9" t="str">
        <x:v>cell-based format</x:v>
      </x:c>
      <x:c r="M46" s="9" t="str">
        <x:v>Cc1ncoc1-c1nnc(SCC(O)CN2CC[C@@]3(C[C@H]3c3ccc(C(F)(F)F)cc3)C2)n1C</x:v>
      </x:c>
      <x:c r="N46" s="9" t="str">
        <x:v>null</x:v>
      </x:c>
      <x:c r="O46" s="9" t="str">
        <x:v>null</x:v>
      </x:c>
      <x:c r="P46" s="9" t="str">
        <x:v>CHEMBL3853329</x:v>
      </x:c>
      <x:c r="Q46" s="9" t="str">
        <x:v>J Med Chem</x:v>
      </x:c>
      <x:c r="R46" s="13" t="n">
        <x:v>2016</x:v>
      </x:c>
      <x:c r="S46" s="9" t="str">
        <x:v>{"bei":"11.67","le":"0.23","lle":"1.63","sei":"7.18"}</x:v>
      </x:c>
      <x:c r="T46" s="9" t="str">
        <x:v>null</x:v>
      </x:c>
      <x:c r="U46" s="9" t="str">
        <x:v>CHEMBL3954490</x:v>
      </x:c>
      <x:c r="V46" s="9" t="str">
        <x:v>null</x:v>
      </x:c>
      <x:c r="W46" s="9" t="str">
        <x:v>CHEMBL3954490</x:v>
      </x:c>
      <x:c r="X46" s="11" t="n">
        <x:v>5.76</x:v>
      </x:c>
      <x:c r="Y46" s="13" t="n">
        <x:v>0</x:v>
      </x:c>
      <x:c r="Z46" s="9" t="str">
        <x:v>http://www.openphacts.org/units/Nanomolar</x:v>
      </x:c>
      <x:c r="AA46" s="9" t="str">
        <x:v>2796817</x:v>
      </x:c>
      <x:c r="AB46" s="9" t="str">
        <x:v>=</x:v>
      </x:c>
      <x:c r="AC46" s="9" t="str">
        <x:v>1</x:v>
      </x:c>
      <x:c r="AD46" s="13" t="n">
        <x:v>1</x:v>
      </x:c>
      <x:c r="AE46" s="9" t="str">
        <x:v>=</x:v>
      </x:c>
      <x:c r="AF46" s="9" t="str">
        <x:v>null</x:v>
      </x:c>
      <x:c r="AG46" s="9" t="str">
        <x:v>Ki</x:v>
      </x:c>
      <x:c r="AH46" s="9" t="str">
        <x:v>nM</x:v>
      </x:c>
      <x:c r="AI46" s="9" t="str">
        <x:v>null</x:v>
      </x:c>
      <x:c r="AJ46" s="11" t="n">
        <x:v>1737.8</x:v>
      </x:c>
      <x:c r="AK46" s="9" t="str">
        <x:v>CHEMBL217</x:v>
      </x:c>
      <x:c r="AL46" s="9" t="str">
        <x:v>Homo sapiens</x:v>
      </x:c>
      <x:c r="AM46" s="9" t="str">
        <x:v>D(2) dopamine receptor</x:v>
      </x:c>
      <x:c r="AN46" s="9" t="str">
        <x:v>9606</x:v>
      </x:c>
      <x:c r="AO46" s="9" t="str">
        <x:v>null</x:v>
      </x:c>
      <x:c r="AP46" s="9" t="str">
        <x:v>null</x:v>
      </x:c>
      <x:c r="AQ46" s="9" t="str">
        <x:v>pKi</x:v>
      </x:c>
      <x:c r="AR46" s="9" t="str">
        <x:v>null</x:v>
      </x:c>
      <x:c r="AS46" s="9" t="str">
        <x:v>UO_0000065</x:v>
      </x:c>
      <x:c r="AT46" s="9" t="str">
        <x:v>null</x:v>
      </x:c>
      <x:c r="AU46" s="9" t="str">
        <x:v>5.76</x:v>
      </x:c>
    </x:row>
    <x:row r="47" ht="51" customHeight="1">
      <x:c r="A47" s="14" t="str">
        <x:v>null</x:v>
      </x:c>
      <x:c r="B47" s="14" t="str">
        <x:v>null</x:v>
      </x:c>
      <x:c r="C47" s="14" t="str">
        <x:v>16670178</x:v>
      </x:c>
      <x:c r="D47" s="14" t="str">
        <x:v>[]</x:v>
      </x:c>
      <x:c r="E47" s="14" t="str">
        <x:v>CHEMBL3855278</x:v>
      </x:c>
      <x:c r="F47" s="14" t="str">
        <x:v>Displacement of [3H]-spiperone from human dopamine D2 receptor expressed in CHO-K1 cell membranes coexpressing Galpha16 after 120 mins by liquid scintillation counting</x:v>
      </x:c>
      <x:c r="G47" s="14" t="str">
        <x:v>B</x:v>
      </x:c>
      <x:c r="H47" s="14" t="str">
        <x:v>null</x:v>
      </x:c>
      <x:c r="I47" s="14" t="str">
        <x:v>null</x:v>
      </x:c>
      <x:c r="J47" s="14" t="str">
        <x:v>BAO_0000192</x:v>
      </x:c>
      <x:c r="K47" s="14" t="str">
        <x:v>BAO_0000219</x:v>
      </x:c>
      <x:c r="L47" s="14" t="str">
        <x:v>cell-based format</x:v>
      </x:c>
      <x:c r="M47" s="14" t="str">
        <x:v>Cc1ncoc1-c1nnc(SCCCN2CC[C@]3(C[C@H]3c3cc(Cl)cc(Cl)c3)C2)n1C</x:v>
      </x:c>
      <x:c r="N47" s="14" t="str">
        <x:v>null</x:v>
      </x:c>
      <x:c r="O47" s="14" t="str">
        <x:v>null</x:v>
      </x:c>
      <x:c r="P47" s="14" t="str">
        <x:v>CHEMBL3853329</x:v>
      </x:c>
      <x:c r="Q47" s="14" t="str">
        <x:v>J Med Chem</x:v>
      </x:c>
      <x:c r="R47" s="17" t="n">
        <x:v>2016</x:v>
      </x:c>
      <x:c r="S47" s="14" t="str">
        <x:v>{"bei":"15.01","le":"0.32","lle":"1.73","sei":"11.97"}</x:v>
      </x:c>
      <x:c r="T47" s="14" t="str">
        <x:v>null</x:v>
      </x:c>
      <x:c r="U47" s="14" t="str">
        <x:v>CHEMBL3983121</x:v>
      </x:c>
      <x:c r="V47" s="14" t="str">
        <x:v>null</x:v>
      </x:c>
      <x:c r="W47" s="14" t="str">
        <x:v>CHEMBL3983121</x:v>
      </x:c>
      <x:c r="X47" s="15" t="n">
        <x:v>7.18</x:v>
      </x:c>
      <x:c r="Y47" s="17" t="n">
        <x:v>0</x:v>
      </x:c>
      <x:c r="Z47" s="14" t="str">
        <x:v>http://www.openphacts.org/units/Nanomolar</x:v>
      </x:c>
      <x:c r="AA47" s="14" t="str">
        <x:v>2796818</x:v>
      </x:c>
      <x:c r="AB47" s="14" t="str">
        <x:v>=</x:v>
      </x:c>
      <x:c r="AC47" s="14" t="str">
        <x:v>1</x:v>
      </x:c>
      <x:c r="AD47" s="17" t="n">
        <x:v>1</x:v>
      </x:c>
      <x:c r="AE47" s="14" t="str">
        <x:v>=</x:v>
      </x:c>
      <x:c r="AF47" s="14" t="str">
        <x:v>null</x:v>
      </x:c>
      <x:c r="AG47" s="14" t="str">
        <x:v>Ki</x:v>
      </x:c>
      <x:c r="AH47" s="14" t="str">
        <x:v>nM</x:v>
      </x:c>
      <x:c r="AI47" s="14" t="str">
        <x:v>null</x:v>
      </x:c>
      <x:c r="AJ47" s="15" t="n">
        <x:v>66.07</x:v>
      </x:c>
      <x:c r="AK47" s="14" t="str">
        <x:v>CHEMBL217</x:v>
      </x:c>
      <x:c r="AL47" s="14" t="str">
        <x:v>Homo sapiens</x:v>
      </x:c>
      <x:c r="AM47" s="14" t="str">
        <x:v>D(2) dopamine receptor</x:v>
      </x:c>
      <x:c r="AN47" s="14" t="str">
        <x:v>9606</x:v>
      </x:c>
      <x:c r="AO47" s="14" t="str">
        <x:v>null</x:v>
      </x:c>
      <x:c r="AP47" s="14" t="str">
        <x:v>null</x:v>
      </x:c>
      <x:c r="AQ47" s="14" t="str">
        <x:v>pKi</x:v>
      </x:c>
      <x:c r="AR47" s="14" t="str">
        <x:v>null</x:v>
      </x:c>
      <x:c r="AS47" s="14" t="str">
        <x:v>UO_0000065</x:v>
      </x:c>
      <x:c r="AT47" s="14" t="str">
        <x:v>null</x:v>
      </x:c>
      <x:c r="AU47" s="14" t="str">
        <x:v>7.18</x:v>
      </x:c>
    </x:row>
    <x:row r="48" ht="51" customHeight="1">
      <x:c r="A48" s="9" t="str">
        <x:v>null</x:v>
      </x:c>
      <x:c r="B48" s="9" t="str">
        <x:v>null</x:v>
      </x:c>
      <x:c r="C48" s="9" t="str">
        <x:v>16670179</x:v>
      </x:c>
      <x:c r="D48" s="9" t="str">
        <x:v>[]</x:v>
      </x:c>
      <x:c r="E48" s="9" t="str">
        <x:v>CHEMBL3855278</x:v>
      </x:c>
      <x:c r="F48" s="9" t="str">
        <x:v>Displacement of [3H]-spiperone from human dopamine D2 receptor expressed in CHO-K1 cell membranes coexpressing Galpha16 after 120 mins by liquid scintillation counting</x:v>
      </x:c>
      <x:c r="G48" s="9" t="str">
        <x:v>B</x:v>
      </x:c>
      <x:c r="H48" s="9" t="str">
        <x:v>null</x:v>
      </x:c>
      <x:c r="I48" s="9" t="str">
        <x:v>null</x:v>
      </x:c>
      <x:c r="J48" s="9" t="str">
        <x:v>BAO_0000192</x:v>
      </x:c>
      <x:c r="K48" s="9" t="str">
        <x:v>BAO_0000219</x:v>
      </x:c>
      <x:c r="L48" s="9" t="str">
        <x:v>cell-based format</x:v>
      </x:c>
      <x:c r="M48" s="9" t="str">
        <x:v>Cc1ncoc1-c1nnc(SCCCN2CC[C@]3(C[C@@H]3c3cc(Cl)cc(Cl)c3)C2)n1C</x:v>
      </x:c>
      <x:c r="N48" s="9" t="str">
        <x:v>null</x:v>
      </x:c>
      <x:c r="O48" s="9" t="str">
        <x:v>null</x:v>
      </x:c>
      <x:c r="P48" s="9" t="str">
        <x:v>CHEMBL3853329</x:v>
      </x:c>
      <x:c r="Q48" s="9" t="str">
        <x:v>J Med Chem</x:v>
      </x:c>
      <x:c r="R48" s="13" t="n">
        <x:v>2016</x:v>
      </x:c>
      <x:c r="S48" s="9" t="str">
        <x:v>{"bei":"15.07","le":"0.32","lle":"1.76","sei":"12.02"}</x:v>
      </x:c>
      <x:c r="T48" s="9" t="str">
        <x:v>null</x:v>
      </x:c>
      <x:c r="U48" s="9" t="str">
        <x:v>CHEMBL3899336</x:v>
      </x:c>
      <x:c r="V48" s="9" t="str">
        <x:v>null</x:v>
      </x:c>
      <x:c r="W48" s="9" t="str">
        <x:v>CHEMBL3899336</x:v>
      </x:c>
      <x:c r="X48" s="11" t="n">
        <x:v>7.21</x:v>
      </x:c>
      <x:c r="Y48" s="13" t="n">
        <x:v>0</x:v>
      </x:c>
      <x:c r="Z48" s="9" t="str">
        <x:v>http://www.openphacts.org/units/Nanomolar</x:v>
      </x:c>
      <x:c r="AA48" s="9" t="str">
        <x:v>2796819</x:v>
      </x:c>
      <x:c r="AB48" s="9" t="str">
        <x:v>=</x:v>
      </x:c>
      <x:c r="AC48" s="9" t="str">
        <x:v>1</x:v>
      </x:c>
      <x:c r="AD48" s="13" t="n">
        <x:v>1</x:v>
      </x:c>
      <x:c r="AE48" s="9" t="str">
        <x:v>=</x:v>
      </x:c>
      <x:c r="AF48" s="9" t="str">
        <x:v>null</x:v>
      </x:c>
      <x:c r="AG48" s="9" t="str">
        <x:v>Ki</x:v>
      </x:c>
      <x:c r="AH48" s="9" t="str">
        <x:v>nM</x:v>
      </x:c>
      <x:c r="AI48" s="9" t="str">
        <x:v>null</x:v>
      </x:c>
      <x:c r="AJ48" s="11" t="n">
        <x:v>61.66</x:v>
      </x:c>
      <x:c r="AK48" s="9" t="str">
        <x:v>CHEMBL217</x:v>
      </x:c>
      <x:c r="AL48" s="9" t="str">
        <x:v>Homo sapiens</x:v>
      </x:c>
      <x:c r="AM48" s="9" t="str">
        <x:v>D(2) dopamine receptor</x:v>
      </x:c>
      <x:c r="AN48" s="9" t="str">
        <x:v>9606</x:v>
      </x:c>
      <x:c r="AO48" s="9" t="str">
        <x:v>null</x:v>
      </x:c>
      <x:c r="AP48" s="9" t="str">
        <x:v>null</x:v>
      </x:c>
      <x:c r="AQ48" s="9" t="str">
        <x:v>pKi</x:v>
      </x:c>
      <x:c r="AR48" s="9" t="str">
        <x:v>null</x:v>
      </x:c>
      <x:c r="AS48" s="9" t="str">
        <x:v>UO_0000065</x:v>
      </x:c>
      <x:c r="AT48" s="9" t="str">
        <x:v>null</x:v>
      </x:c>
      <x:c r="AU48" s="9" t="str">
        <x:v>7.21</x:v>
      </x:c>
    </x:row>
    <x:row r="49" ht="51" customHeight="1">
      <x:c r="A49" s="14" t="str">
        <x:v>null</x:v>
      </x:c>
      <x:c r="B49" s="14" t="str">
        <x:v>null</x:v>
      </x:c>
      <x:c r="C49" s="14" t="str">
        <x:v>16670256</x:v>
      </x:c>
      <x:c r="D49" s="14" t="str">
        <x:v>[]</x:v>
      </x:c>
      <x:c r="E49" s="14" t="str">
        <x:v>CHEMBL3855278</x:v>
      </x:c>
      <x:c r="F49" s="14" t="str">
        <x:v>Displacement of [3H]-spiperone from human dopamine D2 receptor expressed in CHO-K1 cell membranes coexpressing Galpha16 after 120 mins by liquid scintillation counting</x:v>
      </x:c>
      <x:c r="G49" s="14" t="str">
        <x:v>B</x:v>
      </x:c>
      <x:c r="H49" s="14" t="str">
        <x:v>null</x:v>
      </x:c>
      <x:c r="I49" s="14" t="str">
        <x:v>null</x:v>
      </x:c>
      <x:c r="J49" s="14" t="str">
        <x:v>BAO_0000192</x:v>
      </x:c>
      <x:c r="K49" s="14" t="str">
        <x:v>BAO_0000219</x:v>
      </x:c>
      <x:c r="L49" s="14" t="str">
        <x:v>cell-based format</x:v>
      </x:c>
      <x:c r="M49" s="14" t="str">
        <x:v>Cc1ncsc1-c1nnc(SCCCN2CC[C@]3(C[C@H]3c3ccc(C(F)(F)F)cc3)C2)n1C</x:v>
      </x:c>
      <x:c r="N49" s="14" t="str">
        <x:v>null</x:v>
      </x:c>
      <x:c r="O49" s="14" t="str">
        <x:v>null</x:v>
      </x:c>
      <x:c r="P49" s="14" t="str">
        <x:v>CHEMBL3853329</x:v>
      </x:c>
      <x:c r="Q49" s="14" t="str">
        <x:v>J Med Chem</x:v>
      </x:c>
      <x:c r="R49" s="17" t="n">
        <x:v>2016</x:v>
      </x:c>
      <x:c r="S49" s="14" t="str">
        <x:v>{"bei":"11.97","le":"0.24","lle":"0.28","sei":"12.62"}</x:v>
      </x:c>
      <x:c r="T49" s="14" t="str">
        <x:v>null</x:v>
      </x:c>
      <x:c r="U49" s="14" t="str">
        <x:v>CHEMBL3894257</x:v>
      </x:c>
      <x:c r="V49" s="14" t="str">
        <x:v>null</x:v>
      </x:c>
      <x:c r="W49" s="14" t="str">
        <x:v>CHEMBL3894257</x:v>
      </x:c>
      <x:c r="X49" s="15" t="n">
        <x:v>5.91</x:v>
      </x:c>
      <x:c r="Y49" s="17" t="n">
        <x:v>0</x:v>
      </x:c>
      <x:c r="Z49" s="14" t="str">
        <x:v>http://www.openphacts.org/units/Nanomolar</x:v>
      </x:c>
      <x:c r="AA49" s="14" t="str">
        <x:v>2796820</x:v>
      </x:c>
      <x:c r="AB49" s="14" t="str">
        <x:v>=</x:v>
      </x:c>
      <x:c r="AC49" s="14" t="str">
        <x:v>1</x:v>
      </x:c>
      <x:c r="AD49" s="17" t="n">
        <x:v>1</x:v>
      </x:c>
      <x:c r="AE49" s="14" t="str">
        <x:v>=</x:v>
      </x:c>
      <x:c r="AF49" s="14" t="str">
        <x:v>null</x:v>
      </x:c>
      <x:c r="AG49" s="14" t="str">
        <x:v>Ki</x:v>
      </x:c>
      <x:c r="AH49" s="14" t="str">
        <x:v>nM</x:v>
      </x:c>
      <x:c r="AI49" s="14" t="str">
        <x:v>null</x:v>
      </x:c>
      <x:c r="AJ49" s="15" t="n">
        <x:v>1230.27</x:v>
      </x:c>
      <x:c r="AK49" s="14" t="str">
        <x:v>CHEMBL217</x:v>
      </x:c>
      <x:c r="AL49" s="14" t="str">
        <x:v>Homo sapiens</x:v>
      </x:c>
      <x:c r="AM49" s="14" t="str">
        <x:v>D(2) dopamine receptor</x:v>
      </x:c>
      <x:c r="AN49" s="14" t="str">
        <x:v>9606</x:v>
      </x:c>
      <x:c r="AO49" s="14" t="str">
        <x:v>null</x:v>
      </x:c>
      <x:c r="AP49" s="14" t="str">
        <x:v>null</x:v>
      </x:c>
      <x:c r="AQ49" s="14" t="str">
        <x:v>pKi</x:v>
      </x:c>
      <x:c r="AR49" s="14" t="str">
        <x:v>null</x:v>
      </x:c>
      <x:c r="AS49" s="14" t="str">
        <x:v>UO_0000065</x:v>
      </x:c>
      <x:c r="AT49" s="14" t="str">
        <x:v>null</x:v>
      </x:c>
      <x:c r="AU49" s="14" t="str">
        <x:v>5.91</x:v>
      </x:c>
    </x:row>
    <x:row r="50" ht="51" customHeight="1">
      <x:c r="A50" s="9" t="str">
        <x:v>null</x:v>
      </x:c>
      <x:c r="B50" s="9" t="str">
        <x:v>null</x:v>
      </x:c>
      <x:c r="C50" s="9" t="str">
        <x:v>16670257</x:v>
      </x:c>
      <x:c r="D50" s="9" t="str">
        <x:v>[]</x:v>
      </x:c>
      <x:c r="E50" s="9" t="str">
        <x:v>CHEMBL3855278</x:v>
      </x:c>
      <x:c r="F50" s="9" t="str">
        <x:v>Displacement of [3H]-spiperone from human dopamine D2 receptor expressed in CHO-K1 cell membranes coexpressing Galpha16 after 120 mins by liquid scintillation counting</x:v>
      </x:c>
      <x:c r="G50" s="9" t="str">
        <x:v>B</x:v>
      </x:c>
      <x:c r="H50" s="9" t="str">
        <x:v>null</x:v>
      </x:c>
      <x:c r="I50" s="9" t="str">
        <x:v>null</x:v>
      </x:c>
      <x:c r="J50" s="9" t="str">
        <x:v>BAO_0000192</x:v>
      </x:c>
      <x:c r="K50" s="9" t="str">
        <x:v>BAO_0000219</x:v>
      </x:c>
      <x:c r="L50" s="9" t="str">
        <x:v>cell-based format</x:v>
      </x:c>
      <x:c r="M50" s="9" t="str">
        <x:v>Cc1ncsc1-c1nnc(SCCCN2CC[C@]3(C[C@@H]3c3ccc(C(F)(F)F)cc3)C2)n1C</x:v>
      </x:c>
      <x:c r="N50" s="9" t="str">
        <x:v>null</x:v>
      </x:c>
      <x:c r="O50" s="9" t="str">
        <x:v>null</x:v>
      </x:c>
      <x:c r="P50" s="9" t="str">
        <x:v>CHEMBL3853329</x:v>
      </x:c>
      <x:c r="Q50" s="9" t="str">
        <x:v>J Med Chem</x:v>
      </x:c>
      <x:c r="R50" s="13" t="n">
        <x:v>2016</x:v>
      </x:c>
      <x:c r="S50" s="9" t="str">
        <x:v>{"bei":"11.73","le":"0.24","lle":"0.16","sei":"12.36"}</x:v>
      </x:c>
      <x:c r="T50" s="9" t="str">
        <x:v>null</x:v>
      </x:c>
      <x:c r="U50" s="9" t="str">
        <x:v>CHEMBL3923578</x:v>
      </x:c>
      <x:c r="V50" s="9" t="str">
        <x:v>null</x:v>
      </x:c>
      <x:c r="W50" s="9" t="str">
        <x:v>CHEMBL3923578</x:v>
      </x:c>
      <x:c r="X50" s="11" t="n">
        <x:v>5.79</x:v>
      </x:c>
      <x:c r="Y50" s="13" t="n">
        <x:v>0</x:v>
      </x:c>
      <x:c r="Z50" s="9" t="str">
        <x:v>http://www.openphacts.org/units/Nanomolar</x:v>
      </x:c>
      <x:c r="AA50" s="9" t="str">
        <x:v>2796821</x:v>
      </x:c>
      <x:c r="AB50" s="9" t="str">
        <x:v>=</x:v>
      </x:c>
      <x:c r="AC50" s="9" t="str">
        <x:v>1</x:v>
      </x:c>
      <x:c r="AD50" s="13" t="n">
        <x:v>1</x:v>
      </x:c>
      <x:c r="AE50" s="9" t="str">
        <x:v>=</x:v>
      </x:c>
      <x:c r="AF50" s="9" t="str">
        <x:v>null</x:v>
      </x:c>
      <x:c r="AG50" s="9" t="str">
        <x:v>Ki</x:v>
      </x:c>
      <x:c r="AH50" s="9" t="str">
        <x:v>nM</x:v>
      </x:c>
      <x:c r="AI50" s="9" t="str">
        <x:v>null</x:v>
      </x:c>
      <x:c r="AJ50" s="11" t="n">
        <x:v>1621.81</x:v>
      </x:c>
      <x:c r="AK50" s="9" t="str">
        <x:v>CHEMBL217</x:v>
      </x:c>
      <x:c r="AL50" s="9" t="str">
        <x:v>Homo sapiens</x:v>
      </x:c>
      <x:c r="AM50" s="9" t="str">
        <x:v>D(2) dopamine receptor</x:v>
      </x:c>
      <x:c r="AN50" s="9" t="str">
        <x:v>9606</x:v>
      </x:c>
      <x:c r="AO50" s="9" t="str">
        <x:v>null</x:v>
      </x:c>
      <x:c r="AP50" s="9" t="str">
        <x:v>null</x:v>
      </x:c>
      <x:c r="AQ50" s="9" t="str">
        <x:v>pKi</x:v>
      </x:c>
      <x:c r="AR50" s="9" t="str">
        <x:v>null</x:v>
      </x:c>
      <x:c r="AS50" s="9" t="str">
        <x:v>UO_0000065</x:v>
      </x:c>
      <x:c r="AT50" s="9" t="str">
        <x:v>null</x:v>
      </x:c>
      <x:c r="AU50" s="9" t="str">
        <x:v>5.79</x:v>
      </x:c>
    </x:row>
    <x:row r="51" ht="51" customHeight="1">
      <x:c r="A51" s="14" t="str">
        <x:v>null</x:v>
      </x:c>
      <x:c r="B51" s="14" t="str">
        <x:v>null</x:v>
      </x:c>
      <x:c r="C51" s="14" t="str">
        <x:v>16670258</x:v>
      </x:c>
      <x:c r="D51" s="14" t="str">
        <x:v>[]</x:v>
      </x:c>
      <x:c r="E51" s="14" t="str">
        <x:v>CHEMBL3855278</x:v>
      </x:c>
      <x:c r="F51" s="14" t="str">
        <x:v>Displacement of [3H]-spiperone from human dopamine D2 receptor expressed in CHO-K1 cell membranes coexpressing Galpha16 after 120 mins by liquid scintillation counting</x:v>
      </x:c>
      <x:c r="G51" s="14" t="str">
        <x:v>B</x:v>
      </x:c>
      <x:c r="H51" s="14" t="str">
        <x:v>null</x:v>
      </x:c>
      <x:c r="I51" s="14" t="str">
        <x:v>null</x:v>
      </x:c>
      <x:c r="J51" s="14" t="str">
        <x:v>BAO_0000192</x:v>
      </x:c>
      <x:c r="K51" s="14" t="str">
        <x:v>BAO_0000219</x:v>
      </x:c>
      <x:c r="L51" s="14" t="str">
        <x:v>cell-based format</x:v>
      </x:c>
      <x:c r="M51" s="14" t="str">
        <x:v>Cn1c(SCCCN2CC[C@]3(C[C@H]3c3ccc(C(F)(F)F)cc3)C2)nnc1-c1nccs1</x:v>
      </x:c>
      <x:c r="N51" s="14" t="str">
        <x:v>null</x:v>
      </x:c>
      <x:c r="O51" s="14" t="str">
        <x:v>null</x:v>
      </x:c>
      <x:c r="P51" s="14" t="str">
        <x:v>CHEMBL3853329</x:v>
      </x:c>
      <x:c r="Q51" s="14" t="str">
        <x:v>J Med Chem</x:v>
      </x:c>
      <x:c r="R51" s="17" t="n">
        <x:v>2016</x:v>
      </x:c>
      <x:c r="S51" s="14" t="str">
        <x:v>{"bei":"13.20","le":"0.27","lle":"1.01","sei":"13.51"}</x:v>
      </x:c>
      <x:c r="T51" s="14" t="str">
        <x:v>null</x:v>
      </x:c>
      <x:c r="U51" s="14" t="str">
        <x:v>CHEMBL3895585</x:v>
      </x:c>
      <x:c r="V51" s="14" t="str">
        <x:v>null</x:v>
      </x:c>
      <x:c r="W51" s="14" t="str">
        <x:v>CHEMBL3895585</x:v>
      </x:c>
      <x:c r="X51" s="15" t="n">
        <x:v>6.33</x:v>
      </x:c>
      <x:c r="Y51" s="17" t="n">
        <x:v>0</x:v>
      </x:c>
      <x:c r="Z51" s="14" t="str">
        <x:v>http://www.openphacts.org/units/Nanomolar</x:v>
      </x:c>
      <x:c r="AA51" s="14" t="str">
        <x:v>2796822</x:v>
      </x:c>
      <x:c r="AB51" s="14" t="str">
        <x:v>=</x:v>
      </x:c>
      <x:c r="AC51" s="14" t="str">
        <x:v>1</x:v>
      </x:c>
      <x:c r="AD51" s="17" t="n">
        <x:v>1</x:v>
      </x:c>
      <x:c r="AE51" s="14" t="str">
        <x:v>=</x:v>
      </x:c>
      <x:c r="AF51" s="14" t="str">
        <x:v>null</x:v>
      </x:c>
      <x:c r="AG51" s="14" t="str">
        <x:v>Ki</x:v>
      </x:c>
      <x:c r="AH51" s="14" t="str">
        <x:v>nM</x:v>
      </x:c>
      <x:c r="AI51" s="14" t="str">
        <x:v>null</x:v>
      </x:c>
      <x:c r="AJ51" s="15" t="n">
        <x:v>467.74</x:v>
      </x:c>
      <x:c r="AK51" s="14" t="str">
        <x:v>CHEMBL217</x:v>
      </x:c>
      <x:c r="AL51" s="14" t="str">
        <x:v>Homo sapiens</x:v>
      </x:c>
      <x:c r="AM51" s="14" t="str">
        <x:v>D(2) dopamine receptor</x:v>
      </x:c>
      <x:c r="AN51" s="14" t="str">
        <x:v>9606</x:v>
      </x:c>
      <x:c r="AO51" s="14" t="str">
        <x:v>null</x:v>
      </x:c>
      <x:c r="AP51" s="14" t="str">
        <x:v>null</x:v>
      </x:c>
      <x:c r="AQ51" s="14" t="str">
        <x:v>pKi</x:v>
      </x:c>
      <x:c r="AR51" s="14" t="str">
        <x:v>null</x:v>
      </x:c>
      <x:c r="AS51" s="14" t="str">
        <x:v>UO_0000065</x:v>
      </x:c>
      <x:c r="AT51" s="14" t="str">
        <x:v>null</x:v>
      </x:c>
      <x:c r="AU51" s="14" t="str">
        <x:v>6.33</x:v>
      </x:c>
    </x:row>
    <x:row r="52" ht="51" customHeight="1">
      <x:c r="A52" s="9" t="str">
        <x:v>null</x:v>
      </x:c>
      <x:c r="B52" s="9" t="str">
        <x:v>null</x:v>
      </x:c>
      <x:c r="C52" s="9" t="str">
        <x:v>16670259</x:v>
      </x:c>
      <x:c r="D52" s="9" t="str">
        <x:v>[]</x:v>
      </x:c>
      <x:c r="E52" s="9" t="str">
        <x:v>CHEMBL3855278</x:v>
      </x:c>
      <x:c r="F52" s="9" t="str">
        <x:v>Displacement of [3H]-spiperone from human dopamine D2 receptor expressed in CHO-K1 cell membranes coexpressing Galpha16 after 120 mins by liquid scintillation counting</x:v>
      </x:c>
      <x:c r="G52" s="9" t="str">
        <x:v>B</x:v>
      </x:c>
      <x:c r="H52" s="9" t="str">
        <x:v>null</x:v>
      </x:c>
      <x:c r="I52" s="9" t="str">
        <x:v>null</x:v>
      </x:c>
      <x:c r="J52" s="9" t="str">
        <x:v>BAO_0000192</x:v>
      </x:c>
      <x:c r="K52" s="9" t="str">
        <x:v>BAO_0000219</x:v>
      </x:c>
      <x:c r="L52" s="9" t="str">
        <x:v>cell-based format</x:v>
      </x:c>
      <x:c r="M52" s="9" t="str">
        <x:v>Cn1c(SCCCN2CC[C@]3(C[C@@H]3c3ccc(C(F)(F)F)cc3)C2)nnc1-c1nccs1</x:v>
      </x:c>
      <x:c r="N52" s="9" t="str">
        <x:v>null</x:v>
      </x:c>
      <x:c r="O52" s="9" t="str">
        <x:v>null</x:v>
      </x:c>
      <x:c r="P52" s="9" t="str">
        <x:v>CHEMBL3853329</x:v>
      </x:c>
      <x:c r="Q52" s="9" t="str">
        <x:v>J Med Chem</x:v>
      </x:c>
      <x:c r="R52" s="13" t="n">
        <x:v>2016</x:v>
      </x:c>
      <x:c r="S52" s="9" t="str">
        <x:v>{"bei":"13.28","le":"0.27","lle":"1.05","sei":"13.60"}</x:v>
      </x:c>
      <x:c r="T52" s="9" t="str">
        <x:v>null</x:v>
      </x:c>
      <x:c r="U52" s="9" t="str">
        <x:v>CHEMBL3914556</x:v>
      </x:c>
      <x:c r="V52" s="9" t="str">
        <x:v>null</x:v>
      </x:c>
      <x:c r="W52" s="9" t="str">
        <x:v>CHEMBL3914556</x:v>
      </x:c>
      <x:c r="X52" s="11" t="n">
        <x:v>6.37</x:v>
      </x:c>
      <x:c r="Y52" s="13" t="n">
        <x:v>0</x:v>
      </x:c>
      <x:c r="Z52" s="9" t="str">
        <x:v>http://www.openphacts.org/units/Nanomolar</x:v>
      </x:c>
      <x:c r="AA52" s="9" t="str">
        <x:v>2796823</x:v>
      </x:c>
      <x:c r="AB52" s="9" t="str">
        <x:v>=</x:v>
      </x:c>
      <x:c r="AC52" s="9" t="str">
        <x:v>1</x:v>
      </x:c>
      <x:c r="AD52" s="13" t="n">
        <x:v>1</x:v>
      </x:c>
      <x:c r="AE52" s="9" t="str">
        <x:v>=</x:v>
      </x:c>
      <x:c r="AF52" s="9" t="str">
        <x:v>null</x:v>
      </x:c>
      <x:c r="AG52" s="9" t="str">
        <x:v>Ki</x:v>
      </x:c>
      <x:c r="AH52" s="9" t="str">
        <x:v>nM</x:v>
      </x:c>
      <x:c r="AI52" s="9" t="str">
        <x:v>null</x:v>
      </x:c>
      <x:c r="AJ52" s="11" t="n">
        <x:v>426.58</x:v>
      </x:c>
      <x:c r="AK52" s="9" t="str">
        <x:v>CHEMBL217</x:v>
      </x:c>
      <x:c r="AL52" s="9" t="str">
        <x:v>Homo sapiens</x:v>
      </x:c>
      <x:c r="AM52" s="9" t="str">
        <x:v>D(2) dopamine receptor</x:v>
      </x:c>
      <x:c r="AN52" s="9" t="str">
        <x:v>9606</x:v>
      </x:c>
      <x:c r="AO52" s="9" t="str">
        <x:v>null</x:v>
      </x:c>
      <x:c r="AP52" s="9" t="str">
        <x:v>null</x:v>
      </x:c>
      <x:c r="AQ52" s="9" t="str">
        <x:v>pKi</x:v>
      </x:c>
      <x:c r="AR52" s="9" t="str">
        <x:v>null</x:v>
      </x:c>
      <x:c r="AS52" s="9" t="str">
        <x:v>UO_0000065</x:v>
      </x:c>
      <x:c r="AT52" s="9" t="str">
        <x:v>null</x:v>
      </x:c>
      <x:c r="AU52" s="9" t="str">
        <x:v>6.37</x:v>
      </x:c>
    </x:row>
    <x:row r="53" ht="51" customHeight="1">
      <x:c r="A53" s="14" t="str">
        <x:v>null</x:v>
      </x:c>
      <x:c r="B53" s="14" t="str">
        <x:v>null</x:v>
      </x:c>
      <x:c r="C53" s="14" t="str">
        <x:v>16670260</x:v>
      </x:c>
      <x:c r="D53" s="14" t="str">
        <x:v>[]</x:v>
      </x:c>
      <x:c r="E53" s="14" t="str">
        <x:v>CHEMBL3855278</x:v>
      </x:c>
      <x:c r="F53" s="14" t="str">
        <x:v>Displacement of [3H]-spiperone from human dopamine D2 receptor expressed in CHO-K1 cell membranes coexpressing Galpha16 after 120 mins by liquid scintillation counting</x:v>
      </x:c>
      <x:c r="G53" s="14" t="str">
        <x:v>B</x:v>
      </x:c>
      <x:c r="H53" s="14" t="str">
        <x:v>null</x:v>
      </x:c>
      <x:c r="I53" s="14" t="str">
        <x:v>null</x:v>
      </x:c>
      <x:c r="J53" s="14" t="str">
        <x:v>BAO_0000192</x:v>
      </x:c>
      <x:c r="K53" s="14" t="str">
        <x:v>BAO_0000219</x:v>
      </x:c>
      <x:c r="L53" s="14" t="str">
        <x:v>cell-based format</x:v>
      </x:c>
      <x:c r="M53" s="14" t="str">
        <x:v>Cn1c(SCCCN2CC[C@]3(C[C@H]3c3ccc(C(F)(F)F)cc3)C2)nnc1-c1csnn1</x:v>
      </x:c>
      <x:c r="N53" s="14" t="str">
        <x:v>null</x:v>
      </x:c>
      <x:c r="O53" s="14" t="str">
        <x:v>null</x:v>
      </x:c>
      <x:c r="P53" s="14" t="str">
        <x:v>CHEMBL3853329</x:v>
      </x:c>
      <x:c r="Q53" s="14" t="str">
        <x:v>J Med Chem</x:v>
      </x:c>
      <x:c r="R53" s="17" t="n">
        <x:v>2016</x:v>
      </x:c>
      <x:c r="S53" s="14" t="str">
        <x:v>{"bei":"14.42","le":"0.30","lle":"2.22","sei":"11.60"}</x:v>
      </x:c>
      <x:c r="T53" s="14" t="str">
        <x:v>null</x:v>
      </x:c>
      <x:c r="U53" s="14" t="str">
        <x:v>CHEMBL3984387</x:v>
      </x:c>
      <x:c r="V53" s="14" t="str">
        <x:v>null</x:v>
      </x:c>
      <x:c r="W53" s="14" t="str">
        <x:v>CHEMBL3984387</x:v>
      </x:c>
      <x:c r="X53" s="15" t="n">
        <x:v>6.93</x:v>
      </x:c>
      <x:c r="Y53" s="17" t="n">
        <x:v>0</x:v>
      </x:c>
      <x:c r="Z53" s="14" t="str">
        <x:v>http://www.openphacts.org/units/Nanomolar</x:v>
      </x:c>
      <x:c r="AA53" s="14" t="str">
        <x:v>2796824</x:v>
      </x:c>
      <x:c r="AB53" s="14" t="str">
        <x:v>=</x:v>
      </x:c>
      <x:c r="AC53" s="14" t="str">
        <x:v>1</x:v>
      </x:c>
      <x:c r="AD53" s="17" t="n">
        <x:v>1</x:v>
      </x:c>
      <x:c r="AE53" s="14" t="str">
        <x:v>=</x:v>
      </x:c>
      <x:c r="AF53" s="14" t="str">
        <x:v>null</x:v>
      </x:c>
      <x:c r="AG53" s="14" t="str">
        <x:v>Ki</x:v>
      </x:c>
      <x:c r="AH53" s="14" t="str">
        <x:v>nM</x:v>
      </x:c>
      <x:c r="AI53" s="14" t="str">
        <x:v>null</x:v>
      </x:c>
      <x:c r="AJ53" s="15" t="n">
        <x:v>117.49</x:v>
      </x:c>
      <x:c r="AK53" s="14" t="str">
        <x:v>CHEMBL217</x:v>
      </x:c>
      <x:c r="AL53" s="14" t="str">
        <x:v>Homo sapiens</x:v>
      </x:c>
      <x:c r="AM53" s="14" t="str">
        <x:v>D(2) dopamine receptor</x:v>
      </x:c>
      <x:c r="AN53" s="14" t="str">
        <x:v>9606</x:v>
      </x:c>
      <x:c r="AO53" s="14" t="str">
        <x:v>null</x:v>
      </x:c>
      <x:c r="AP53" s="14" t="str">
        <x:v>null</x:v>
      </x:c>
      <x:c r="AQ53" s="14" t="str">
        <x:v>pKi</x:v>
      </x:c>
      <x:c r="AR53" s="14" t="str">
        <x:v>null</x:v>
      </x:c>
      <x:c r="AS53" s="14" t="str">
        <x:v>UO_0000065</x:v>
      </x:c>
      <x:c r="AT53" s="14" t="str">
        <x:v>null</x:v>
      </x:c>
      <x:c r="AU53" s="14" t="str">
        <x:v>6.93</x:v>
      </x:c>
    </x:row>
    <x:row r="54" ht="51" customHeight="1">
      <x:c r="A54" s="9" t="str">
        <x:v>null</x:v>
      </x:c>
      <x:c r="B54" s="9" t="str">
        <x:v>null</x:v>
      </x:c>
      <x:c r="C54" s="9" t="str">
        <x:v>16670261</x:v>
      </x:c>
      <x:c r="D54" s="9" t="str">
        <x:v>[]</x:v>
      </x:c>
      <x:c r="E54" s="9" t="str">
        <x:v>CHEMBL3855278</x:v>
      </x:c>
      <x:c r="F54" s="9" t="str">
        <x:v>Displacement of [3H]-spiperone from human dopamine D2 receptor expressed in CHO-K1 cell membranes coexpressing Galpha16 after 120 mins by liquid scintillation counting</x:v>
      </x:c>
      <x:c r="G54" s="9" t="str">
        <x:v>B</x:v>
      </x:c>
      <x:c r="H54" s="9" t="str">
        <x:v>null</x:v>
      </x:c>
      <x:c r="I54" s="9" t="str">
        <x:v>null</x:v>
      </x:c>
      <x:c r="J54" s="9" t="str">
        <x:v>BAO_0000192</x:v>
      </x:c>
      <x:c r="K54" s="9" t="str">
        <x:v>BAO_0000219</x:v>
      </x:c>
      <x:c r="L54" s="9" t="str">
        <x:v>cell-based format</x:v>
      </x:c>
      <x:c r="M54" s="9" t="str">
        <x:v>Cn1c(SCCCN2CC[C@]3(C[C@@H]3c3ccc(C(F)(F)F)cc3)C2)nnc1-c1csnn1</x:v>
      </x:c>
      <x:c r="N54" s="9" t="str">
        <x:v>null</x:v>
      </x:c>
      <x:c r="O54" s="9" t="str">
        <x:v>null</x:v>
      </x:c>
      <x:c r="P54" s="9" t="str">
        <x:v>CHEMBL3853329</x:v>
      </x:c>
      <x:c r="Q54" s="9" t="str">
        <x:v>J Med Chem</x:v>
      </x:c>
      <x:c r="R54" s="13" t="n">
        <x:v>2016</x:v>
      </x:c>
      <x:c r="S54" s="9" t="str">
        <x:v>{"bei":"14.34","le":"0.29","lle":"2.18","sei":"11.54"}</x:v>
      </x:c>
      <x:c r="T54" s="9" t="str">
        <x:v>null</x:v>
      </x:c>
      <x:c r="U54" s="9" t="str">
        <x:v>CHEMBL3905582</x:v>
      </x:c>
      <x:c r="V54" s="9" t="str">
        <x:v>null</x:v>
      </x:c>
      <x:c r="W54" s="9" t="str">
        <x:v>CHEMBL3905582</x:v>
      </x:c>
      <x:c r="X54" s="11" t="n">
        <x:v>6.89</x:v>
      </x:c>
      <x:c r="Y54" s="13" t="n">
        <x:v>0</x:v>
      </x:c>
      <x:c r="Z54" s="9" t="str">
        <x:v>http://www.openphacts.org/units/Nanomolar</x:v>
      </x:c>
      <x:c r="AA54" s="9" t="str">
        <x:v>2796825</x:v>
      </x:c>
      <x:c r="AB54" s="9" t="str">
        <x:v>=</x:v>
      </x:c>
      <x:c r="AC54" s="9" t="str">
        <x:v>1</x:v>
      </x:c>
      <x:c r="AD54" s="13" t="n">
        <x:v>1</x:v>
      </x:c>
      <x:c r="AE54" s="9" t="str">
        <x:v>=</x:v>
      </x:c>
      <x:c r="AF54" s="9" t="str">
        <x:v>null</x:v>
      </x:c>
      <x:c r="AG54" s="9" t="str">
        <x:v>Ki</x:v>
      </x:c>
      <x:c r="AH54" s="9" t="str">
        <x:v>nM</x:v>
      </x:c>
      <x:c r="AI54" s="9" t="str">
        <x:v>null</x:v>
      </x:c>
      <x:c r="AJ54" s="11" t="n">
        <x:v>128.82</x:v>
      </x:c>
      <x:c r="AK54" s="9" t="str">
        <x:v>CHEMBL217</x:v>
      </x:c>
      <x:c r="AL54" s="9" t="str">
        <x:v>Homo sapiens</x:v>
      </x:c>
      <x:c r="AM54" s="9" t="str">
        <x:v>D(2) dopamine receptor</x:v>
      </x:c>
      <x:c r="AN54" s="9" t="str">
        <x:v>9606</x:v>
      </x:c>
      <x:c r="AO54" s="9" t="str">
        <x:v>null</x:v>
      </x:c>
      <x:c r="AP54" s="9" t="str">
        <x:v>null</x:v>
      </x:c>
      <x:c r="AQ54" s="9" t="str">
        <x:v>pKi</x:v>
      </x:c>
      <x:c r="AR54" s="9" t="str">
        <x:v>null</x:v>
      </x:c>
      <x:c r="AS54" s="9" t="str">
        <x:v>UO_0000065</x:v>
      </x:c>
      <x:c r="AT54" s="9" t="str">
        <x:v>null</x:v>
      </x:c>
      <x:c r="AU54" s="9" t="str">
        <x:v>6.89</x:v>
      </x:c>
    </x:row>
    <x:row r="55" ht="51" customHeight="1">
      <x:c r="A55" s="14" t="str">
        <x:v>null</x:v>
      </x:c>
      <x:c r="B55" s="14" t="str">
        <x:v>null</x:v>
      </x:c>
      <x:c r="C55" s="14" t="str">
        <x:v>16670262</x:v>
      </x:c>
      <x:c r="D55" s="14" t="str">
        <x:v>[]</x:v>
      </x:c>
      <x:c r="E55" s="14" t="str">
        <x:v>CHEMBL3855278</x:v>
      </x:c>
      <x:c r="F55" s="14" t="str">
        <x:v>Displacement of [3H]-spiperone from human dopamine D2 receptor expressed in CHO-K1 cell membranes coexpressing Galpha16 after 120 mins by liquid scintillation counting</x:v>
      </x:c>
      <x:c r="G55" s="14" t="str">
        <x:v>B</x:v>
      </x:c>
      <x:c r="H55" s="14" t="str">
        <x:v>null</x:v>
      </x:c>
      <x:c r="I55" s="14" t="str">
        <x:v>null</x:v>
      </x:c>
      <x:c r="J55" s="14" t="str">
        <x:v>BAO_0000192</x:v>
      </x:c>
      <x:c r="K55" s="14" t="str">
        <x:v>BAO_0000219</x:v>
      </x:c>
      <x:c r="L55" s="14" t="str">
        <x:v>cell-based format</x:v>
      </x:c>
      <x:c r="M55" s="14" t="str">
        <x:v>Cn1c(SCCCN2CC[C@]3(C[C@@H]3c3ccc(C(F)(F)F)cc3)C2)nnc1-c1cccs1</x:v>
      </x:c>
      <x:c r="N55" s="14" t="str">
        <x:v>null</x:v>
      </x:c>
      <x:c r="O55" s="14" t="str">
        <x:v>null</x:v>
      </x:c>
      <x:c r="P55" s="14" t="str">
        <x:v>CHEMBL3853329</x:v>
      </x:c>
      <x:c r="Q55" s="14" t="str">
        <x:v>J Med Chem</x:v>
      </x:c>
      <x:c r="R55" s="17" t="n">
        <x:v>2016</x:v>
      </x:c>
      <x:c r="S55" s="14" t="str">
        <x:v>{"bei":"13.50","le":"0.28","lle":"0.54","sei":"19.03"}</x:v>
      </x:c>
      <x:c r="T55" s="14" t="str">
        <x:v>null</x:v>
      </x:c>
      <x:c r="U55" s="14" t="str">
        <x:v>CHEMBL3976319</x:v>
      </x:c>
      <x:c r="V55" s="14" t="str">
        <x:v>null</x:v>
      </x:c>
      <x:c r="W55" s="14" t="str">
        <x:v>CHEMBL3976319</x:v>
      </x:c>
      <x:c r="X55" s="15" t="n">
        <x:v>6.46</x:v>
      </x:c>
      <x:c r="Y55" s="17" t="n">
        <x:v>0</x:v>
      </x:c>
      <x:c r="Z55" s="14" t="str">
        <x:v>http://www.openphacts.org/units/Nanomolar</x:v>
      </x:c>
      <x:c r="AA55" s="14" t="str">
        <x:v>2796826</x:v>
      </x:c>
      <x:c r="AB55" s="14" t="str">
        <x:v>=</x:v>
      </x:c>
      <x:c r="AC55" s="14" t="str">
        <x:v>1</x:v>
      </x:c>
      <x:c r="AD55" s="17" t="n">
        <x:v>1</x:v>
      </x:c>
      <x:c r="AE55" s="14" t="str">
        <x:v>=</x:v>
      </x:c>
      <x:c r="AF55" s="14" t="str">
        <x:v>null</x:v>
      </x:c>
      <x:c r="AG55" s="14" t="str">
        <x:v>Ki</x:v>
      </x:c>
      <x:c r="AH55" s="14" t="str">
        <x:v>nM</x:v>
      </x:c>
      <x:c r="AI55" s="14" t="str">
        <x:v>null</x:v>
      </x:c>
      <x:c r="AJ55" s="15" t="n">
        <x:v>346.74</x:v>
      </x:c>
      <x:c r="AK55" s="14" t="str">
        <x:v>CHEMBL217</x:v>
      </x:c>
      <x:c r="AL55" s="14" t="str">
        <x:v>Homo sapiens</x:v>
      </x:c>
      <x:c r="AM55" s="14" t="str">
        <x:v>D(2) dopamine receptor</x:v>
      </x:c>
      <x:c r="AN55" s="14" t="str">
        <x:v>9606</x:v>
      </x:c>
      <x:c r="AO55" s="14" t="str">
        <x:v>null</x:v>
      </x:c>
      <x:c r="AP55" s="14" t="str">
        <x:v>null</x:v>
      </x:c>
      <x:c r="AQ55" s="14" t="str">
        <x:v>pKi</x:v>
      </x:c>
      <x:c r="AR55" s="14" t="str">
        <x:v>null</x:v>
      </x:c>
      <x:c r="AS55" s="14" t="str">
        <x:v>UO_0000065</x:v>
      </x:c>
      <x:c r="AT55" s="14" t="str">
        <x:v>null</x:v>
      </x:c>
      <x:c r="AU55" s="14" t="str">
        <x:v>6.46</x:v>
      </x:c>
    </x:row>
    <x:row r="56" ht="51" customHeight="1">
      <x:c r="A56" s="9" t="str">
        <x:v>null</x:v>
      </x:c>
      <x:c r="B56" s="9" t="str">
        <x:v>null</x:v>
      </x:c>
      <x:c r="C56" s="9" t="str">
        <x:v>16670263</x:v>
      </x:c>
      <x:c r="D56" s="9" t="str">
        <x:v>[]</x:v>
      </x:c>
      <x:c r="E56" s="9" t="str">
        <x:v>CHEMBL3855278</x:v>
      </x:c>
      <x:c r="F56" s="9" t="str">
        <x:v>Displacement of [3H]-spiperone from human dopamine D2 receptor expressed in CHO-K1 cell membranes coexpressing Galpha16 after 120 mins by liquid scintillation counting</x:v>
      </x:c>
      <x:c r="G56" s="9" t="str">
        <x:v>B</x:v>
      </x:c>
      <x:c r="H56" s="9" t="str">
        <x:v>null</x:v>
      </x:c>
      <x:c r="I56" s="9" t="str">
        <x:v>null</x:v>
      </x:c>
      <x:c r="J56" s="9" t="str">
        <x:v>BAO_0000192</x:v>
      </x:c>
      <x:c r="K56" s="9" t="str">
        <x:v>BAO_0000219</x:v>
      </x:c>
      <x:c r="L56" s="9" t="str">
        <x:v>cell-based format</x:v>
      </x:c>
      <x:c r="M56" s="9" t="str">
        <x:v>Cn1c(SCCCN2CC[C@]3(C[C@@H]3c3ccc(C(F)(F)F)cc3)C2)nnc1-c1ccsc1</x:v>
      </x:c>
      <x:c r="N56" s="9" t="str">
        <x:v>null</x:v>
      </x:c>
      <x:c r="O56" s="9" t="str">
        <x:v>null</x:v>
      </x:c>
      <x:c r="P56" s="9" t="str">
        <x:v>CHEMBL3853329</x:v>
      </x:c>
      <x:c r="Q56" s="9" t="str">
        <x:v>J Med Chem</x:v>
      </x:c>
      <x:c r="R56" s="13" t="n">
        <x:v>2016</x:v>
      </x:c>
      <x:c r="S56" s="9" t="str">
        <x:v>{"bei":"13.54","le":"0.28","lle":"0.56","sei":"19.09"}</x:v>
      </x:c>
      <x:c r="T56" s="9" t="str">
        <x:v>null</x:v>
      </x:c>
      <x:c r="U56" s="9" t="str">
        <x:v>CHEMBL3896638</x:v>
      </x:c>
      <x:c r="V56" s="9" t="str">
        <x:v>null</x:v>
      </x:c>
      <x:c r="W56" s="9" t="str">
        <x:v>CHEMBL3896638</x:v>
      </x:c>
      <x:c r="X56" s="11" t="n">
        <x:v>6.48</x:v>
      </x:c>
      <x:c r="Y56" s="13" t="n">
        <x:v>0</x:v>
      </x:c>
      <x:c r="Z56" s="9" t="str">
        <x:v>http://www.openphacts.org/units/Nanomolar</x:v>
      </x:c>
      <x:c r="AA56" s="9" t="str">
        <x:v>2796827</x:v>
      </x:c>
      <x:c r="AB56" s="9" t="str">
        <x:v>=</x:v>
      </x:c>
      <x:c r="AC56" s="9" t="str">
        <x:v>1</x:v>
      </x:c>
      <x:c r="AD56" s="13" t="n">
        <x:v>1</x:v>
      </x:c>
      <x:c r="AE56" s="9" t="str">
        <x:v>=</x:v>
      </x:c>
      <x:c r="AF56" s="9" t="str">
        <x:v>null</x:v>
      </x:c>
      <x:c r="AG56" s="9" t="str">
        <x:v>Ki</x:v>
      </x:c>
      <x:c r="AH56" s="9" t="str">
        <x:v>nM</x:v>
      </x:c>
      <x:c r="AI56" s="9" t="str">
        <x:v>null</x:v>
      </x:c>
      <x:c r="AJ56" s="11" t="n">
        <x:v>331.13</x:v>
      </x:c>
      <x:c r="AK56" s="9" t="str">
        <x:v>CHEMBL217</x:v>
      </x:c>
      <x:c r="AL56" s="9" t="str">
        <x:v>Homo sapiens</x:v>
      </x:c>
      <x:c r="AM56" s="9" t="str">
        <x:v>D(2) dopamine receptor</x:v>
      </x:c>
      <x:c r="AN56" s="9" t="str">
        <x:v>9606</x:v>
      </x:c>
      <x:c r="AO56" s="9" t="str">
        <x:v>null</x:v>
      </x:c>
      <x:c r="AP56" s="9" t="str">
        <x:v>null</x:v>
      </x:c>
      <x:c r="AQ56" s="9" t="str">
        <x:v>pKi</x:v>
      </x:c>
      <x:c r="AR56" s="9" t="str">
        <x:v>null</x:v>
      </x:c>
      <x:c r="AS56" s="9" t="str">
        <x:v>UO_0000065</x:v>
      </x:c>
      <x:c r="AT56" s="9" t="str">
        <x:v>null</x:v>
      </x:c>
      <x:c r="AU56" s="9" t="str">
        <x:v>6.48</x:v>
      </x:c>
    </x:row>
    <x:row r="57" ht="51" customHeight="1">
      <x:c r="A57" s="14" t="str">
        <x:v>null</x:v>
      </x:c>
      <x:c r="B57" s="14" t="str">
        <x:v>null</x:v>
      </x:c>
      <x:c r="C57" s="14" t="str">
        <x:v>16670264</x:v>
      </x:c>
      <x:c r="D57" s="14" t="str">
        <x:v>[]</x:v>
      </x:c>
      <x:c r="E57" s="14" t="str">
        <x:v>CHEMBL3855278</x:v>
      </x:c>
      <x:c r="F57" s="14" t="str">
        <x:v>Displacement of [3H]-spiperone from human dopamine D2 receptor expressed in CHO-K1 cell membranes coexpressing Galpha16 after 120 mins by liquid scintillation counting</x:v>
      </x:c>
      <x:c r="G57" s="14" t="str">
        <x:v>B</x:v>
      </x:c>
      <x:c r="H57" s="14" t="str">
        <x:v>null</x:v>
      </x:c>
      <x:c r="I57" s="14" t="str">
        <x:v>null</x:v>
      </x:c>
      <x:c r="J57" s="14" t="str">
        <x:v>BAO_0000192</x:v>
      </x:c>
      <x:c r="K57" s="14" t="str">
        <x:v>BAO_0000219</x:v>
      </x:c>
      <x:c r="L57" s="14" t="str">
        <x:v>cell-based format</x:v>
      </x:c>
      <x:c r="M57" s="14" t="str">
        <x:v>Cn1c(SCCCN2CC[C@]3(C[C@@H]3c3ccc(C(F)(F)F)cc3)C2)nnc1-c1ccco1</x:v>
      </x:c>
      <x:c r="N57" s="14" t="str">
        <x:v>null</x:v>
      </x:c>
      <x:c r="O57" s="14" t="str">
        <x:v>null</x:v>
      </x:c>
      <x:c r="P57" s="14" t="str">
        <x:v>CHEMBL3853329</x:v>
      </x:c>
      <x:c r="Q57" s="14" t="str">
        <x:v>J Med Chem</x:v>
      </x:c>
      <x:c r="R57" s="17" t="n">
        <x:v>2016</x:v>
      </x:c>
      <x:c r="S57" s="14" t="str">
        <x:v>{"bei":"13.66","le":"0.27","lle":"0.86","sei":"13.42"}</x:v>
      </x:c>
      <x:c r="T57" s="14" t="str">
        <x:v>null</x:v>
      </x:c>
      <x:c r="U57" s="14" t="str">
        <x:v>CHEMBL3967806</x:v>
      </x:c>
      <x:c r="V57" s="14" t="str">
        <x:v>null</x:v>
      </x:c>
      <x:c r="W57" s="14" t="str">
        <x:v>CHEMBL3967806</x:v>
      </x:c>
      <x:c r="X57" s="15" t="n">
        <x:v>6.32</x:v>
      </x:c>
      <x:c r="Y57" s="17" t="n">
        <x:v>0</x:v>
      </x:c>
      <x:c r="Z57" s="14" t="str">
        <x:v>http://www.openphacts.org/units/Nanomolar</x:v>
      </x:c>
      <x:c r="AA57" s="14" t="str">
        <x:v>2796828</x:v>
      </x:c>
      <x:c r="AB57" s="14" t="str">
        <x:v>=</x:v>
      </x:c>
      <x:c r="AC57" s="14" t="str">
        <x:v>1</x:v>
      </x:c>
      <x:c r="AD57" s="17" t="n">
        <x:v>1</x:v>
      </x:c>
      <x:c r="AE57" s="14" t="str">
        <x:v>=</x:v>
      </x:c>
      <x:c r="AF57" s="14" t="str">
        <x:v>null</x:v>
      </x:c>
      <x:c r="AG57" s="14" t="str">
        <x:v>Ki</x:v>
      </x:c>
      <x:c r="AH57" s="14" t="str">
        <x:v>nM</x:v>
      </x:c>
      <x:c r="AI57" s="14" t="str">
        <x:v>null</x:v>
      </x:c>
      <x:c r="AJ57" s="15" t="n">
        <x:v>478.63</x:v>
      </x:c>
      <x:c r="AK57" s="14" t="str">
        <x:v>CHEMBL217</x:v>
      </x:c>
      <x:c r="AL57" s="14" t="str">
        <x:v>Homo sapiens</x:v>
      </x:c>
      <x:c r="AM57" s="14" t="str">
        <x:v>D(2) dopamine receptor</x:v>
      </x:c>
      <x:c r="AN57" s="14" t="str">
        <x:v>9606</x:v>
      </x:c>
      <x:c r="AO57" s="14" t="str">
        <x:v>null</x:v>
      </x:c>
      <x:c r="AP57" s="14" t="str">
        <x:v>null</x:v>
      </x:c>
      <x:c r="AQ57" s="14" t="str">
        <x:v>pKi</x:v>
      </x:c>
      <x:c r="AR57" s="14" t="str">
        <x:v>null</x:v>
      </x:c>
      <x:c r="AS57" s="14" t="str">
        <x:v>UO_0000065</x:v>
      </x:c>
      <x:c r="AT57" s="14" t="str">
        <x:v>null</x:v>
      </x:c>
      <x:c r="AU57" s="14" t="str">
        <x:v>6.32</x:v>
      </x:c>
    </x:row>
    <x:row r="58" ht="51" customHeight="1">
      <x:c r="A58" s="9" t="str">
        <x:v>null</x:v>
      </x:c>
      <x:c r="B58" s="9" t="str">
        <x:v>null</x:v>
      </x:c>
      <x:c r="C58" s="9" t="str">
        <x:v>16670265</x:v>
      </x:c>
      <x:c r="D58" s="9" t="str">
        <x:v>[]</x:v>
      </x:c>
      <x:c r="E58" s="9" t="str">
        <x:v>CHEMBL3855278</x:v>
      </x:c>
      <x:c r="F58" s="9" t="str">
        <x:v>Displacement of [3H]-spiperone from human dopamine D2 receptor expressed in CHO-K1 cell membranes coexpressing Galpha16 after 120 mins by liquid scintillation counting</x:v>
      </x:c>
      <x:c r="G58" s="9" t="str">
        <x:v>B</x:v>
      </x:c>
      <x:c r="H58" s="9" t="str">
        <x:v>null</x:v>
      </x:c>
      <x:c r="I58" s="9" t="str">
        <x:v>null</x:v>
      </x:c>
      <x:c r="J58" s="9" t="str">
        <x:v>BAO_0000192</x:v>
      </x:c>
      <x:c r="K58" s="9" t="str">
        <x:v>BAO_0000219</x:v>
      </x:c>
      <x:c r="L58" s="9" t="str">
        <x:v>cell-based format</x:v>
      </x:c>
      <x:c r="M58" s="9" t="str">
        <x:v>Cn1c(SCCCN2CC[C@]3(C[C@@H]3c3ccc(C(F)(F)F)cc3)C2)nnc1-c1ccoc1</x:v>
      </x:c>
      <x:c r="N58" s="9" t="str">
        <x:v>null</x:v>
      </x:c>
      <x:c r="O58" s="9" t="str">
        <x:v>null</x:v>
      </x:c>
      <x:c r="P58" s="9" t="str">
        <x:v>CHEMBL3853329</x:v>
      </x:c>
      <x:c r="Q58" s="9" t="str">
        <x:v>J Med Chem</x:v>
      </x:c>
      <x:c r="R58" s="13" t="n">
        <x:v>2016</x:v>
      </x:c>
      <x:c r="S58" s="9" t="str">
        <x:v>{"bei":"13.62","le":"0.27","lle":"0.84","sei":"13.38"}</x:v>
      </x:c>
      <x:c r="T58" s="9" t="str">
        <x:v>null</x:v>
      </x:c>
      <x:c r="U58" s="9" t="str">
        <x:v>CHEMBL3985419</x:v>
      </x:c>
      <x:c r="V58" s="9" t="str">
        <x:v>null</x:v>
      </x:c>
      <x:c r="W58" s="9" t="str">
        <x:v>CHEMBL3985419</x:v>
      </x:c>
      <x:c r="X58" s="11" t="n">
        <x:v>6.3</x:v>
      </x:c>
      <x:c r="Y58" s="13" t="n">
        <x:v>0</x:v>
      </x:c>
      <x:c r="Z58" s="9" t="str">
        <x:v>http://www.openphacts.org/units/Nanomolar</x:v>
      </x:c>
      <x:c r="AA58" s="9" t="str">
        <x:v>2796829</x:v>
      </x:c>
      <x:c r="AB58" s="9" t="str">
        <x:v>=</x:v>
      </x:c>
      <x:c r="AC58" s="9" t="str">
        <x:v>1</x:v>
      </x:c>
      <x:c r="AD58" s="13" t="n">
        <x:v>1</x:v>
      </x:c>
      <x:c r="AE58" s="9" t="str">
        <x:v>=</x:v>
      </x:c>
      <x:c r="AF58" s="9" t="str">
        <x:v>null</x:v>
      </x:c>
      <x:c r="AG58" s="9" t="str">
        <x:v>Ki</x:v>
      </x:c>
      <x:c r="AH58" s="9" t="str">
        <x:v>nM</x:v>
      </x:c>
      <x:c r="AI58" s="9" t="str">
        <x:v>null</x:v>
      </x:c>
      <x:c r="AJ58" s="11" t="n">
        <x:v>501.19</x:v>
      </x:c>
      <x:c r="AK58" s="9" t="str">
        <x:v>CHEMBL217</x:v>
      </x:c>
      <x:c r="AL58" s="9" t="str">
        <x:v>Homo sapiens</x:v>
      </x:c>
      <x:c r="AM58" s="9" t="str">
        <x:v>D(2) dopamine receptor</x:v>
      </x:c>
      <x:c r="AN58" s="9" t="str">
        <x:v>9606</x:v>
      </x:c>
      <x:c r="AO58" s="9" t="str">
        <x:v>null</x:v>
      </x:c>
      <x:c r="AP58" s="9" t="str">
        <x:v>null</x:v>
      </x:c>
      <x:c r="AQ58" s="9" t="str">
        <x:v>pKi</x:v>
      </x:c>
      <x:c r="AR58" s="9" t="str">
        <x:v>null</x:v>
      </x:c>
      <x:c r="AS58" s="9" t="str">
        <x:v>UO_0000065</x:v>
      </x:c>
      <x:c r="AT58" s="9" t="str">
        <x:v>null</x:v>
      </x:c>
      <x:c r="AU58" s="9" t="str">
        <x:v>6.3</x:v>
      </x:c>
    </x:row>
    <x:row r="59" ht="51" customHeight="1">
      <x:c r="A59" s="14" t="str">
        <x:v>null</x:v>
      </x:c>
      <x:c r="B59" s="14" t="str">
        <x:v>null</x:v>
      </x:c>
      <x:c r="C59" s="14" t="str">
        <x:v>16670266</x:v>
      </x:c>
      <x:c r="D59" s="14" t="str">
        <x:v>[]</x:v>
      </x:c>
      <x:c r="E59" s="14" t="str">
        <x:v>CHEMBL3855278</x:v>
      </x:c>
      <x:c r="F59" s="14" t="str">
        <x:v>Displacement of [3H]-spiperone from human dopamine D2 receptor expressed in CHO-K1 cell membranes coexpressing Galpha16 after 120 mins by liquid scintillation counting</x:v>
      </x:c>
      <x:c r="G59" s="14" t="str">
        <x:v>B</x:v>
      </x:c>
      <x:c r="H59" s="14" t="str">
        <x:v>null</x:v>
      </x:c>
      <x:c r="I59" s="14" t="str">
        <x:v>null</x:v>
      </x:c>
      <x:c r="J59" s="14" t="str">
        <x:v>BAO_0000192</x:v>
      </x:c>
      <x:c r="K59" s="14" t="str">
        <x:v>BAO_0000219</x:v>
      </x:c>
      <x:c r="L59" s="14" t="str">
        <x:v>cell-based format</x:v>
      </x:c>
      <x:c r="M59" s="14" t="str">
        <x:v>Cn1cc(-c2nnc(SCCCN3CC[C@]4(C[C@@H]4c4ccc(C(F)(F)F)cc4)C3)n2C)cn1</x:v>
      </x:c>
      <x:c r="N59" s="14" t="str">
        <x:v>null</x:v>
      </x:c>
      <x:c r="O59" s="14" t="str">
        <x:v>null</x:v>
      </x:c>
      <x:c r="P59" s="14" t="str">
        <x:v>CHEMBL3853329</x:v>
      </x:c>
      <x:c r="Q59" s="14" t="str">
        <x:v>J Med Chem</x:v>
      </x:c>
      <x:c r="R59" s="17" t="n">
        <x:v>2016</x:v>
      </x:c>
      <x:c r="S59" s="14" t="str">
        <x:v>{"bei":"13.16","le":"0.26","lle":"1.67","sei":"12.11"}</x:v>
      </x:c>
      <x:c r="T59" s="14" t="str">
        <x:v>null</x:v>
      </x:c>
      <x:c r="U59" s="14" t="str">
        <x:v>CHEMBL3956758</x:v>
      </x:c>
      <x:c r="V59" s="14" t="str">
        <x:v>null</x:v>
      </x:c>
      <x:c r="W59" s="14" t="str">
        <x:v>CHEMBL3956758</x:v>
      </x:c>
      <x:c r="X59" s="15" t="n">
        <x:v>6.27</x:v>
      </x:c>
      <x:c r="Y59" s="17" t="n">
        <x:v>0</x:v>
      </x:c>
      <x:c r="Z59" s="14" t="str">
        <x:v>http://www.openphacts.org/units/Nanomolar</x:v>
      </x:c>
      <x:c r="AA59" s="14" t="str">
        <x:v>2796830</x:v>
      </x:c>
      <x:c r="AB59" s="14" t="str">
        <x:v>=</x:v>
      </x:c>
      <x:c r="AC59" s="14" t="str">
        <x:v>1</x:v>
      </x:c>
      <x:c r="AD59" s="17" t="n">
        <x:v>1</x:v>
      </x:c>
      <x:c r="AE59" s="14" t="str">
        <x:v>=</x:v>
      </x:c>
      <x:c r="AF59" s="14" t="str">
        <x:v>null</x:v>
      </x:c>
      <x:c r="AG59" s="14" t="str">
        <x:v>Ki</x:v>
      </x:c>
      <x:c r="AH59" s="14" t="str">
        <x:v>nM</x:v>
      </x:c>
      <x:c r="AI59" s="14" t="str">
        <x:v>null</x:v>
      </x:c>
      <x:c r="AJ59" s="15" t="n">
        <x:v>537.03</x:v>
      </x:c>
      <x:c r="AK59" s="14" t="str">
        <x:v>CHEMBL217</x:v>
      </x:c>
      <x:c r="AL59" s="14" t="str">
        <x:v>Homo sapiens</x:v>
      </x:c>
      <x:c r="AM59" s="14" t="str">
        <x:v>D(2) dopamine receptor</x:v>
      </x:c>
      <x:c r="AN59" s="14" t="str">
        <x:v>9606</x:v>
      </x:c>
      <x:c r="AO59" s="14" t="str">
        <x:v>null</x:v>
      </x:c>
      <x:c r="AP59" s="14" t="str">
        <x:v>null</x:v>
      </x:c>
      <x:c r="AQ59" s="14" t="str">
        <x:v>pKi</x:v>
      </x:c>
      <x:c r="AR59" s="14" t="str">
        <x:v>null</x:v>
      </x:c>
      <x:c r="AS59" s="14" t="str">
        <x:v>UO_0000065</x:v>
      </x:c>
      <x:c r="AT59" s="14" t="str">
        <x:v>null</x:v>
      </x:c>
      <x:c r="AU59" s="14" t="str">
        <x:v>6.27</x:v>
      </x:c>
    </x:row>
    <x:row r="60" ht="51" customHeight="1">
      <x:c r="A60" s="9" t="str">
        <x:v>null</x:v>
      </x:c>
      <x:c r="B60" s="9" t="str">
        <x:v>null</x:v>
      </x:c>
      <x:c r="C60" s="9" t="str">
        <x:v>16670267</x:v>
      </x:c>
      <x:c r="D60" s="9" t="str">
        <x:v>[]</x:v>
      </x:c>
      <x:c r="E60" s="9" t="str">
        <x:v>CHEMBL3855278</x:v>
      </x:c>
      <x:c r="F60" s="9" t="str">
        <x:v>Displacement of [3H]-spiperone from human dopamine D2 receptor expressed in CHO-K1 cell membranes coexpressing Galpha16 after 120 mins by liquid scintillation counting</x:v>
      </x:c>
      <x:c r="G60" s="9" t="str">
        <x:v>B</x:v>
      </x:c>
      <x:c r="H60" s="9" t="str">
        <x:v>null</x:v>
      </x:c>
      <x:c r="I60" s="9" t="str">
        <x:v>null</x:v>
      </x:c>
      <x:c r="J60" s="9" t="str">
        <x:v>BAO_0000192</x:v>
      </x:c>
      <x:c r="K60" s="9" t="str">
        <x:v>BAO_0000219</x:v>
      </x:c>
      <x:c r="L60" s="9" t="str">
        <x:v>cell-based format</x:v>
      </x:c>
      <x:c r="M60" s="9" t="str">
        <x:v>Cn1nccc1-c1nnc(SCCCN2CC[C@]3(C[C@@H]3c3ccc(C(F)(F)F)cc3)C2)n1C</x:v>
      </x:c>
      <x:c r="N60" s="9" t="str">
        <x:v>null</x:v>
      </x:c>
      <x:c r="O60" s="9" t="str">
        <x:v>null</x:v>
      </x:c>
      <x:c r="P60" s="9" t="str">
        <x:v>CHEMBL3853329</x:v>
      </x:c>
      <x:c r="Q60" s="9" t="str">
        <x:v>J Med Chem</x:v>
      </x:c>
      <x:c r="R60" s="13" t="n">
        <x:v>2016</x:v>
      </x:c>
      <x:c r="S60" s="9" t="str">
        <x:v>{"bei":"12.74","le":"0.25","lle":"1.47","sei":"11.72"}</x:v>
      </x:c>
      <x:c r="T60" s="9" t="str">
        <x:v>null</x:v>
      </x:c>
      <x:c r="U60" s="9" t="str">
        <x:v>CHEMBL3908174</x:v>
      </x:c>
      <x:c r="V60" s="9" t="str">
        <x:v>null</x:v>
      </x:c>
      <x:c r="W60" s="9" t="str">
        <x:v>CHEMBL3908174</x:v>
      </x:c>
      <x:c r="X60" s="11" t="n">
        <x:v>6.07</x:v>
      </x:c>
      <x:c r="Y60" s="13" t="n">
        <x:v>0</x:v>
      </x:c>
      <x:c r="Z60" s="9" t="str">
        <x:v>http://www.openphacts.org/units/Nanomolar</x:v>
      </x:c>
      <x:c r="AA60" s="9" t="str">
        <x:v>2796831</x:v>
      </x:c>
      <x:c r="AB60" s="9" t="str">
        <x:v>=</x:v>
      </x:c>
      <x:c r="AC60" s="9" t="str">
        <x:v>1</x:v>
      </x:c>
      <x:c r="AD60" s="13" t="n">
        <x:v>1</x:v>
      </x:c>
      <x:c r="AE60" s="9" t="str">
        <x:v>=</x:v>
      </x:c>
      <x:c r="AF60" s="9" t="str">
        <x:v>null</x:v>
      </x:c>
      <x:c r="AG60" s="9" t="str">
        <x:v>Ki</x:v>
      </x:c>
      <x:c r="AH60" s="9" t="str">
        <x:v>nM</x:v>
      </x:c>
      <x:c r="AI60" s="9" t="str">
        <x:v>null</x:v>
      </x:c>
      <x:c r="AJ60" s="11" t="n">
        <x:v>851.14</x:v>
      </x:c>
      <x:c r="AK60" s="9" t="str">
        <x:v>CHEMBL217</x:v>
      </x:c>
      <x:c r="AL60" s="9" t="str">
        <x:v>Homo sapiens</x:v>
      </x:c>
      <x:c r="AM60" s="9" t="str">
        <x:v>D(2) dopamine receptor</x:v>
      </x:c>
      <x:c r="AN60" s="9" t="str">
        <x:v>9606</x:v>
      </x:c>
      <x:c r="AO60" s="9" t="str">
        <x:v>null</x:v>
      </x:c>
      <x:c r="AP60" s="9" t="str">
        <x:v>null</x:v>
      </x:c>
      <x:c r="AQ60" s="9" t="str">
        <x:v>pKi</x:v>
      </x:c>
      <x:c r="AR60" s="9" t="str">
        <x:v>null</x:v>
      </x:c>
      <x:c r="AS60" s="9" t="str">
        <x:v>UO_0000065</x:v>
      </x:c>
      <x:c r="AT60" s="9" t="str">
        <x:v>null</x:v>
      </x:c>
      <x:c r="AU60" s="9" t="str">
        <x:v>6.07</x:v>
      </x:c>
    </x:row>
    <x:row r="61" ht="51" customHeight="1">
      <x:c r="A61" s="14" t="str">
        <x:v>null</x:v>
      </x:c>
      <x:c r="B61" s="14" t="str">
        <x:v>null</x:v>
      </x:c>
      <x:c r="C61" s="14" t="str">
        <x:v>16670268</x:v>
      </x:c>
      <x:c r="D61" s="14" t="str">
        <x:v>[]</x:v>
      </x:c>
      <x:c r="E61" s="14" t="str">
        <x:v>CHEMBL3855278</x:v>
      </x:c>
      <x:c r="F61" s="14" t="str">
        <x:v>Displacement of [3H]-spiperone from human dopamine D2 receptor expressed in CHO-K1 cell membranes coexpressing Galpha16 after 120 mins by liquid scintillation counting</x:v>
      </x:c>
      <x:c r="G61" s="14" t="str">
        <x:v>B</x:v>
      </x:c>
      <x:c r="H61" s="14" t="str">
        <x:v>null</x:v>
      </x:c>
      <x:c r="I61" s="14" t="str">
        <x:v>null</x:v>
      </x:c>
      <x:c r="J61" s="14" t="str">
        <x:v>BAO_0000192</x:v>
      </x:c>
      <x:c r="K61" s="14" t="str">
        <x:v>BAO_0000219</x:v>
      </x:c>
      <x:c r="L61" s="14" t="str">
        <x:v>cell-based format</x:v>
      </x:c>
      <x:c r="M61" s="14" t="str">
        <x:v>Cc1cc(-c2nnc(SCCCN3CC[C@]4(C[C@@H]4c4ccc(C(F)(F)F)cc4)C3)n2C)on1</x:v>
      </x:c>
      <x:c r="N61" s="14" t="str">
        <x:v>null</x:v>
      </x:c>
      <x:c r="O61" s="14" t="str">
        <x:v>null</x:v>
      </x:c>
      <x:c r="P61" s="14" t="str">
        <x:v>CHEMBL3853329</x:v>
      </x:c>
      <x:c r="Q61" s="14" t="str">
        <x:v>J Med Chem</x:v>
      </x:c>
      <x:c r="R61" s="17" t="n">
        <x:v>2016</x:v>
      </x:c>
      <x:c r="S61" s="14" t="str">
        <x:v>{"bei":"13.15","le":"0.26","lle":"1.12","sei":"10.47"}</x:v>
      </x:c>
      <x:c r="T61" s="14" t="str">
        <x:v>null</x:v>
      </x:c>
      <x:c r="U61" s="14" t="str">
        <x:v>CHEMBL3978613</x:v>
      </x:c>
      <x:c r="V61" s="14" t="str">
        <x:v>null</x:v>
      </x:c>
      <x:c r="W61" s="14" t="str">
        <x:v>CHEMBL3978613</x:v>
      </x:c>
      <x:c r="X61" s="15" t="n">
        <x:v>6.28</x:v>
      </x:c>
      <x:c r="Y61" s="17" t="n">
        <x:v>0</x:v>
      </x:c>
      <x:c r="Z61" s="14" t="str">
        <x:v>http://www.openphacts.org/units/Nanomolar</x:v>
      </x:c>
      <x:c r="AA61" s="14" t="str">
        <x:v>2796832</x:v>
      </x:c>
      <x:c r="AB61" s="14" t="str">
        <x:v>=</x:v>
      </x:c>
      <x:c r="AC61" s="14" t="str">
        <x:v>1</x:v>
      </x:c>
      <x:c r="AD61" s="17" t="n">
        <x:v>1</x:v>
      </x:c>
      <x:c r="AE61" s="14" t="str">
        <x:v>=</x:v>
      </x:c>
      <x:c r="AF61" s="14" t="str">
        <x:v>null</x:v>
      </x:c>
      <x:c r="AG61" s="14" t="str">
        <x:v>Ki</x:v>
      </x:c>
      <x:c r="AH61" s="14" t="str">
        <x:v>nM</x:v>
      </x:c>
      <x:c r="AI61" s="14" t="str">
        <x:v>null</x:v>
      </x:c>
      <x:c r="AJ61" s="15" t="n">
        <x:v>524.81</x:v>
      </x:c>
      <x:c r="AK61" s="14" t="str">
        <x:v>CHEMBL217</x:v>
      </x:c>
      <x:c r="AL61" s="14" t="str">
        <x:v>Homo sapiens</x:v>
      </x:c>
      <x:c r="AM61" s="14" t="str">
        <x:v>D(2) dopamine receptor</x:v>
      </x:c>
      <x:c r="AN61" s="14" t="str">
        <x:v>9606</x:v>
      </x:c>
      <x:c r="AO61" s="14" t="str">
        <x:v>null</x:v>
      </x:c>
      <x:c r="AP61" s="14" t="str">
        <x:v>null</x:v>
      </x:c>
      <x:c r="AQ61" s="14" t="str">
        <x:v>pKi</x:v>
      </x:c>
      <x:c r="AR61" s="14" t="str">
        <x:v>null</x:v>
      </x:c>
      <x:c r="AS61" s="14" t="str">
        <x:v>UO_0000065</x:v>
      </x:c>
      <x:c r="AT61" s="14" t="str">
        <x:v>null</x:v>
      </x:c>
      <x:c r="AU61" s="14" t="str">
        <x:v>6.28</x:v>
      </x:c>
    </x:row>
    <x:row r="62" ht="51" customHeight="1">
      <x:c r="A62" s="9" t="str">
        <x:v>null</x:v>
      </x:c>
      <x:c r="B62" s="9" t="str">
        <x:v>null</x:v>
      </x:c>
      <x:c r="C62" s="9" t="str">
        <x:v>16670299</x:v>
      </x:c>
      <x:c r="D62" s="9" t="str">
        <x:v>[]</x:v>
      </x:c>
      <x:c r="E62" s="9" t="str">
        <x:v>CHEMBL3855278</x:v>
      </x:c>
      <x:c r="F62" s="9" t="str">
        <x:v>Displacement of [3H]-spiperone from human dopamine D2 receptor expressed in CHO-K1 cell membranes coexpressing Galpha16 after 120 mins by liquid scintillation counting</x:v>
      </x:c>
      <x:c r="G62" s="9" t="str">
        <x:v>B</x:v>
      </x:c>
      <x:c r="H62" s="9" t="str">
        <x:v>null</x:v>
      </x:c>
      <x:c r="I62" s="9" t="str">
        <x:v>null</x:v>
      </x:c>
      <x:c r="J62" s="9" t="str">
        <x:v>BAO_0000192</x:v>
      </x:c>
      <x:c r="K62" s="9" t="str">
        <x:v>BAO_0000219</x:v>
      </x:c>
      <x:c r="L62" s="9" t="str">
        <x:v>cell-based format</x:v>
      </x:c>
      <x:c r="M62" s="9" t="str">
        <x:v>Cn1c(SCCCN2CC[C@]3(C[C@@H]3c3ccc(C(F)(F)F)cc3)C2)nnc1-c1ccc(C(N)=O)cc1</x:v>
      </x:c>
      <x:c r="N62" s="9" t="str">
        <x:v>null</x:v>
      </x:c>
      <x:c r="O62" s="9" t="str">
        <x:v>null</x:v>
      </x:c>
      <x:c r="P62" s="9" t="str">
        <x:v>CHEMBL3853329</x:v>
      </x:c>
      <x:c r="Q62" s="9" t="str">
        <x:v>J Med Chem</x:v>
      </x:c>
      <x:c r="R62" s="13" t="n">
        <x:v>2016</x:v>
      </x:c>
      <x:c r="S62" s="9" t="str">
        <x:v>{"bei":"12.51","le":"0.24","lle":"1.49","sei":"8.37"}</x:v>
      </x:c>
      <x:c r="T62" s="9" t="str">
        <x:v>null</x:v>
      </x:c>
      <x:c r="U62" s="9" t="str">
        <x:v>CHEMBL3899125</x:v>
      </x:c>
      <x:c r="V62" s="9" t="str">
        <x:v>null</x:v>
      </x:c>
      <x:c r="W62" s="9" t="str">
        <x:v>CHEMBL3899125</x:v>
      </x:c>
      <x:c r="X62" s="11" t="n">
        <x:v>6.45</x:v>
      </x:c>
      <x:c r="Y62" s="13" t="n">
        <x:v>0</x:v>
      </x:c>
      <x:c r="Z62" s="9" t="str">
        <x:v>http://www.openphacts.org/units/Nanomolar</x:v>
      </x:c>
      <x:c r="AA62" s="9" t="str">
        <x:v>2796833</x:v>
      </x:c>
      <x:c r="AB62" s="9" t="str">
        <x:v>=</x:v>
      </x:c>
      <x:c r="AC62" s="9" t="str">
        <x:v>1</x:v>
      </x:c>
      <x:c r="AD62" s="13" t="n">
        <x:v>1</x:v>
      </x:c>
      <x:c r="AE62" s="9" t="str">
        <x:v>=</x:v>
      </x:c>
      <x:c r="AF62" s="9" t="str">
        <x:v>null</x:v>
      </x:c>
      <x:c r="AG62" s="9" t="str">
        <x:v>Ki</x:v>
      </x:c>
      <x:c r="AH62" s="9" t="str">
        <x:v>nM</x:v>
      </x:c>
      <x:c r="AI62" s="9" t="str">
        <x:v>null</x:v>
      </x:c>
      <x:c r="AJ62" s="11" t="n">
        <x:v>354.81</x:v>
      </x:c>
      <x:c r="AK62" s="9" t="str">
        <x:v>CHEMBL217</x:v>
      </x:c>
      <x:c r="AL62" s="9" t="str">
        <x:v>Homo sapiens</x:v>
      </x:c>
      <x:c r="AM62" s="9" t="str">
        <x:v>D(2) dopamine receptor</x:v>
      </x:c>
      <x:c r="AN62" s="9" t="str">
        <x:v>9606</x:v>
      </x:c>
      <x:c r="AO62" s="9" t="str">
        <x:v>null</x:v>
      </x:c>
      <x:c r="AP62" s="9" t="str">
        <x:v>null</x:v>
      </x:c>
      <x:c r="AQ62" s="9" t="str">
        <x:v>pKi</x:v>
      </x:c>
      <x:c r="AR62" s="9" t="str">
        <x:v>null</x:v>
      </x:c>
      <x:c r="AS62" s="9" t="str">
        <x:v>UO_0000065</x:v>
      </x:c>
      <x:c r="AT62" s="9" t="str">
        <x:v>null</x:v>
      </x:c>
      <x:c r="AU62" s="9" t="str">
        <x:v>6.45</x:v>
      </x:c>
    </x:row>
    <x:row r="63" ht="51" customHeight="1">
      <x:c r="A63" s="14" t="str">
        <x:v>null</x:v>
      </x:c>
      <x:c r="B63" s="14" t="str">
        <x:v>null</x:v>
      </x:c>
      <x:c r="C63" s="14" t="str">
        <x:v>16670300</x:v>
      </x:c>
      <x:c r="D63" s="14" t="str">
        <x:v>[]</x:v>
      </x:c>
      <x:c r="E63" s="14" t="str">
        <x:v>CHEMBL3855278</x:v>
      </x:c>
      <x:c r="F63" s="14" t="str">
        <x:v>Displacement of [3H]-spiperone from human dopamine D2 receptor expressed in CHO-K1 cell membranes coexpressing Galpha16 after 120 mins by liquid scintillation counting</x:v>
      </x:c>
      <x:c r="G63" s="14" t="str">
        <x:v>B</x:v>
      </x:c>
      <x:c r="H63" s="14" t="str">
        <x:v>null</x:v>
      </x:c>
      <x:c r="I63" s="14" t="str">
        <x:v>null</x:v>
      </x:c>
      <x:c r="J63" s="14" t="str">
        <x:v>BAO_0000192</x:v>
      </x:c>
      <x:c r="K63" s="14" t="str">
        <x:v>BAO_0000219</x:v>
      </x:c>
      <x:c r="L63" s="14" t="str">
        <x:v>cell-based format</x:v>
      </x:c>
      <x:c r="M63" s="14" t="str">
        <x:v>Cn1c(SCCCN2CC[C@]3(C[C@@H]3c3ccc(C(F)(F)F)cc3)C2)nnc1-c1cccc(C(N)=O)c1</x:v>
      </x:c>
      <x:c r="N63" s="14" t="str">
        <x:v>null</x:v>
      </x:c>
      <x:c r="O63" s="14" t="str">
        <x:v>null</x:v>
      </x:c>
      <x:c r="P63" s="14" t="str">
        <x:v>CHEMBL3853329</x:v>
      </x:c>
      <x:c r="Q63" s="14" t="str">
        <x:v>J Med Chem</x:v>
      </x:c>
      <x:c r="R63" s="17" t="n">
        <x:v>2016</x:v>
      </x:c>
      <x:c r="S63" s="14" t="str">
        <x:v>{"bei":"12.02","le":"0.24","lle":"1.24","sei":"8.05"}</x:v>
      </x:c>
      <x:c r="T63" s="14" t="str">
        <x:v>null</x:v>
      </x:c>
      <x:c r="U63" s="14" t="str">
        <x:v>CHEMBL3970323</x:v>
      </x:c>
      <x:c r="V63" s="14" t="str">
        <x:v>null</x:v>
      </x:c>
      <x:c r="W63" s="14" t="str">
        <x:v>CHEMBL3970323</x:v>
      </x:c>
      <x:c r="X63" s="15" t="n">
        <x:v>6.2</x:v>
      </x:c>
      <x:c r="Y63" s="17" t="n">
        <x:v>0</x:v>
      </x:c>
      <x:c r="Z63" s="14" t="str">
        <x:v>http://www.openphacts.org/units/Nanomolar</x:v>
      </x:c>
      <x:c r="AA63" s="14" t="str">
        <x:v>2796834</x:v>
      </x:c>
      <x:c r="AB63" s="14" t="str">
        <x:v>=</x:v>
      </x:c>
      <x:c r="AC63" s="14" t="str">
        <x:v>1</x:v>
      </x:c>
      <x:c r="AD63" s="17" t="n">
        <x:v>1</x:v>
      </x:c>
      <x:c r="AE63" s="14" t="str">
        <x:v>=</x:v>
      </x:c>
      <x:c r="AF63" s="14" t="str">
        <x:v>null</x:v>
      </x:c>
      <x:c r="AG63" s="14" t="str">
        <x:v>Ki</x:v>
      </x:c>
      <x:c r="AH63" s="14" t="str">
        <x:v>nM</x:v>
      </x:c>
      <x:c r="AI63" s="14" t="str">
        <x:v>null</x:v>
      </x:c>
      <x:c r="AJ63" s="15" t="n">
        <x:v>630.96</x:v>
      </x:c>
      <x:c r="AK63" s="14" t="str">
        <x:v>CHEMBL217</x:v>
      </x:c>
      <x:c r="AL63" s="14" t="str">
        <x:v>Homo sapiens</x:v>
      </x:c>
      <x:c r="AM63" s="14" t="str">
        <x:v>D(2) dopamine receptor</x:v>
      </x:c>
      <x:c r="AN63" s="14" t="str">
        <x:v>9606</x:v>
      </x:c>
      <x:c r="AO63" s="14" t="str">
        <x:v>null</x:v>
      </x:c>
      <x:c r="AP63" s="14" t="str">
        <x:v>null</x:v>
      </x:c>
      <x:c r="AQ63" s="14" t="str">
        <x:v>pKi</x:v>
      </x:c>
      <x:c r="AR63" s="14" t="str">
        <x:v>null</x:v>
      </x:c>
      <x:c r="AS63" s="14" t="str">
        <x:v>UO_0000065</x:v>
      </x:c>
      <x:c r="AT63" s="14" t="str">
        <x:v>null</x:v>
      </x:c>
      <x:c r="AU63" s="14" t="str">
        <x:v>6.2</x:v>
      </x:c>
    </x:row>
    <x:row r="64" ht="51" customHeight="1">
      <x:c r="A64" s="9" t="str">
        <x:v>null</x:v>
      </x:c>
      <x:c r="B64" s="9" t="str">
        <x:v>null</x:v>
      </x:c>
      <x:c r="C64" s="9" t="str">
        <x:v>16670301</x:v>
      </x:c>
      <x:c r="D64" s="9" t="str">
        <x:v>[]</x:v>
      </x:c>
      <x:c r="E64" s="9" t="str">
        <x:v>CHEMBL3855278</x:v>
      </x:c>
      <x:c r="F64" s="9" t="str">
        <x:v>Displacement of [3H]-spiperone from human dopamine D2 receptor expressed in CHO-K1 cell membranes coexpressing Galpha16 after 120 mins by liquid scintillation counting</x:v>
      </x:c>
      <x:c r="G64" s="9" t="str">
        <x:v>B</x:v>
      </x:c>
      <x:c r="H64" s="9" t="str">
        <x:v>null</x:v>
      </x:c>
      <x:c r="I64" s="9" t="str">
        <x:v>null</x:v>
      </x:c>
      <x:c r="J64" s="9" t="str">
        <x:v>BAO_0000192</x:v>
      </x:c>
      <x:c r="K64" s="9" t="str">
        <x:v>BAO_0000219</x:v>
      </x:c>
      <x:c r="L64" s="9" t="str">
        <x:v>cell-based format</x:v>
      </x:c>
      <x:c r="M64" s="9" t="str">
        <x:v>Cn1c(SCCCN2CC[C@]3(C[C@@H]3c3ccc(C(F)(F)F)cc3)C2)nnc1-c1ccccc1C(N)=O</x:v>
      </x:c>
      <x:c r="N64" s="9" t="str">
        <x:v>null</x:v>
      </x:c>
      <x:c r="O64" s="9" t="str">
        <x:v>null</x:v>
      </x:c>
      <x:c r="P64" s="9" t="str">
        <x:v>CHEMBL3853329</x:v>
      </x:c>
      <x:c r="Q64" s="9" t="str">
        <x:v>J Med Chem</x:v>
      </x:c>
      <x:c r="R64" s="13" t="n">
        <x:v>2016</x:v>
      </x:c>
      <x:c r="S64" s="9" t="str">
        <x:v>{"bei":"14.35","le":"0.28","lle":"2.44","sei":"9.61"}</x:v>
      </x:c>
      <x:c r="T64" s="9" t="str">
        <x:v>null</x:v>
      </x:c>
      <x:c r="U64" s="9" t="str">
        <x:v>CHEMBL3890178</x:v>
      </x:c>
      <x:c r="V64" s="9" t="str">
        <x:v>null</x:v>
      </x:c>
      <x:c r="W64" s="9" t="str">
        <x:v>CHEMBL3890178</x:v>
      </x:c>
      <x:c r="X64" s="11" t="n">
        <x:v>7.4</x:v>
      </x:c>
      <x:c r="Y64" s="13" t="n">
        <x:v>0</x:v>
      </x:c>
      <x:c r="Z64" s="9" t="str">
        <x:v>http://www.openphacts.org/units/Nanomolar</x:v>
      </x:c>
      <x:c r="AA64" s="9" t="str">
        <x:v>2796835</x:v>
      </x:c>
      <x:c r="AB64" s="9" t="str">
        <x:v>=</x:v>
      </x:c>
      <x:c r="AC64" s="9" t="str">
        <x:v>1</x:v>
      </x:c>
      <x:c r="AD64" s="13" t="n">
        <x:v>1</x:v>
      </x:c>
      <x:c r="AE64" s="9" t="str">
        <x:v>=</x:v>
      </x:c>
      <x:c r="AF64" s="9" t="str">
        <x:v>null</x:v>
      </x:c>
      <x:c r="AG64" s="9" t="str">
        <x:v>Ki</x:v>
      </x:c>
      <x:c r="AH64" s="9" t="str">
        <x:v>nM</x:v>
      </x:c>
      <x:c r="AI64" s="9" t="str">
        <x:v>null</x:v>
      </x:c>
      <x:c r="AJ64" s="11" t="n">
        <x:v>39.81</x:v>
      </x:c>
      <x:c r="AK64" s="9" t="str">
        <x:v>CHEMBL217</x:v>
      </x:c>
      <x:c r="AL64" s="9" t="str">
        <x:v>Homo sapiens</x:v>
      </x:c>
      <x:c r="AM64" s="9" t="str">
        <x:v>D(2) dopamine receptor</x:v>
      </x:c>
      <x:c r="AN64" s="9" t="str">
        <x:v>9606</x:v>
      </x:c>
      <x:c r="AO64" s="9" t="str">
        <x:v>null</x:v>
      </x:c>
      <x:c r="AP64" s="9" t="str">
        <x:v>null</x:v>
      </x:c>
      <x:c r="AQ64" s="9" t="str">
        <x:v>pKi</x:v>
      </x:c>
      <x:c r="AR64" s="9" t="str">
        <x:v>null</x:v>
      </x:c>
      <x:c r="AS64" s="9" t="str">
        <x:v>UO_0000065</x:v>
      </x:c>
      <x:c r="AT64" s="9" t="str">
        <x:v>null</x:v>
      </x:c>
      <x:c r="AU64" s="9" t="str">
        <x:v>7.4</x:v>
      </x:c>
    </x:row>
    <x:row r="65" ht="51" customHeight="1">
      <x:c r="A65" s="14" t="str">
        <x:v>null</x:v>
      </x:c>
      <x:c r="B65" s="14" t="str">
        <x:v>null</x:v>
      </x:c>
      <x:c r="C65" s="14" t="str">
        <x:v>16670302</x:v>
      </x:c>
      <x:c r="D65" s="14" t="str">
        <x:v>[]</x:v>
      </x:c>
      <x:c r="E65" s="14" t="str">
        <x:v>CHEMBL3855278</x:v>
      </x:c>
      <x:c r="F65" s="14" t="str">
        <x:v>Displacement of [3H]-spiperone from human dopamine D2 receptor expressed in CHO-K1 cell membranes coexpressing Galpha16 after 120 mins by liquid scintillation counting</x:v>
      </x:c>
      <x:c r="G65" s="14" t="str">
        <x:v>B</x:v>
      </x:c>
      <x:c r="H65" s="14" t="str">
        <x:v>null</x:v>
      </x:c>
      <x:c r="I65" s="14" t="str">
        <x:v>null</x:v>
      </x:c>
      <x:c r="J65" s="14" t="str">
        <x:v>BAO_0000192</x:v>
      </x:c>
      <x:c r="K65" s="14" t="str">
        <x:v>BAO_0000219</x:v>
      </x:c>
      <x:c r="L65" s="14" t="str">
        <x:v>cell-based format</x:v>
      </x:c>
      <x:c r="M65" s="14" t="str">
        <x:v>Cn1c(SCCCN2CC[C@]3(C[C@@H]3c3ccc(C(F)(F)F)cc3)C2)nnc1-c1ccc(S(N)(=O)=O)cc1</x:v>
      </x:c>
      <x:c r="N65" s="14" t="str">
        <x:v>null</x:v>
      </x:c>
      <x:c r="O65" s="14" t="str">
        <x:v>null</x:v>
      </x:c>
      <x:c r="P65" s="14" t="str">
        <x:v>CHEMBL3853329</x:v>
      </x:c>
      <x:c r="Q65" s="14" t="str">
        <x:v>J Med Chem</x:v>
      </x:c>
      <x:c r="R65" s="17" t="n">
        <x:v>2016</x:v>
      </x:c>
      <x:c r="S65" s="14" t="str">
        <x:v>{"bei":"12.07","le":"0.25","lle":"2.15","sei":"7.08"}</x:v>
      </x:c>
      <x:c r="T65" s="14" t="str">
        <x:v>null</x:v>
      </x:c>
      <x:c r="U65" s="14" t="str">
        <x:v>CHEMBL3959240</x:v>
      </x:c>
      <x:c r="V65" s="14" t="str">
        <x:v>null</x:v>
      </x:c>
      <x:c r="W65" s="14" t="str">
        <x:v>CHEMBL3959240</x:v>
      </x:c>
      <x:c r="X65" s="15" t="n">
        <x:v>6.66</x:v>
      </x:c>
      <x:c r="Y65" s="17" t="n">
        <x:v>0</x:v>
      </x:c>
      <x:c r="Z65" s="14" t="str">
        <x:v>http://www.openphacts.org/units/Nanomolar</x:v>
      </x:c>
      <x:c r="AA65" s="14" t="str">
        <x:v>2796836</x:v>
      </x:c>
      <x:c r="AB65" s="14" t="str">
        <x:v>=</x:v>
      </x:c>
      <x:c r="AC65" s="14" t="str">
        <x:v>1</x:v>
      </x:c>
      <x:c r="AD65" s="17" t="n">
        <x:v>1</x:v>
      </x:c>
      <x:c r="AE65" s="14" t="str">
        <x:v>=</x:v>
      </x:c>
      <x:c r="AF65" s="14" t="str">
        <x:v>null</x:v>
      </x:c>
      <x:c r="AG65" s="14" t="str">
        <x:v>Ki</x:v>
      </x:c>
      <x:c r="AH65" s="14" t="str">
        <x:v>nM</x:v>
      </x:c>
      <x:c r="AI65" s="14" t="str">
        <x:v>null</x:v>
      </x:c>
      <x:c r="AJ65" s="15" t="n">
        <x:v>218.78</x:v>
      </x:c>
      <x:c r="AK65" s="14" t="str">
        <x:v>CHEMBL217</x:v>
      </x:c>
      <x:c r="AL65" s="14" t="str">
        <x:v>Homo sapiens</x:v>
      </x:c>
      <x:c r="AM65" s="14" t="str">
        <x:v>D(2) dopamine receptor</x:v>
      </x:c>
      <x:c r="AN65" s="14" t="str">
        <x:v>9606</x:v>
      </x:c>
      <x:c r="AO65" s="14" t="str">
        <x:v>null</x:v>
      </x:c>
      <x:c r="AP65" s="14" t="str">
        <x:v>null</x:v>
      </x:c>
      <x:c r="AQ65" s="14" t="str">
        <x:v>pKi</x:v>
      </x:c>
      <x:c r="AR65" s="14" t="str">
        <x:v>null</x:v>
      </x:c>
      <x:c r="AS65" s="14" t="str">
        <x:v>UO_0000065</x:v>
      </x:c>
      <x:c r="AT65" s="14" t="str">
        <x:v>null</x:v>
      </x:c>
      <x:c r="AU65" s="14" t="str">
        <x:v>6.66</x:v>
      </x:c>
    </x:row>
    <x:row r="66" ht="51" customHeight="1">
      <x:c r="A66" s="9" t="str">
        <x:v>null</x:v>
      </x:c>
      <x:c r="B66" s="9" t="str">
        <x:v>null</x:v>
      </x:c>
      <x:c r="C66" s="9" t="str">
        <x:v>16670303</x:v>
      </x:c>
      <x:c r="D66" s="9" t="str">
        <x:v>[]</x:v>
      </x:c>
      <x:c r="E66" s="9" t="str">
        <x:v>CHEMBL3855278</x:v>
      </x:c>
      <x:c r="F66" s="9" t="str">
        <x:v>Displacement of [3H]-spiperone from human dopamine D2 receptor expressed in CHO-K1 cell membranes coexpressing Galpha16 after 120 mins by liquid scintillation counting</x:v>
      </x:c>
      <x:c r="G66" s="9" t="str">
        <x:v>B</x:v>
      </x:c>
      <x:c r="H66" s="9" t="str">
        <x:v>null</x:v>
      </x:c>
      <x:c r="I66" s="9" t="str">
        <x:v>null</x:v>
      </x:c>
      <x:c r="J66" s="9" t="str">
        <x:v>BAO_0000192</x:v>
      </x:c>
      <x:c r="K66" s="9" t="str">
        <x:v>BAO_0000219</x:v>
      </x:c>
      <x:c r="L66" s="9" t="str">
        <x:v>cell-based format</x:v>
      </x:c>
      <x:c r="M66" s="9" t="str">
        <x:v>CC(=O)c1ccc(-c2nnc(SCCCN3CC[C@]4(C[C@@H]4c4ccc(C(F)(F)F)cc4)C3)n2C)cc1</x:v>
      </x:c>
      <x:c r="N66" s="9" t="str">
        <x:v>null</x:v>
      </x:c>
      <x:c r="O66" s="9" t="str">
        <x:v>null</x:v>
      </x:c>
      <x:c r="P66" s="9" t="str">
        <x:v>CHEMBL3853329</x:v>
      </x:c>
      <x:c r="Q66" s="9" t="str">
        <x:v>J Med Chem</x:v>
      </x:c>
      <x:c r="R66" s="13" t="n">
        <x:v>2016</x:v>
      </x:c>
      <x:c r="S66" s="9" t="str">
        <x:v>{"bei":"12.34","le":"0.24","lle":"0.28","sei":"12.45"}</x:v>
      </x:c>
      <x:c r="T66" s="9" t="str">
        <x:v>null</x:v>
      </x:c>
      <x:c r="U66" s="9" t="str">
        <x:v>CHEMBL3979523</x:v>
      </x:c>
      <x:c r="V66" s="9" t="str">
        <x:v>null</x:v>
      </x:c>
      <x:c r="W66" s="9" t="str">
        <x:v>CHEMBL3979523</x:v>
      </x:c>
      <x:c r="X66" s="11" t="n">
        <x:v>6.35</x:v>
      </x:c>
      <x:c r="Y66" s="13" t="n">
        <x:v>0</x:v>
      </x:c>
      <x:c r="Z66" s="9" t="str">
        <x:v>http://www.openphacts.org/units/Nanomolar</x:v>
      </x:c>
      <x:c r="AA66" s="9" t="str">
        <x:v>2796837</x:v>
      </x:c>
      <x:c r="AB66" s="9" t="str">
        <x:v>=</x:v>
      </x:c>
      <x:c r="AC66" s="9" t="str">
        <x:v>1</x:v>
      </x:c>
      <x:c r="AD66" s="13" t="n">
        <x:v>1</x:v>
      </x:c>
      <x:c r="AE66" s="9" t="str">
        <x:v>=</x:v>
      </x:c>
      <x:c r="AF66" s="9" t="str">
        <x:v>null</x:v>
      </x:c>
      <x:c r="AG66" s="9" t="str">
        <x:v>Ki</x:v>
      </x:c>
      <x:c r="AH66" s="9" t="str">
        <x:v>nM</x:v>
      </x:c>
      <x:c r="AI66" s="9" t="str">
        <x:v>null</x:v>
      </x:c>
      <x:c r="AJ66" s="11" t="n">
        <x:v>446.68</x:v>
      </x:c>
      <x:c r="AK66" s="9" t="str">
        <x:v>CHEMBL217</x:v>
      </x:c>
      <x:c r="AL66" s="9" t="str">
        <x:v>Homo sapiens</x:v>
      </x:c>
      <x:c r="AM66" s="9" t="str">
        <x:v>D(2) dopamine receptor</x:v>
      </x:c>
      <x:c r="AN66" s="9" t="str">
        <x:v>9606</x:v>
      </x:c>
      <x:c r="AO66" s="9" t="str">
        <x:v>null</x:v>
      </x:c>
      <x:c r="AP66" s="9" t="str">
        <x:v>null</x:v>
      </x:c>
      <x:c r="AQ66" s="9" t="str">
        <x:v>pKi</x:v>
      </x:c>
      <x:c r="AR66" s="9" t="str">
        <x:v>null</x:v>
      </x:c>
      <x:c r="AS66" s="9" t="str">
        <x:v>UO_0000065</x:v>
      </x:c>
      <x:c r="AT66" s="9" t="str">
        <x:v>null</x:v>
      </x:c>
      <x:c r="AU66" s="9" t="str">
        <x:v>6.35</x:v>
      </x:c>
    </x:row>
    <x:row r="67" ht="51" customHeight="1">
      <x:c r="A67" s="14" t="str">
        <x:v>null</x:v>
      </x:c>
      <x:c r="B67" s="14" t="str">
        <x:v>null</x:v>
      </x:c>
      <x:c r="C67" s="14" t="str">
        <x:v>16670304</x:v>
      </x:c>
      <x:c r="D67" s="14" t="str">
        <x:v>[]</x:v>
      </x:c>
      <x:c r="E67" s="14" t="str">
        <x:v>CHEMBL3855278</x:v>
      </x:c>
      <x:c r="F67" s="14" t="str">
        <x:v>Displacement of [3H]-spiperone from human dopamine D2 receptor expressed in CHO-K1 cell membranes coexpressing Galpha16 after 120 mins by liquid scintillation counting</x:v>
      </x:c>
      <x:c r="G67" s="14" t="str">
        <x:v>B</x:v>
      </x:c>
      <x:c r="H67" s="14" t="str">
        <x:v>null</x:v>
      </x:c>
      <x:c r="I67" s="14" t="str">
        <x:v>null</x:v>
      </x:c>
      <x:c r="J67" s="14" t="str">
        <x:v>BAO_0000192</x:v>
      </x:c>
      <x:c r="K67" s="14" t="str">
        <x:v>BAO_0000219</x:v>
      </x:c>
      <x:c r="L67" s="14" t="str">
        <x:v>cell-based format</x:v>
      </x:c>
      <x:c r="M67" s="14" t="str">
        <x:v>Cn1c(SCCCN2CC[C@]3(C[C@@H]3c3ccc(C(F)(F)F)cc3)C2)nnc1-c1ccc(C#N)cc1</x:v>
      </x:c>
      <x:c r="N67" s="14" t="str">
        <x:v>null</x:v>
      </x:c>
      <x:c r="O67" s="14" t="str">
        <x:v>null</x:v>
      </x:c>
      <x:c r="P67" s="14" t="str">
        <x:v>CHEMBL3853329</x:v>
      </x:c>
      <x:c r="Q67" s="14" t="str">
        <x:v>J Med Chem</x:v>
      </x:c>
      <x:c r="R67" s="17" t="n">
        <x:v>2016</x:v>
      </x:c>
      <x:c r="S67" s="14" t="str">
        <x:v>{"bei":"12.98","le":"0.25","lle":"0.73","sei":"11.19"}</x:v>
      </x:c>
      <x:c r="T67" s="14" t="str">
        <x:v>null</x:v>
      </x:c>
      <x:c r="U67" s="14" t="str">
        <x:v>CHEMBL3950540</x:v>
      </x:c>
      <x:c r="V67" s="14" t="str">
        <x:v>null</x:v>
      </x:c>
      <x:c r="W67" s="14" t="str">
        <x:v>CHEMBL3950540</x:v>
      </x:c>
      <x:c r="X67" s="15" t="n">
        <x:v>6.46</x:v>
      </x:c>
      <x:c r="Y67" s="17" t="n">
        <x:v>0</x:v>
      </x:c>
      <x:c r="Z67" s="14" t="str">
        <x:v>http://www.openphacts.org/units/Nanomolar</x:v>
      </x:c>
      <x:c r="AA67" s="14" t="str">
        <x:v>2796838</x:v>
      </x:c>
      <x:c r="AB67" s="14" t="str">
        <x:v>=</x:v>
      </x:c>
      <x:c r="AC67" s="14" t="str">
        <x:v>1</x:v>
      </x:c>
      <x:c r="AD67" s="17" t="n">
        <x:v>1</x:v>
      </x:c>
      <x:c r="AE67" s="14" t="str">
        <x:v>=</x:v>
      </x:c>
      <x:c r="AF67" s="14" t="str">
        <x:v>null</x:v>
      </x:c>
      <x:c r="AG67" s="14" t="str">
        <x:v>Ki</x:v>
      </x:c>
      <x:c r="AH67" s="14" t="str">
        <x:v>nM</x:v>
      </x:c>
      <x:c r="AI67" s="14" t="str">
        <x:v>null</x:v>
      </x:c>
      <x:c r="AJ67" s="15" t="n">
        <x:v>346.74</x:v>
      </x:c>
      <x:c r="AK67" s="14" t="str">
        <x:v>CHEMBL217</x:v>
      </x:c>
      <x:c r="AL67" s="14" t="str">
        <x:v>Homo sapiens</x:v>
      </x:c>
      <x:c r="AM67" s="14" t="str">
        <x:v>D(2) dopamine receptor</x:v>
      </x:c>
      <x:c r="AN67" s="14" t="str">
        <x:v>9606</x:v>
      </x:c>
      <x:c r="AO67" s="14" t="str">
        <x:v>null</x:v>
      </x:c>
      <x:c r="AP67" s="14" t="str">
        <x:v>null</x:v>
      </x:c>
      <x:c r="AQ67" s="14" t="str">
        <x:v>pKi</x:v>
      </x:c>
      <x:c r="AR67" s="14" t="str">
        <x:v>null</x:v>
      </x:c>
      <x:c r="AS67" s="14" t="str">
        <x:v>UO_0000065</x:v>
      </x:c>
      <x:c r="AT67" s="14" t="str">
        <x:v>null</x:v>
      </x:c>
      <x:c r="AU67" s="14" t="str">
        <x:v>6.46</x:v>
      </x:c>
    </x:row>
    <x:row r="68" ht="51" customHeight="1">
      <x:c r="A68" s="9" t="str">
        <x:v>null</x:v>
      </x:c>
      <x:c r="B68" s="9" t="str">
        <x:v>null</x:v>
      </x:c>
      <x:c r="C68" s="9" t="str">
        <x:v>16670305</x:v>
      </x:c>
      <x:c r="D68" s="9" t="str">
        <x:v>[]</x:v>
      </x:c>
      <x:c r="E68" s="9" t="str">
        <x:v>CHEMBL3855278</x:v>
      </x:c>
      <x:c r="F68" s="9" t="str">
        <x:v>Displacement of [3H]-spiperone from human dopamine D2 receptor expressed in CHO-K1 cell membranes coexpressing Galpha16 after 120 mins by liquid scintillation counting</x:v>
      </x:c>
      <x:c r="G68" s="9" t="str">
        <x:v>B</x:v>
      </x:c>
      <x:c r="H68" s="9" t="str">
        <x:v>null</x:v>
      </x:c>
      <x:c r="I68" s="9" t="str">
        <x:v>null</x:v>
      </x:c>
      <x:c r="J68" s="9" t="str">
        <x:v>BAO_0000192</x:v>
      </x:c>
      <x:c r="K68" s="9" t="str">
        <x:v>BAO_0000219</x:v>
      </x:c>
      <x:c r="L68" s="9" t="str">
        <x:v>cell-based format</x:v>
      </x:c>
      <x:c r="M68" s="9" t="str">
        <x:v>Cn1c(SCCCN2CC[C@]3(C[C@@H]3c3ccc(C(F)(F)F)cc3)C2)nnc1-c1ccc(CC(N)=O)cc1</x:v>
      </x:c>
      <x:c r="N68" s="9" t="str">
        <x:v>null</x:v>
      </x:c>
      <x:c r="O68" s="9" t="str">
        <x:v>null</x:v>
      </x:c>
      <x:c r="P68" s="9" t="str">
        <x:v>CHEMBL3853329</x:v>
      </x:c>
      <x:c r="Q68" s="9" t="str">
        <x:v>J Med Chem</x:v>
      </x:c>
      <x:c r="R68" s="13" t="n">
        <x:v>2016</x:v>
      </x:c>
      <x:c r="S68" s="9" t="str">
        <x:v>{"bei":"11.95","le":"0.23","lle":"1.44","sei":"8.22"}</x:v>
      </x:c>
      <x:c r="T68" s="9" t="str">
        <x:v>null</x:v>
      </x:c>
      <x:c r="U68" s="9" t="str">
        <x:v>CHEMBL3981856</x:v>
      </x:c>
      <x:c r="V68" s="9" t="str">
        <x:v>null</x:v>
      </x:c>
      <x:c r="W68" s="9" t="str">
        <x:v>CHEMBL3981856</x:v>
      </x:c>
      <x:c r="X68" s="11" t="n">
        <x:v>6.33</x:v>
      </x:c>
      <x:c r="Y68" s="13" t="n">
        <x:v>0</x:v>
      </x:c>
      <x:c r="Z68" s="9" t="str">
        <x:v>http://www.openphacts.org/units/Nanomolar</x:v>
      </x:c>
      <x:c r="AA68" s="9" t="str">
        <x:v>2796839</x:v>
      </x:c>
      <x:c r="AB68" s="9" t="str">
        <x:v>=</x:v>
      </x:c>
      <x:c r="AC68" s="9" t="str">
        <x:v>1</x:v>
      </x:c>
      <x:c r="AD68" s="13" t="n">
        <x:v>1</x:v>
      </x:c>
      <x:c r="AE68" s="9" t="str">
        <x:v>=</x:v>
      </x:c>
      <x:c r="AF68" s="9" t="str">
        <x:v>null</x:v>
      </x:c>
      <x:c r="AG68" s="9" t="str">
        <x:v>Ki</x:v>
      </x:c>
      <x:c r="AH68" s="9" t="str">
        <x:v>nM</x:v>
      </x:c>
      <x:c r="AI68" s="9" t="str">
        <x:v>null</x:v>
      </x:c>
      <x:c r="AJ68" s="11" t="n">
        <x:v>467.74</x:v>
      </x:c>
      <x:c r="AK68" s="9" t="str">
        <x:v>CHEMBL217</x:v>
      </x:c>
      <x:c r="AL68" s="9" t="str">
        <x:v>Homo sapiens</x:v>
      </x:c>
      <x:c r="AM68" s="9" t="str">
        <x:v>D(2) dopamine receptor</x:v>
      </x:c>
      <x:c r="AN68" s="9" t="str">
        <x:v>9606</x:v>
      </x:c>
      <x:c r="AO68" s="9" t="str">
        <x:v>null</x:v>
      </x:c>
      <x:c r="AP68" s="9" t="str">
        <x:v>null</x:v>
      </x:c>
      <x:c r="AQ68" s="9" t="str">
        <x:v>pKi</x:v>
      </x:c>
      <x:c r="AR68" s="9" t="str">
        <x:v>null</x:v>
      </x:c>
      <x:c r="AS68" s="9" t="str">
        <x:v>UO_0000065</x:v>
      </x:c>
      <x:c r="AT68" s="9" t="str">
        <x:v>null</x:v>
      </x:c>
      <x:c r="AU68" s="9" t="str">
        <x:v>6.33</x:v>
      </x:c>
    </x:row>
    <x:row r="69" ht="51" customHeight="1">
      <x:c r="A69" s="14" t="str">
        <x:v>null</x:v>
      </x:c>
      <x:c r="B69" s="14" t="str">
        <x:v>null</x:v>
      </x:c>
      <x:c r="C69" s="14" t="str">
        <x:v>16670306</x:v>
      </x:c>
      <x:c r="D69" s="14" t="str">
        <x:v>[]</x:v>
      </x:c>
      <x:c r="E69" s="14" t="str">
        <x:v>CHEMBL3855278</x:v>
      </x:c>
      <x:c r="F69" s="14" t="str">
        <x:v>Displacement of [3H]-spiperone from human dopamine D2 receptor expressed in CHO-K1 cell membranes coexpressing Galpha16 after 120 mins by liquid scintillation counting</x:v>
      </x:c>
      <x:c r="G69" s="14" t="str">
        <x:v>B</x:v>
      </x:c>
      <x:c r="H69" s="14" t="str">
        <x:v>null</x:v>
      </x:c>
      <x:c r="I69" s="14" t="str">
        <x:v>null</x:v>
      </x:c>
      <x:c r="J69" s="14" t="str">
        <x:v>BAO_0000192</x:v>
      </x:c>
      <x:c r="K69" s="14" t="str">
        <x:v>BAO_0000219</x:v>
      </x:c>
      <x:c r="L69" s="14" t="str">
        <x:v>cell-based format</x:v>
      </x:c>
      <x:c r="M69" s="14" t="str">
        <x:v>Cn1c(SCCCN2CC[C@]3(C[C@@H]3c3ccc(C(F)(F)F)cc3)C2)nnc1-c1ccc(-c2ncco2)cc1</x:v>
      </x:c>
      <x:c r="N69" s="14" t="str">
        <x:v>null</x:v>
      </x:c>
      <x:c r="O69" s="14" t="str">
        <x:v>null</x:v>
      </x:c>
      <x:c r="P69" s="14" t="str">
        <x:v>CHEMBL3853329</x:v>
      </x:c>
      <x:c r="Q69" s="14" t="str">
        <x:v>J Med Chem</x:v>
      </x:c>
      <x:c r="R69" s="17" t="n">
        <x:v>2016</x:v>
      </x:c>
      <x:c r="S69" s="14" t="str">
        <x:v>{"bei":"11.93","le":"0.23","lle":"-0.08","sei":"10.74"}</x:v>
      </x:c>
      <x:c r="T69" s="14" t="str">
        <x:v>null</x:v>
      </x:c>
      <x:c r="U69" s="14" t="str">
        <x:v>CHEMBL3941818</x:v>
      </x:c>
      <x:c r="V69" s="14" t="str">
        <x:v>null</x:v>
      </x:c>
      <x:c r="W69" s="14" t="str">
        <x:v>CHEMBL3941818</x:v>
      </x:c>
      <x:c r="X69" s="15" t="n">
        <x:v>6.44</x:v>
      </x:c>
      <x:c r="Y69" s="17" t="n">
        <x:v>0</x:v>
      </x:c>
      <x:c r="Z69" s="14" t="str">
        <x:v>http://www.openphacts.org/units/Nanomolar</x:v>
      </x:c>
      <x:c r="AA69" s="14" t="str">
        <x:v>2796840</x:v>
      </x:c>
      <x:c r="AB69" s="14" t="str">
        <x:v>=</x:v>
      </x:c>
      <x:c r="AC69" s="14" t="str">
        <x:v>1</x:v>
      </x:c>
      <x:c r="AD69" s="17" t="n">
        <x:v>1</x:v>
      </x:c>
      <x:c r="AE69" s="14" t="str">
        <x:v>=</x:v>
      </x:c>
      <x:c r="AF69" s="14" t="str">
        <x:v>null</x:v>
      </x:c>
      <x:c r="AG69" s="14" t="str">
        <x:v>Ki</x:v>
      </x:c>
      <x:c r="AH69" s="14" t="str">
        <x:v>nM</x:v>
      </x:c>
      <x:c r="AI69" s="14" t="str">
        <x:v>null</x:v>
      </x:c>
      <x:c r="AJ69" s="15" t="n">
        <x:v>363.08</x:v>
      </x:c>
      <x:c r="AK69" s="14" t="str">
        <x:v>CHEMBL217</x:v>
      </x:c>
      <x:c r="AL69" s="14" t="str">
        <x:v>Homo sapiens</x:v>
      </x:c>
      <x:c r="AM69" s="14" t="str">
        <x:v>D(2) dopamine receptor</x:v>
      </x:c>
      <x:c r="AN69" s="14" t="str">
        <x:v>9606</x:v>
      </x:c>
      <x:c r="AO69" s="14" t="str">
        <x:v>null</x:v>
      </x:c>
      <x:c r="AP69" s="14" t="str">
        <x:v>null</x:v>
      </x:c>
      <x:c r="AQ69" s="14" t="str">
        <x:v>pKi</x:v>
      </x:c>
      <x:c r="AR69" s="14" t="str">
        <x:v>null</x:v>
      </x:c>
      <x:c r="AS69" s="14" t="str">
        <x:v>UO_0000065</x:v>
      </x:c>
      <x:c r="AT69" s="14" t="str">
        <x:v>null</x:v>
      </x:c>
      <x:c r="AU69" s="14" t="str">
        <x:v>6.44</x:v>
      </x:c>
    </x:row>
    <x:row r="70" ht="51" customHeight="1">
      <x:c r="A70" s="9" t="str">
        <x:v>null</x:v>
      </x:c>
      <x:c r="B70" s="9" t="str">
        <x:v>null</x:v>
      </x:c>
      <x:c r="C70" s="9" t="str">
        <x:v>16670307</x:v>
      </x:c>
      <x:c r="D70" s="9" t="str">
        <x:v>[]</x:v>
      </x:c>
      <x:c r="E70" s="9" t="str">
        <x:v>CHEMBL3855278</x:v>
      </x:c>
      <x:c r="F70" s="9" t="str">
        <x:v>Displacement of [3H]-spiperone from human dopamine D2 receptor expressed in CHO-K1 cell membranes coexpressing Galpha16 after 120 mins by liquid scintillation counting</x:v>
      </x:c>
      <x:c r="G70" s="9" t="str">
        <x:v>B</x:v>
      </x:c>
      <x:c r="H70" s="9" t="str">
        <x:v>null</x:v>
      </x:c>
      <x:c r="I70" s="9" t="str">
        <x:v>null</x:v>
      </x:c>
      <x:c r="J70" s="9" t="str">
        <x:v>BAO_0000192</x:v>
      </x:c>
      <x:c r="K70" s="9" t="str">
        <x:v>BAO_0000219</x:v>
      </x:c>
      <x:c r="L70" s="9" t="str">
        <x:v>cell-based format</x:v>
      </x:c>
      <x:c r="M70" s="9" t="str">
        <x:v>Cn1c(SCCCN2CC[C@]3(C[C@@H]3c3ccc(C(F)(F)F)cc3)C2)nnc1-c1cccc(-c2ncco2)c1</x:v>
      </x:c>
      <x:c r="N70" s="9" t="str">
        <x:v>null</x:v>
      </x:c>
      <x:c r="O70" s="9" t="str">
        <x:v>null</x:v>
      </x:c>
      <x:c r="P70" s="9" t="str">
        <x:v>CHEMBL3853329</x:v>
      </x:c>
      <x:c r="Q70" s="9" t="str">
        <x:v>J Med Chem</x:v>
      </x:c>
      <x:c r="R70" s="13" t="n">
        <x:v>2016</x:v>
      </x:c>
      <x:c r="S70" s="9" t="str">
        <x:v>{"bei":"11.67","le":"0.23","lle":"-0.22","sei":"10.50"}</x:v>
      </x:c>
      <x:c r="T70" s="9" t="str">
        <x:v>null</x:v>
      </x:c>
      <x:c r="U70" s="9" t="str">
        <x:v>CHEMBL3920167</x:v>
      </x:c>
      <x:c r="V70" s="9" t="str">
        <x:v>null</x:v>
      </x:c>
      <x:c r="W70" s="9" t="str">
        <x:v>CHEMBL3920167</x:v>
      </x:c>
      <x:c r="X70" s="11" t="n">
        <x:v>6.3</x:v>
      </x:c>
      <x:c r="Y70" s="13" t="n">
        <x:v>0</x:v>
      </x:c>
      <x:c r="Z70" s="9" t="str">
        <x:v>http://www.openphacts.org/units/Nanomolar</x:v>
      </x:c>
      <x:c r="AA70" s="9" t="str">
        <x:v>2796841</x:v>
      </x:c>
      <x:c r="AB70" s="9" t="str">
        <x:v>=</x:v>
      </x:c>
      <x:c r="AC70" s="9" t="str">
        <x:v>1</x:v>
      </x:c>
      <x:c r="AD70" s="13" t="n">
        <x:v>1</x:v>
      </x:c>
      <x:c r="AE70" s="9" t="str">
        <x:v>=</x:v>
      </x:c>
      <x:c r="AF70" s="9" t="str">
        <x:v>null</x:v>
      </x:c>
      <x:c r="AG70" s="9" t="str">
        <x:v>Ki</x:v>
      </x:c>
      <x:c r="AH70" s="9" t="str">
        <x:v>nM</x:v>
      </x:c>
      <x:c r="AI70" s="9" t="str">
        <x:v>null</x:v>
      </x:c>
      <x:c r="AJ70" s="11" t="n">
        <x:v>501.19</x:v>
      </x:c>
      <x:c r="AK70" s="9" t="str">
        <x:v>CHEMBL217</x:v>
      </x:c>
      <x:c r="AL70" s="9" t="str">
        <x:v>Homo sapiens</x:v>
      </x:c>
      <x:c r="AM70" s="9" t="str">
        <x:v>D(2) dopamine receptor</x:v>
      </x:c>
      <x:c r="AN70" s="9" t="str">
        <x:v>9606</x:v>
      </x:c>
      <x:c r="AO70" s="9" t="str">
        <x:v>null</x:v>
      </x:c>
      <x:c r="AP70" s="9" t="str">
        <x:v>null</x:v>
      </x:c>
      <x:c r="AQ70" s="9" t="str">
        <x:v>pKi</x:v>
      </x:c>
      <x:c r="AR70" s="9" t="str">
        <x:v>null</x:v>
      </x:c>
      <x:c r="AS70" s="9" t="str">
        <x:v>UO_0000065</x:v>
      </x:c>
      <x:c r="AT70" s="9" t="str">
        <x:v>null</x:v>
      </x:c>
      <x:c r="AU70" s="9" t="str">
        <x:v>6.3</x:v>
      </x:c>
    </x:row>
    <x:row r="71" ht="51" customHeight="1">
      <x:c r="A71" s="14" t="str">
        <x:v>null</x:v>
      </x:c>
      <x:c r="B71" s="14" t="str">
        <x:v>null</x:v>
      </x:c>
      <x:c r="C71" s="14" t="str">
        <x:v>16670402</x:v>
      </x:c>
      <x:c r="D71" s="14" t="str">
        <x:v>[]</x:v>
      </x:c>
      <x:c r="E71" s="14" t="str">
        <x:v>CHEMBL3855278</x:v>
      </x:c>
      <x:c r="F71" s="14" t="str">
        <x:v>Displacement of [3H]-spiperone from human dopamine D2 receptor expressed in CHO-K1 cell membranes coexpressing Galpha16 after 120 mins by liquid scintillation counting</x:v>
      </x:c>
      <x:c r="G71" s="14" t="str">
        <x:v>B</x:v>
      </x:c>
      <x:c r="H71" s="14" t="str">
        <x:v>null</x:v>
      </x:c>
      <x:c r="I71" s="14" t="str">
        <x:v>null</x:v>
      </x:c>
      <x:c r="J71" s="14" t="str">
        <x:v>BAO_0000192</x:v>
      </x:c>
      <x:c r="K71" s="14" t="str">
        <x:v>BAO_0000219</x:v>
      </x:c>
      <x:c r="L71" s="14" t="str">
        <x:v>cell-based format</x:v>
      </x:c>
      <x:c r="M71" s="14" t="str">
        <x:v>Cn1c(SCCCN2CC[C@]3(C[C@H]3c3ccc(C(F)(F)F)cc3)C2)nnc1-c1ccncc1</x:v>
      </x:c>
      <x:c r="N71" s="14" t="str">
        <x:v>null</x:v>
      </x:c>
      <x:c r="O71" s="14" t="str">
        <x:v>null</x:v>
      </x:c>
      <x:c r="P71" s="14" t="str">
        <x:v>CHEMBL3853329</x:v>
      </x:c>
      <x:c r="Q71" s="14" t="str">
        <x:v>J Med Chem</x:v>
      </x:c>
      <x:c r="R71" s="17" t="n">
        <x:v>2016</x:v>
      </x:c>
      <x:c r="S71" s="14" t="str">
        <x:v>{"bei":"12.80","le":"0.25","lle":"0.80","sei":"12.94"}</x:v>
      </x:c>
      <x:c r="T71" s="14" t="str">
        <x:v>null</x:v>
      </x:c>
      <x:c r="U71" s="14" t="str">
        <x:v>CHEMBL3947961</x:v>
      </x:c>
      <x:c r="V71" s="14" t="str">
        <x:v>null</x:v>
      </x:c>
      <x:c r="W71" s="14" t="str">
        <x:v>CHEMBL3947961</x:v>
      </x:c>
      <x:c r="X71" s="15" t="n">
        <x:v>6.06</x:v>
      </x:c>
      <x:c r="Y71" s="17" t="n">
        <x:v>0</x:v>
      </x:c>
      <x:c r="Z71" s="14" t="str">
        <x:v>http://www.openphacts.org/units/Nanomolar</x:v>
      </x:c>
      <x:c r="AA71" s="14" t="str">
        <x:v>2796842</x:v>
      </x:c>
      <x:c r="AB71" s="14" t="str">
        <x:v>=</x:v>
      </x:c>
      <x:c r="AC71" s="14" t="str">
        <x:v>1</x:v>
      </x:c>
      <x:c r="AD71" s="17" t="n">
        <x:v>1</x:v>
      </x:c>
      <x:c r="AE71" s="14" t="str">
        <x:v>=</x:v>
      </x:c>
      <x:c r="AF71" s="14" t="str">
        <x:v>null</x:v>
      </x:c>
      <x:c r="AG71" s="14" t="str">
        <x:v>Ki</x:v>
      </x:c>
      <x:c r="AH71" s="14" t="str">
        <x:v>nM</x:v>
      </x:c>
      <x:c r="AI71" s="14" t="str">
        <x:v>null</x:v>
      </x:c>
      <x:c r="AJ71" s="15" t="n">
        <x:v>870.96</x:v>
      </x:c>
      <x:c r="AK71" s="14" t="str">
        <x:v>CHEMBL217</x:v>
      </x:c>
      <x:c r="AL71" s="14" t="str">
        <x:v>Homo sapiens</x:v>
      </x:c>
      <x:c r="AM71" s="14" t="str">
        <x:v>D(2) dopamine receptor</x:v>
      </x:c>
      <x:c r="AN71" s="14" t="str">
        <x:v>9606</x:v>
      </x:c>
      <x:c r="AO71" s="14" t="str">
        <x:v>null</x:v>
      </x:c>
      <x:c r="AP71" s="14" t="str">
        <x:v>null</x:v>
      </x:c>
      <x:c r="AQ71" s="14" t="str">
        <x:v>pKi</x:v>
      </x:c>
      <x:c r="AR71" s="14" t="str">
        <x:v>null</x:v>
      </x:c>
      <x:c r="AS71" s="14" t="str">
        <x:v>UO_0000065</x:v>
      </x:c>
      <x:c r="AT71" s="14" t="str">
        <x:v>null</x:v>
      </x:c>
      <x:c r="AU71" s="14" t="str">
        <x:v>6.06</x:v>
      </x:c>
    </x:row>
    <x:row r="72" ht="51" customHeight="1">
      <x:c r="A72" s="9" t="str">
        <x:v>null</x:v>
      </x:c>
      <x:c r="B72" s="9" t="str">
        <x:v>null</x:v>
      </x:c>
      <x:c r="C72" s="9" t="str">
        <x:v>16670403</x:v>
      </x:c>
      <x:c r="D72" s="9" t="str">
        <x:v>[]</x:v>
      </x:c>
      <x:c r="E72" s="9" t="str">
        <x:v>CHEMBL3855278</x:v>
      </x:c>
      <x:c r="F72" s="9" t="str">
        <x:v>Displacement of [3H]-spiperone from human dopamine D2 receptor expressed in CHO-K1 cell membranes coexpressing Galpha16 after 120 mins by liquid scintillation counting</x:v>
      </x:c>
      <x:c r="G72" s="9" t="str">
        <x:v>B</x:v>
      </x:c>
      <x:c r="H72" s="9" t="str">
        <x:v>null</x:v>
      </x:c>
      <x:c r="I72" s="9" t="str">
        <x:v>null</x:v>
      </x:c>
      <x:c r="J72" s="9" t="str">
        <x:v>BAO_0000192</x:v>
      </x:c>
      <x:c r="K72" s="9" t="str">
        <x:v>BAO_0000219</x:v>
      </x:c>
      <x:c r="L72" s="9" t="str">
        <x:v>cell-based format</x:v>
      </x:c>
      <x:c r="M72" s="9" t="str">
        <x:v>Cn1c(SCCCN2CC[C@]3(C[C@@H]3c3ccc(C(F)(F)F)cc3)C2)nnc1-c1ccncc1</x:v>
      </x:c>
      <x:c r="N72" s="9" t="str">
        <x:v>null</x:v>
      </x:c>
      <x:c r="O72" s="9" t="str">
        <x:v>null</x:v>
      </x:c>
      <x:c r="P72" s="9" t="str">
        <x:v>CHEMBL3853329</x:v>
      </x:c>
      <x:c r="Q72" s="9" t="str">
        <x:v>J Med Chem</x:v>
      </x:c>
      <x:c r="R72" s="13" t="n">
        <x:v>2016</x:v>
      </x:c>
      <x:c r="S72" s="9" t="str">
        <x:v>{"bei":"13.11","le":"0.26","lle":"0.95","sei":"13.26"}</x:v>
      </x:c>
      <x:c r="T72" s="9" t="str">
        <x:v>null</x:v>
      </x:c>
      <x:c r="U72" s="9" t="str">
        <x:v>CHEMBL3929083</x:v>
      </x:c>
      <x:c r="V72" s="9" t="str">
        <x:v>null</x:v>
      </x:c>
      <x:c r="W72" s="9" t="str">
        <x:v>CHEMBL3929083</x:v>
      </x:c>
      <x:c r="X72" s="11" t="n">
        <x:v>6.21</x:v>
      </x:c>
      <x:c r="Y72" s="13" t="n">
        <x:v>0</x:v>
      </x:c>
      <x:c r="Z72" s="9" t="str">
        <x:v>http://www.openphacts.org/units/Nanomolar</x:v>
      </x:c>
      <x:c r="AA72" s="9" t="str">
        <x:v>2796843</x:v>
      </x:c>
      <x:c r="AB72" s="9" t="str">
        <x:v>=</x:v>
      </x:c>
      <x:c r="AC72" s="9" t="str">
        <x:v>1</x:v>
      </x:c>
      <x:c r="AD72" s="13" t="n">
        <x:v>1</x:v>
      </x:c>
      <x:c r="AE72" s="9" t="str">
        <x:v>=</x:v>
      </x:c>
      <x:c r="AF72" s="9" t="str">
        <x:v>null</x:v>
      </x:c>
      <x:c r="AG72" s="9" t="str">
        <x:v>Ki</x:v>
      </x:c>
      <x:c r="AH72" s="9" t="str">
        <x:v>nM</x:v>
      </x:c>
      <x:c r="AI72" s="9" t="str">
        <x:v>null</x:v>
      </x:c>
      <x:c r="AJ72" s="11" t="n">
        <x:v>616.6</x:v>
      </x:c>
      <x:c r="AK72" s="9" t="str">
        <x:v>CHEMBL217</x:v>
      </x:c>
      <x:c r="AL72" s="9" t="str">
        <x:v>Homo sapiens</x:v>
      </x:c>
      <x:c r="AM72" s="9" t="str">
        <x:v>D(2) dopamine receptor</x:v>
      </x:c>
      <x:c r="AN72" s="9" t="str">
        <x:v>9606</x:v>
      </x:c>
      <x:c r="AO72" s="9" t="str">
        <x:v>null</x:v>
      </x:c>
      <x:c r="AP72" s="9" t="str">
        <x:v>null</x:v>
      </x:c>
      <x:c r="AQ72" s="9" t="str">
        <x:v>pKi</x:v>
      </x:c>
      <x:c r="AR72" s="9" t="str">
        <x:v>null</x:v>
      </x:c>
      <x:c r="AS72" s="9" t="str">
        <x:v>UO_0000065</x:v>
      </x:c>
      <x:c r="AT72" s="9" t="str">
        <x:v>null</x:v>
      </x:c>
      <x:c r="AU72" s="9" t="str">
        <x:v>6.21</x:v>
      </x:c>
    </x:row>
    <x:row r="73" ht="51" customHeight="1">
      <x:c r="A73" s="14" t="str">
        <x:v>null</x:v>
      </x:c>
      <x:c r="B73" s="14" t="str">
        <x:v>null</x:v>
      </x:c>
      <x:c r="C73" s="14" t="str">
        <x:v>16670404</x:v>
      </x:c>
      <x:c r="D73" s="14" t="str">
        <x:v>[]</x:v>
      </x:c>
      <x:c r="E73" s="14" t="str">
        <x:v>CHEMBL3855278</x:v>
      </x:c>
      <x:c r="F73" s="14" t="str">
        <x:v>Displacement of [3H]-spiperone from human dopamine D2 receptor expressed in CHO-K1 cell membranes coexpressing Galpha16 after 120 mins by liquid scintillation counting</x:v>
      </x:c>
      <x:c r="G73" s="14" t="str">
        <x:v>B</x:v>
      </x:c>
      <x:c r="H73" s="14" t="str">
        <x:v>null</x:v>
      </x:c>
      <x:c r="I73" s="14" t="str">
        <x:v>null</x:v>
      </x:c>
      <x:c r="J73" s="14" t="str">
        <x:v>BAO_0000192</x:v>
      </x:c>
      <x:c r="K73" s="14" t="str">
        <x:v>BAO_0000219</x:v>
      </x:c>
      <x:c r="L73" s="14" t="str">
        <x:v>cell-based format</x:v>
      </x:c>
      <x:c r="M73" s="14" t="str">
        <x:v>Cn1c(SCCCN2CC[C@]3(C[C@H]3c3ccc(C(F)(F)F)cc3)C2)nnc1-c1cccnc1</x:v>
      </x:c>
      <x:c r="N73" s="14" t="str">
        <x:v>null</x:v>
      </x:c>
      <x:c r="O73" s="14" t="str">
        <x:v>null</x:v>
      </x:c>
      <x:c r="P73" s="14" t="str">
        <x:v>CHEMBL3853329</x:v>
      </x:c>
      <x:c r="Q73" s="14" t="str">
        <x:v>J Med Chem</x:v>
      </x:c>
      <x:c r="R73" s="17" t="n">
        <x:v>2016</x:v>
      </x:c>
      <x:c r="S73" s="14" t="str">
        <x:v>{"bei":"12.40","le":"0.24","lle":"0.61","sei":"12.53"}</x:v>
      </x:c>
      <x:c r="T73" s="14" t="str">
        <x:v>null</x:v>
      </x:c>
      <x:c r="U73" s="14" t="str">
        <x:v>CHEMBL3956612</x:v>
      </x:c>
      <x:c r="V73" s="14" t="str">
        <x:v>null</x:v>
      </x:c>
      <x:c r="W73" s="14" t="str">
        <x:v>CHEMBL3956612</x:v>
      </x:c>
      <x:c r="X73" s="15" t="n">
        <x:v>5.87</x:v>
      </x:c>
      <x:c r="Y73" s="17" t="n">
        <x:v>0</x:v>
      </x:c>
      <x:c r="Z73" s="14" t="str">
        <x:v>http://www.openphacts.org/units/Nanomolar</x:v>
      </x:c>
      <x:c r="AA73" s="14" t="str">
        <x:v>2796844</x:v>
      </x:c>
      <x:c r="AB73" s="14" t="str">
        <x:v>=</x:v>
      </x:c>
      <x:c r="AC73" s="14" t="str">
        <x:v>1</x:v>
      </x:c>
      <x:c r="AD73" s="17" t="n">
        <x:v>1</x:v>
      </x:c>
      <x:c r="AE73" s="14" t="str">
        <x:v>=</x:v>
      </x:c>
      <x:c r="AF73" s="14" t="str">
        <x:v>null</x:v>
      </x:c>
      <x:c r="AG73" s="14" t="str">
        <x:v>Ki</x:v>
      </x:c>
      <x:c r="AH73" s="14" t="str">
        <x:v>nM</x:v>
      </x:c>
      <x:c r="AI73" s="14" t="str">
        <x:v>null</x:v>
      </x:c>
      <x:c r="AJ73" s="15" t="n">
        <x:v>1348.96</x:v>
      </x:c>
      <x:c r="AK73" s="14" t="str">
        <x:v>CHEMBL217</x:v>
      </x:c>
      <x:c r="AL73" s="14" t="str">
        <x:v>Homo sapiens</x:v>
      </x:c>
      <x:c r="AM73" s="14" t="str">
        <x:v>D(2) dopamine receptor</x:v>
      </x:c>
      <x:c r="AN73" s="14" t="str">
        <x:v>9606</x:v>
      </x:c>
      <x:c r="AO73" s="14" t="str">
        <x:v>null</x:v>
      </x:c>
      <x:c r="AP73" s="14" t="str">
        <x:v>null</x:v>
      </x:c>
      <x:c r="AQ73" s="14" t="str">
        <x:v>pKi</x:v>
      </x:c>
      <x:c r="AR73" s="14" t="str">
        <x:v>null</x:v>
      </x:c>
      <x:c r="AS73" s="14" t="str">
        <x:v>UO_0000065</x:v>
      </x:c>
      <x:c r="AT73" s="14" t="str">
        <x:v>null</x:v>
      </x:c>
      <x:c r="AU73" s="14" t="str">
        <x:v>5.87</x:v>
      </x:c>
    </x:row>
    <x:row r="74" ht="51" customHeight="1">
      <x:c r="A74" s="9" t="str">
        <x:v>null</x:v>
      </x:c>
      <x:c r="B74" s="9" t="str">
        <x:v>null</x:v>
      </x:c>
      <x:c r="C74" s="9" t="str">
        <x:v>16670405</x:v>
      </x:c>
      <x:c r="D74" s="9" t="str">
        <x:v>[]</x:v>
      </x:c>
      <x:c r="E74" s="9" t="str">
        <x:v>CHEMBL3855278</x:v>
      </x:c>
      <x:c r="F74" s="9" t="str">
        <x:v>Displacement of [3H]-spiperone from human dopamine D2 receptor expressed in CHO-K1 cell membranes coexpressing Galpha16 after 120 mins by liquid scintillation counting</x:v>
      </x:c>
      <x:c r="G74" s="9" t="str">
        <x:v>B</x:v>
      </x:c>
      <x:c r="H74" s="9" t="str">
        <x:v>null</x:v>
      </x:c>
      <x:c r="I74" s="9" t="str">
        <x:v>null</x:v>
      </x:c>
      <x:c r="J74" s="9" t="str">
        <x:v>BAO_0000192</x:v>
      </x:c>
      <x:c r="K74" s="9" t="str">
        <x:v>BAO_0000219</x:v>
      </x:c>
      <x:c r="L74" s="9" t="str">
        <x:v>cell-based format</x:v>
      </x:c>
      <x:c r="M74" s="9" t="str">
        <x:v>Cn1c(SCCCN2CC[C@]3(C[C@@H]3c3ccc(C(F)(F)F)cc3)C2)nnc1-c1cccnc1</x:v>
      </x:c>
      <x:c r="N74" s="9" t="str">
        <x:v>null</x:v>
      </x:c>
      <x:c r="O74" s="9" t="str">
        <x:v>null</x:v>
      </x:c>
      <x:c r="P74" s="9" t="str">
        <x:v>CHEMBL3853329</x:v>
      </x:c>
      <x:c r="Q74" s="9" t="str">
        <x:v>J Med Chem</x:v>
      </x:c>
      <x:c r="R74" s="13" t="n">
        <x:v>2016</x:v>
      </x:c>
      <x:c r="S74" s="9" t="str">
        <x:v>{"bei":"12.78","le":"0.25","lle":"0.79","sei":"12.92"}</x:v>
      </x:c>
      <x:c r="T74" s="9" t="str">
        <x:v>null</x:v>
      </x:c>
      <x:c r="U74" s="9" t="str">
        <x:v>CHEMBL3938107</x:v>
      </x:c>
      <x:c r="V74" s="9" t="str">
        <x:v>null</x:v>
      </x:c>
      <x:c r="W74" s="9" t="str">
        <x:v>CHEMBL3938107</x:v>
      </x:c>
      <x:c r="X74" s="11" t="n">
        <x:v>6.05</x:v>
      </x:c>
      <x:c r="Y74" s="13" t="n">
        <x:v>0</x:v>
      </x:c>
      <x:c r="Z74" s="9" t="str">
        <x:v>http://www.openphacts.org/units/Nanomolar</x:v>
      </x:c>
      <x:c r="AA74" s="9" t="str">
        <x:v>2796845</x:v>
      </x:c>
      <x:c r="AB74" s="9" t="str">
        <x:v>=</x:v>
      </x:c>
      <x:c r="AC74" s="9" t="str">
        <x:v>1</x:v>
      </x:c>
      <x:c r="AD74" s="13" t="n">
        <x:v>1</x:v>
      </x:c>
      <x:c r="AE74" s="9" t="str">
        <x:v>=</x:v>
      </x:c>
      <x:c r="AF74" s="9" t="str">
        <x:v>null</x:v>
      </x:c>
      <x:c r="AG74" s="9" t="str">
        <x:v>Ki</x:v>
      </x:c>
      <x:c r="AH74" s="9" t="str">
        <x:v>nM</x:v>
      </x:c>
      <x:c r="AI74" s="9" t="str">
        <x:v>null</x:v>
      </x:c>
      <x:c r="AJ74" s="11" t="n">
        <x:v>891.25</x:v>
      </x:c>
      <x:c r="AK74" s="9" t="str">
        <x:v>CHEMBL217</x:v>
      </x:c>
      <x:c r="AL74" s="9" t="str">
        <x:v>Homo sapiens</x:v>
      </x:c>
      <x:c r="AM74" s="9" t="str">
        <x:v>D(2) dopamine receptor</x:v>
      </x:c>
      <x:c r="AN74" s="9" t="str">
        <x:v>9606</x:v>
      </x:c>
      <x:c r="AO74" s="9" t="str">
        <x:v>null</x:v>
      </x:c>
      <x:c r="AP74" s="9" t="str">
        <x:v>null</x:v>
      </x:c>
      <x:c r="AQ74" s="9" t="str">
        <x:v>pKi</x:v>
      </x:c>
      <x:c r="AR74" s="9" t="str">
        <x:v>null</x:v>
      </x:c>
      <x:c r="AS74" s="9" t="str">
        <x:v>UO_0000065</x:v>
      </x:c>
      <x:c r="AT74" s="9" t="str">
        <x:v>null</x:v>
      </x:c>
      <x:c r="AU74" s="9" t="str">
        <x:v>6.05</x:v>
      </x:c>
    </x:row>
    <x:row r="75" ht="51" customHeight="1">
      <x:c r="A75" s="14" t="str">
        <x:v>null</x:v>
      </x:c>
      <x:c r="B75" s="14" t="str">
        <x:v>null</x:v>
      </x:c>
      <x:c r="C75" s="14" t="str">
        <x:v>16670406</x:v>
      </x:c>
      <x:c r="D75" s="14" t="str">
        <x:v>[]</x:v>
      </x:c>
      <x:c r="E75" s="14" t="str">
        <x:v>CHEMBL3855278</x:v>
      </x:c>
      <x:c r="F75" s="14" t="str">
        <x:v>Displacement of [3H]-spiperone from human dopamine D2 receptor expressed in CHO-K1 cell membranes coexpressing Galpha16 after 120 mins by liquid scintillation counting</x:v>
      </x:c>
      <x:c r="G75" s="14" t="str">
        <x:v>B</x:v>
      </x:c>
      <x:c r="H75" s="14" t="str">
        <x:v>null</x:v>
      </x:c>
      <x:c r="I75" s="14" t="str">
        <x:v>null</x:v>
      </x:c>
      <x:c r="J75" s="14" t="str">
        <x:v>BAO_0000192</x:v>
      </x:c>
      <x:c r="K75" s="14" t="str">
        <x:v>BAO_0000219</x:v>
      </x:c>
      <x:c r="L75" s="14" t="str">
        <x:v>cell-based format</x:v>
      </x:c>
      <x:c r="M75" s="14" t="str">
        <x:v>Cn1c(SCCCN2CC[C@]3(C[C@H]3c3ccc(C(F)(F)F)cc3)C2)nnc1-c1ccccn1</x:v>
      </x:c>
      <x:c r="N75" s="14" t="str">
        <x:v>null</x:v>
      </x:c>
      <x:c r="O75" s="14" t="str">
        <x:v>null</x:v>
      </x:c>
      <x:c r="P75" s="14" t="str">
        <x:v>CHEMBL3853329</x:v>
      </x:c>
      <x:c r="Q75" s="14" t="str">
        <x:v>J Med Chem</x:v>
      </x:c>
      <x:c r="R75" s="17" t="n">
        <x:v>2016</x:v>
      </x:c>
      <x:c r="S75" s="14" t="str">
        <x:v>{"bei":"13.09","le":"0.26","lle":"0.94","sei":"13.24"}</x:v>
      </x:c>
      <x:c r="T75" s="14" t="str">
        <x:v>null</x:v>
      </x:c>
      <x:c r="U75" s="14" t="str">
        <x:v>CHEMBL3967683</x:v>
      </x:c>
      <x:c r="V75" s="14" t="str">
        <x:v>null</x:v>
      </x:c>
      <x:c r="W75" s="14" t="str">
        <x:v>CHEMBL3967683</x:v>
      </x:c>
      <x:c r="X75" s="15" t="n">
        <x:v>6.2</x:v>
      </x:c>
      <x:c r="Y75" s="17" t="n">
        <x:v>0</x:v>
      </x:c>
      <x:c r="Z75" s="14" t="str">
        <x:v>http://www.openphacts.org/units/Nanomolar</x:v>
      </x:c>
      <x:c r="AA75" s="14" t="str">
        <x:v>2796846</x:v>
      </x:c>
      <x:c r="AB75" s="14" t="str">
        <x:v>=</x:v>
      </x:c>
      <x:c r="AC75" s="14" t="str">
        <x:v>1</x:v>
      </x:c>
      <x:c r="AD75" s="17" t="n">
        <x:v>1</x:v>
      </x:c>
      <x:c r="AE75" s="14" t="str">
        <x:v>=</x:v>
      </x:c>
      <x:c r="AF75" s="14" t="str">
        <x:v>null</x:v>
      </x:c>
      <x:c r="AG75" s="14" t="str">
        <x:v>Ki</x:v>
      </x:c>
      <x:c r="AH75" s="14" t="str">
        <x:v>nM</x:v>
      </x:c>
      <x:c r="AI75" s="14" t="str">
        <x:v>null</x:v>
      </x:c>
      <x:c r="AJ75" s="15" t="n">
        <x:v>630.96</x:v>
      </x:c>
      <x:c r="AK75" s="14" t="str">
        <x:v>CHEMBL217</x:v>
      </x:c>
      <x:c r="AL75" s="14" t="str">
        <x:v>Homo sapiens</x:v>
      </x:c>
      <x:c r="AM75" s="14" t="str">
        <x:v>D(2) dopamine receptor</x:v>
      </x:c>
      <x:c r="AN75" s="14" t="str">
        <x:v>9606</x:v>
      </x:c>
      <x:c r="AO75" s="14" t="str">
        <x:v>null</x:v>
      </x:c>
      <x:c r="AP75" s="14" t="str">
        <x:v>null</x:v>
      </x:c>
      <x:c r="AQ75" s="14" t="str">
        <x:v>pKi</x:v>
      </x:c>
      <x:c r="AR75" s="14" t="str">
        <x:v>null</x:v>
      </x:c>
      <x:c r="AS75" s="14" t="str">
        <x:v>UO_0000065</x:v>
      </x:c>
      <x:c r="AT75" s="14" t="str">
        <x:v>null</x:v>
      </x:c>
      <x:c r="AU75" s="14" t="str">
        <x:v>6.2</x:v>
      </x:c>
    </x:row>
    <x:row r="76" ht="51" customHeight="1">
      <x:c r="A76" s="9" t="str">
        <x:v>null</x:v>
      </x:c>
      <x:c r="B76" s="9" t="str">
        <x:v>null</x:v>
      </x:c>
      <x:c r="C76" s="9" t="str">
        <x:v>16670407</x:v>
      </x:c>
      <x:c r="D76" s="9" t="str">
        <x:v>[]</x:v>
      </x:c>
      <x:c r="E76" s="9" t="str">
        <x:v>CHEMBL3855278</x:v>
      </x:c>
      <x:c r="F76" s="9" t="str">
        <x:v>Displacement of [3H]-spiperone from human dopamine D2 receptor expressed in CHO-K1 cell membranes coexpressing Galpha16 after 120 mins by liquid scintillation counting</x:v>
      </x:c>
      <x:c r="G76" s="9" t="str">
        <x:v>B</x:v>
      </x:c>
      <x:c r="H76" s="9" t="str">
        <x:v>null</x:v>
      </x:c>
      <x:c r="I76" s="9" t="str">
        <x:v>null</x:v>
      </x:c>
      <x:c r="J76" s="9" t="str">
        <x:v>BAO_0000192</x:v>
      </x:c>
      <x:c r="K76" s="9" t="str">
        <x:v>BAO_0000219</x:v>
      </x:c>
      <x:c r="L76" s="9" t="str">
        <x:v>cell-based format</x:v>
      </x:c>
      <x:c r="M76" s="9" t="str">
        <x:v>Cn1c(SCCCN2CC[C@]3(C[C@@H]3c3ccc(C(F)(F)F)cc3)C2)nnc1-c1ccccn1</x:v>
      </x:c>
      <x:c r="N76" s="9" t="str">
        <x:v>null</x:v>
      </x:c>
      <x:c r="O76" s="9" t="str">
        <x:v>null</x:v>
      </x:c>
      <x:c r="P76" s="9" t="str">
        <x:v>CHEMBL3853329</x:v>
      </x:c>
      <x:c r="Q76" s="9" t="str">
        <x:v>J Med Chem</x:v>
      </x:c>
      <x:c r="R76" s="13" t="n">
        <x:v>2016</x:v>
      </x:c>
      <x:c r="S76" s="9" t="str">
        <x:v>{"bei":"13.26","le":"0.26","lle":"1.02","sei":"13.41"}</x:v>
      </x:c>
      <x:c r="T76" s="9" t="str">
        <x:v>null</x:v>
      </x:c>
      <x:c r="U76" s="9" t="str">
        <x:v>CHEMBL3946901</x:v>
      </x:c>
      <x:c r="V76" s="9" t="str">
        <x:v>null</x:v>
      </x:c>
      <x:c r="W76" s="9" t="str">
        <x:v>CHEMBL3946901</x:v>
      </x:c>
      <x:c r="X76" s="11" t="n">
        <x:v>6.28</x:v>
      </x:c>
      <x:c r="Y76" s="13" t="n">
        <x:v>0</x:v>
      </x:c>
      <x:c r="Z76" s="9" t="str">
        <x:v>http://www.openphacts.org/units/Nanomolar</x:v>
      </x:c>
      <x:c r="AA76" s="9" t="str">
        <x:v>2796847</x:v>
      </x:c>
      <x:c r="AB76" s="9" t="str">
        <x:v>=</x:v>
      </x:c>
      <x:c r="AC76" s="9" t="str">
        <x:v>1</x:v>
      </x:c>
      <x:c r="AD76" s="13" t="n">
        <x:v>1</x:v>
      </x:c>
      <x:c r="AE76" s="9" t="str">
        <x:v>=</x:v>
      </x:c>
      <x:c r="AF76" s="9" t="str">
        <x:v>null</x:v>
      </x:c>
      <x:c r="AG76" s="9" t="str">
        <x:v>Ki</x:v>
      </x:c>
      <x:c r="AH76" s="9" t="str">
        <x:v>nM</x:v>
      </x:c>
      <x:c r="AI76" s="9" t="str">
        <x:v>null</x:v>
      </x:c>
      <x:c r="AJ76" s="11" t="n">
        <x:v>524.81</x:v>
      </x:c>
      <x:c r="AK76" s="9" t="str">
        <x:v>CHEMBL217</x:v>
      </x:c>
      <x:c r="AL76" s="9" t="str">
        <x:v>Homo sapiens</x:v>
      </x:c>
      <x:c r="AM76" s="9" t="str">
        <x:v>D(2) dopamine receptor</x:v>
      </x:c>
      <x:c r="AN76" s="9" t="str">
        <x:v>9606</x:v>
      </x:c>
      <x:c r="AO76" s="9" t="str">
        <x:v>null</x:v>
      </x:c>
      <x:c r="AP76" s="9" t="str">
        <x:v>null</x:v>
      </x:c>
      <x:c r="AQ76" s="9" t="str">
        <x:v>pKi</x:v>
      </x:c>
      <x:c r="AR76" s="9" t="str">
        <x:v>null</x:v>
      </x:c>
      <x:c r="AS76" s="9" t="str">
        <x:v>UO_0000065</x:v>
      </x:c>
      <x:c r="AT76" s="9" t="str">
        <x:v>null</x:v>
      </x:c>
      <x:c r="AU76" s="9" t="str">
        <x:v>6.28</x:v>
      </x:c>
    </x:row>
    <x:row r="77" ht="51" customHeight="1">
      <x:c r="A77" s="14" t="str">
        <x:v>null</x:v>
      </x:c>
      <x:c r="B77" s="14" t="str">
        <x:v>null</x:v>
      </x:c>
      <x:c r="C77" s="14" t="str">
        <x:v>16670408</x:v>
      </x:c>
      <x:c r="D77" s="14" t="str">
        <x:v>[]</x:v>
      </x:c>
      <x:c r="E77" s="14" t="str">
        <x:v>CHEMBL3855278</x:v>
      </x:c>
      <x:c r="F77" s="14" t="str">
        <x:v>Displacement of [3H]-spiperone from human dopamine D2 receptor expressed in CHO-K1 cell membranes coexpressing Galpha16 after 120 mins by liquid scintillation counting</x:v>
      </x:c>
      <x:c r="G77" s="14" t="str">
        <x:v>B</x:v>
      </x:c>
      <x:c r="H77" s="14" t="str">
        <x:v>null</x:v>
      </x:c>
      <x:c r="I77" s="14" t="str">
        <x:v>null</x:v>
      </x:c>
      <x:c r="J77" s="14" t="str">
        <x:v>BAO_0000192</x:v>
      </x:c>
      <x:c r="K77" s="14" t="str">
        <x:v>BAO_0000219</x:v>
      </x:c>
      <x:c r="L77" s="14" t="str">
        <x:v>cell-based format</x:v>
      </x:c>
      <x:c r="M77" s="14" t="str">
        <x:v>Cn1c(SCCCN2CC[C@]3(C[C@H]3c3ccc(C(F)(F)F)cc3)C2)nnc1-c1cnccn1</x:v>
      </x:c>
      <x:c r="N77" s="14" t="str">
        <x:v>null</x:v>
      </x:c>
      <x:c r="O77" s="14" t="str">
        <x:v>null</x:v>
      </x:c>
      <x:c r="P77" s="14" t="str">
        <x:v>CHEMBL3853329</x:v>
      </x:c>
      <x:c r="Q77" s="14" t="str">
        <x:v>J Med Chem</x:v>
      </x:c>
      <x:c r="R77" s="17" t="n">
        <x:v>2016</x:v>
      </x:c>
      <x:c r="S77" s="14" t="str">
        <x:v>{"bei":"12.31","le":"0.24","lle":"1.19","sei":"9.78"}</x:v>
      </x:c>
      <x:c r="T77" s="14" t="str">
        <x:v>null</x:v>
      </x:c>
      <x:c r="U77" s="14" t="str">
        <x:v>CHEMBL3976192</x:v>
      </x:c>
      <x:c r="V77" s="14" t="str">
        <x:v>null</x:v>
      </x:c>
      <x:c r="W77" s="14" t="str">
        <x:v>CHEMBL3976192</x:v>
      </x:c>
      <x:c r="X77" s="15" t="n">
        <x:v>5.84</x:v>
      </x:c>
      <x:c r="Y77" s="17" t="n">
        <x:v>0</x:v>
      </x:c>
      <x:c r="Z77" s="14" t="str">
        <x:v>http://www.openphacts.org/units/Nanomolar</x:v>
      </x:c>
      <x:c r="AA77" s="14" t="str">
        <x:v>2796848</x:v>
      </x:c>
      <x:c r="AB77" s="14" t="str">
        <x:v>=</x:v>
      </x:c>
      <x:c r="AC77" s="14" t="str">
        <x:v>1</x:v>
      </x:c>
      <x:c r="AD77" s="17" t="n">
        <x:v>1</x:v>
      </x:c>
      <x:c r="AE77" s="14" t="str">
        <x:v>=</x:v>
      </x:c>
      <x:c r="AF77" s="14" t="str">
        <x:v>null</x:v>
      </x:c>
      <x:c r="AG77" s="14" t="str">
        <x:v>Ki</x:v>
      </x:c>
      <x:c r="AH77" s="14" t="str">
        <x:v>nM</x:v>
      </x:c>
      <x:c r="AI77" s="14" t="str">
        <x:v>null</x:v>
      </x:c>
      <x:c r="AJ77" s="15" t="n">
        <x:v>1445.44</x:v>
      </x:c>
      <x:c r="AK77" s="14" t="str">
        <x:v>CHEMBL217</x:v>
      </x:c>
      <x:c r="AL77" s="14" t="str">
        <x:v>Homo sapiens</x:v>
      </x:c>
      <x:c r="AM77" s="14" t="str">
        <x:v>D(2) dopamine receptor</x:v>
      </x:c>
      <x:c r="AN77" s="14" t="str">
        <x:v>9606</x:v>
      </x:c>
      <x:c r="AO77" s="14" t="str">
        <x:v>null</x:v>
      </x:c>
      <x:c r="AP77" s="14" t="str">
        <x:v>null</x:v>
      </x:c>
      <x:c r="AQ77" s="14" t="str">
        <x:v>pKi</x:v>
      </x:c>
      <x:c r="AR77" s="14" t="str">
        <x:v>null</x:v>
      </x:c>
      <x:c r="AS77" s="14" t="str">
        <x:v>UO_0000065</x:v>
      </x:c>
      <x:c r="AT77" s="14" t="str">
        <x:v>null</x:v>
      </x:c>
      <x:c r="AU77" s="14" t="str">
        <x:v>5.84</x:v>
      </x:c>
    </x:row>
    <x:row r="78" ht="51" customHeight="1">
      <x:c r="A78" s="9" t="str">
        <x:v>null</x:v>
      </x:c>
      <x:c r="B78" s="9" t="str">
        <x:v>null</x:v>
      </x:c>
      <x:c r="C78" s="9" t="str">
        <x:v>16670409</x:v>
      </x:c>
      <x:c r="D78" s="9" t="str">
        <x:v>[]</x:v>
      </x:c>
      <x:c r="E78" s="9" t="str">
        <x:v>CHEMBL3855278</x:v>
      </x:c>
      <x:c r="F78" s="9" t="str">
        <x:v>Displacement of [3H]-spiperone from human dopamine D2 receptor expressed in CHO-K1 cell membranes coexpressing Galpha16 after 120 mins by liquid scintillation counting</x:v>
      </x:c>
      <x:c r="G78" s="9" t="str">
        <x:v>B</x:v>
      </x:c>
      <x:c r="H78" s="9" t="str">
        <x:v>null</x:v>
      </x:c>
      <x:c r="I78" s="9" t="str">
        <x:v>null</x:v>
      </x:c>
      <x:c r="J78" s="9" t="str">
        <x:v>BAO_0000192</x:v>
      </x:c>
      <x:c r="K78" s="9" t="str">
        <x:v>BAO_0000219</x:v>
      </x:c>
      <x:c r="L78" s="9" t="str">
        <x:v>cell-based format</x:v>
      </x:c>
      <x:c r="M78" s="9" t="str">
        <x:v>Cn1c(SCCCN2CC[C@]3(C[C@@H]3c3ccc(C(F)(F)F)cc3)C2)nnc1-c1cnccn1</x:v>
      </x:c>
      <x:c r="N78" s="9" t="str">
        <x:v>null</x:v>
      </x:c>
      <x:c r="O78" s="9" t="str">
        <x:v>null</x:v>
      </x:c>
      <x:c r="P78" s="9" t="str">
        <x:v>CHEMBL3853329</x:v>
      </x:c>
      <x:c r="Q78" s="9" t="str">
        <x:v>J Med Chem</x:v>
      </x:c>
      <x:c r="R78" s="13" t="n">
        <x:v>2016</x:v>
      </x:c>
      <x:c r="S78" s="9" t="str">
        <x:v>{"bei":"13.34","le":"0.26","lle":"1.68","sei":"10.60"}</x:v>
      </x:c>
      <x:c r="T78" s="9" t="str">
        <x:v>null</x:v>
      </x:c>
      <x:c r="U78" s="9" t="str">
        <x:v>CHEMBL3955608</x:v>
      </x:c>
      <x:c r="V78" s="9" t="str">
        <x:v>null</x:v>
      </x:c>
      <x:c r="W78" s="9" t="str">
        <x:v>CHEMBL3955608</x:v>
      </x:c>
      <x:c r="X78" s="11" t="n">
        <x:v>6.33</x:v>
      </x:c>
      <x:c r="Y78" s="13" t="n">
        <x:v>0</x:v>
      </x:c>
      <x:c r="Z78" s="9" t="str">
        <x:v>http://www.openphacts.org/units/Nanomolar</x:v>
      </x:c>
      <x:c r="AA78" s="9" t="str">
        <x:v>2796849</x:v>
      </x:c>
      <x:c r="AB78" s="9" t="str">
        <x:v>=</x:v>
      </x:c>
      <x:c r="AC78" s="9" t="str">
        <x:v>1</x:v>
      </x:c>
      <x:c r="AD78" s="13" t="n">
        <x:v>1</x:v>
      </x:c>
      <x:c r="AE78" s="9" t="str">
        <x:v>=</x:v>
      </x:c>
      <x:c r="AF78" s="9" t="str">
        <x:v>null</x:v>
      </x:c>
      <x:c r="AG78" s="9" t="str">
        <x:v>Ki</x:v>
      </x:c>
      <x:c r="AH78" s="9" t="str">
        <x:v>nM</x:v>
      </x:c>
      <x:c r="AI78" s="9" t="str">
        <x:v>null</x:v>
      </x:c>
      <x:c r="AJ78" s="11" t="n">
        <x:v>467.74</x:v>
      </x:c>
      <x:c r="AK78" s="9" t="str">
        <x:v>CHEMBL217</x:v>
      </x:c>
      <x:c r="AL78" s="9" t="str">
        <x:v>Homo sapiens</x:v>
      </x:c>
      <x:c r="AM78" s="9" t="str">
        <x:v>D(2) dopamine receptor</x:v>
      </x:c>
      <x:c r="AN78" s="9" t="str">
        <x:v>9606</x:v>
      </x:c>
      <x:c r="AO78" s="9" t="str">
        <x:v>null</x:v>
      </x:c>
      <x:c r="AP78" s="9" t="str">
        <x:v>null</x:v>
      </x:c>
      <x:c r="AQ78" s="9" t="str">
        <x:v>pKi</x:v>
      </x:c>
      <x:c r="AR78" s="9" t="str">
        <x:v>null</x:v>
      </x:c>
      <x:c r="AS78" s="9" t="str">
        <x:v>UO_0000065</x:v>
      </x:c>
      <x:c r="AT78" s="9" t="str">
        <x:v>null</x:v>
      </x:c>
      <x:c r="AU78" s="9" t="str">
        <x:v>6.33</x:v>
      </x:c>
    </x:row>
    <x:row r="79" ht="51" customHeight="1">
      <x:c r="A79" s="14" t="str">
        <x:v>null</x:v>
      </x:c>
      <x:c r="B79" s="14" t="str">
        <x:v>null</x:v>
      </x:c>
      <x:c r="C79" s="14" t="str">
        <x:v>16670410</x:v>
      </x:c>
      <x:c r="D79" s="14" t="str">
        <x:v>[]</x:v>
      </x:c>
      <x:c r="E79" s="14" t="str">
        <x:v>CHEMBL3855278</x:v>
      </x:c>
      <x:c r="F79" s="14" t="str">
        <x:v>Displacement of [3H]-spiperone from human dopamine D2 receptor expressed in CHO-K1 cell membranes coexpressing Galpha16 after 120 mins by liquid scintillation counting</x:v>
      </x:c>
      <x:c r="G79" s="14" t="str">
        <x:v>B</x:v>
      </x:c>
      <x:c r="H79" s="14" t="str">
        <x:v>null</x:v>
      </x:c>
      <x:c r="I79" s="14" t="str">
        <x:v>null</x:v>
      </x:c>
      <x:c r="J79" s="14" t="str">
        <x:v>BAO_0000192</x:v>
      </x:c>
      <x:c r="K79" s="14" t="str">
        <x:v>BAO_0000219</x:v>
      </x:c>
      <x:c r="L79" s="14" t="str">
        <x:v>cell-based format</x:v>
      </x:c>
      <x:c r="M79" s="14" t="str">
        <x:v>Cn1c(SCCCN2CC[C@]3(C[C@H]3c3ccc(C(F)(F)F)cc3)C2)nnc1-c1ccncn1</x:v>
      </x:c>
      <x:c r="N79" s="14" t="str">
        <x:v>null</x:v>
      </x:c>
      <x:c r="O79" s="14" t="str">
        <x:v>null</x:v>
      </x:c>
      <x:c r="P79" s="14" t="str">
        <x:v>CHEMBL3853329</x:v>
      </x:c>
      <x:c r="Q79" s="14" t="str">
        <x:v>J Med Chem</x:v>
      </x:c>
      <x:c r="R79" s="17" t="n">
        <x:v>2016</x:v>
      </x:c>
      <x:c r="S79" s="14" t="str">
        <x:v>{"bei":"13.40","le":"0.26","lle":"1.71","sei":"10.65"}</x:v>
      </x:c>
      <x:c r="T79" s="14" t="str">
        <x:v>null</x:v>
      </x:c>
      <x:c r="U79" s="14" t="str">
        <x:v>CHEMBL3984236</x:v>
      </x:c>
      <x:c r="V79" s="14" t="str">
        <x:v>null</x:v>
      </x:c>
      <x:c r="W79" s="14" t="str">
        <x:v>CHEMBL3984236</x:v>
      </x:c>
      <x:c r="X79" s="15" t="n">
        <x:v>6.36</x:v>
      </x:c>
      <x:c r="Y79" s="17" t="n">
        <x:v>0</x:v>
      </x:c>
      <x:c r="Z79" s="14" t="str">
        <x:v>http://www.openphacts.org/units/Nanomolar</x:v>
      </x:c>
      <x:c r="AA79" s="14" t="str">
        <x:v>2796850</x:v>
      </x:c>
      <x:c r="AB79" s="14" t="str">
        <x:v>=</x:v>
      </x:c>
      <x:c r="AC79" s="14" t="str">
        <x:v>1</x:v>
      </x:c>
      <x:c r="AD79" s="17" t="n">
        <x:v>1</x:v>
      </x:c>
      <x:c r="AE79" s="14" t="str">
        <x:v>=</x:v>
      </x:c>
      <x:c r="AF79" s="14" t="str">
        <x:v>null</x:v>
      </x:c>
      <x:c r="AG79" s="14" t="str">
        <x:v>Ki</x:v>
      </x:c>
      <x:c r="AH79" s="14" t="str">
        <x:v>nM</x:v>
      </x:c>
      <x:c r="AI79" s="14" t="str">
        <x:v>null</x:v>
      </x:c>
      <x:c r="AJ79" s="15" t="n">
        <x:v>436.52</x:v>
      </x:c>
      <x:c r="AK79" s="14" t="str">
        <x:v>CHEMBL217</x:v>
      </x:c>
      <x:c r="AL79" s="14" t="str">
        <x:v>Homo sapiens</x:v>
      </x:c>
      <x:c r="AM79" s="14" t="str">
        <x:v>D(2) dopamine receptor</x:v>
      </x:c>
      <x:c r="AN79" s="14" t="str">
        <x:v>9606</x:v>
      </x:c>
      <x:c r="AO79" s="14" t="str">
        <x:v>null</x:v>
      </x:c>
      <x:c r="AP79" s="14" t="str">
        <x:v>null</x:v>
      </x:c>
      <x:c r="AQ79" s="14" t="str">
        <x:v>pKi</x:v>
      </x:c>
      <x:c r="AR79" s="14" t="str">
        <x:v>null</x:v>
      </x:c>
      <x:c r="AS79" s="14" t="str">
        <x:v>UO_0000065</x:v>
      </x:c>
      <x:c r="AT79" s="14" t="str">
        <x:v>null</x:v>
      </x:c>
      <x:c r="AU79" s="14" t="str">
        <x:v>6.36</x:v>
      </x:c>
    </x:row>
    <x:row r="80" ht="51" customHeight="1">
      <x:c r="A80" s="9" t="str">
        <x:v>null</x:v>
      </x:c>
      <x:c r="B80" s="9" t="str">
        <x:v>null</x:v>
      </x:c>
      <x:c r="C80" s="9" t="str">
        <x:v>16670411</x:v>
      </x:c>
      <x:c r="D80" s="9" t="str">
        <x:v>[]</x:v>
      </x:c>
      <x:c r="E80" s="9" t="str">
        <x:v>CHEMBL3855278</x:v>
      </x:c>
      <x:c r="F80" s="9" t="str">
        <x:v>Displacement of [3H]-spiperone from human dopamine D2 receptor expressed in CHO-K1 cell membranes coexpressing Galpha16 after 120 mins by liquid scintillation counting</x:v>
      </x:c>
      <x:c r="G80" s="9" t="str">
        <x:v>B</x:v>
      </x:c>
      <x:c r="H80" s="9" t="str">
        <x:v>null</x:v>
      </x:c>
      <x:c r="I80" s="9" t="str">
        <x:v>null</x:v>
      </x:c>
      <x:c r="J80" s="9" t="str">
        <x:v>BAO_0000192</x:v>
      </x:c>
      <x:c r="K80" s="9" t="str">
        <x:v>BAO_0000219</x:v>
      </x:c>
      <x:c r="L80" s="9" t="str">
        <x:v>cell-based format</x:v>
      </x:c>
      <x:c r="M80" s="9" t="str">
        <x:v>Cn1c(SCCCN2CC[C@]3(C[C@@H]3c3ccc(C(F)(F)F)cc3)C2)nnc1-c1ccncn1</x:v>
      </x:c>
      <x:c r="N80" s="9" t="str">
        <x:v>null</x:v>
      </x:c>
      <x:c r="O80" s="9" t="str">
        <x:v>null</x:v>
      </x:c>
      <x:c r="P80" s="9" t="str">
        <x:v>CHEMBL3853329</x:v>
      </x:c>
      <x:c r="Q80" s="9" t="str">
        <x:v>J Med Chem</x:v>
      </x:c>
      <x:c r="R80" s="13" t="n">
        <x:v>2016</x:v>
      </x:c>
      <x:c r="S80" s="9" t="str">
        <x:v>{"bei":"13.76","le":"0.27","lle":"1.88","sei":"10.93"}</x:v>
      </x:c>
      <x:c r="T80" s="9" t="str">
        <x:v>null</x:v>
      </x:c>
      <x:c r="U80" s="9" t="str">
        <x:v>CHEMBL3958309</x:v>
      </x:c>
      <x:c r="V80" s="9" t="str">
        <x:v>null</x:v>
      </x:c>
      <x:c r="W80" s="9" t="str">
        <x:v>CHEMBL3958309</x:v>
      </x:c>
      <x:c r="X80" s="11" t="n">
        <x:v>6.53</x:v>
      </x:c>
      <x:c r="Y80" s="13" t="n">
        <x:v>0</x:v>
      </x:c>
      <x:c r="Z80" s="9" t="str">
        <x:v>http://www.openphacts.org/units/Nanomolar</x:v>
      </x:c>
      <x:c r="AA80" s="9" t="str">
        <x:v>2796851</x:v>
      </x:c>
      <x:c r="AB80" s="9" t="str">
        <x:v>=</x:v>
      </x:c>
      <x:c r="AC80" s="9" t="str">
        <x:v>1</x:v>
      </x:c>
      <x:c r="AD80" s="13" t="n">
        <x:v>1</x:v>
      </x:c>
      <x:c r="AE80" s="9" t="str">
        <x:v>=</x:v>
      </x:c>
      <x:c r="AF80" s="9" t="str">
        <x:v>null</x:v>
      </x:c>
      <x:c r="AG80" s="9" t="str">
        <x:v>Ki</x:v>
      </x:c>
      <x:c r="AH80" s="9" t="str">
        <x:v>nM</x:v>
      </x:c>
      <x:c r="AI80" s="9" t="str">
        <x:v>null</x:v>
      </x:c>
      <x:c r="AJ80" s="11" t="n">
        <x:v>295.12</x:v>
      </x:c>
      <x:c r="AK80" s="9" t="str">
        <x:v>CHEMBL217</x:v>
      </x:c>
      <x:c r="AL80" s="9" t="str">
        <x:v>Homo sapiens</x:v>
      </x:c>
      <x:c r="AM80" s="9" t="str">
        <x:v>D(2) dopamine receptor</x:v>
      </x:c>
      <x:c r="AN80" s="9" t="str">
        <x:v>9606</x:v>
      </x:c>
      <x:c r="AO80" s="9" t="str">
        <x:v>null</x:v>
      </x:c>
      <x:c r="AP80" s="9" t="str">
        <x:v>null</x:v>
      </x:c>
      <x:c r="AQ80" s="9" t="str">
        <x:v>pKi</x:v>
      </x:c>
      <x:c r="AR80" s="9" t="str">
        <x:v>null</x:v>
      </x:c>
      <x:c r="AS80" s="9" t="str">
        <x:v>UO_0000065</x:v>
      </x:c>
      <x:c r="AT80" s="9" t="str">
        <x:v>null</x:v>
      </x:c>
      <x:c r="AU80" s="9" t="str">
        <x:v>6.53</x:v>
      </x:c>
    </x:row>
    <x:row r="81" ht="51" customHeight="1">
      <x:c r="A81" s="14" t="str">
        <x:v>null</x:v>
      </x:c>
      <x:c r="B81" s="14" t="str">
        <x:v>null</x:v>
      </x:c>
      <x:c r="C81" s="14" t="str">
        <x:v>16670412</x:v>
      </x:c>
      <x:c r="D81" s="14" t="str">
        <x:v>[]</x:v>
      </x:c>
      <x:c r="E81" s="14" t="str">
        <x:v>CHEMBL3855278</x:v>
      </x:c>
      <x:c r="F81" s="14" t="str">
        <x:v>Displacement of [3H]-spiperone from human dopamine D2 receptor expressed in CHO-K1 cell membranes coexpressing Galpha16 after 120 mins by liquid scintillation counting</x:v>
      </x:c>
      <x:c r="G81" s="14" t="str">
        <x:v>B</x:v>
      </x:c>
      <x:c r="H81" s="14" t="str">
        <x:v>null</x:v>
      </x:c>
      <x:c r="I81" s="14" t="str">
        <x:v>null</x:v>
      </x:c>
      <x:c r="J81" s="14" t="str">
        <x:v>BAO_0000192</x:v>
      </x:c>
      <x:c r="K81" s="14" t="str">
        <x:v>BAO_0000219</x:v>
      </x:c>
      <x:c r="L81" s="14" t="str">
        <x:v>cell-based format</x:v>
      </x:c>
      <x:c r="M81" s="14" t="str">
        <x:v>Cn1c(SCCCN2CC[C@]3(C[C@H]3c3ccc(C(F)(F)F)cc3)C2)nnc1-c1cccnn1</x:v>
      </x:c>
      <x:c r="N81" s="14" t="str">
        <x:v>null</x:v>
      </x:c>
      <x:c r="O81" s="14" t="str">
        <x:v>null</x:v>
      </x:c>
      <x:c r="P81" s="14" t="str">
        <x:v>CHEMBL3853329</x:v>
      </x:c>
      <x:c r="Q81" s="14" t="str">
        <x:v>J Med Chem</x:v>
      </x:c>
      <x:c r="R81" s="17" t="n">
        <x:v>2016</x:v>
      </x:c>
      <x:c r="S81" s="14" t="str">
        <x:v>{"bei":"12.12","le":"0.24","lle":"1.10","sei":"9.63"}</x:v>
      </x:c>
      <x:c r="T81" s="14" t="str">
        <x:v>null</x:v>
      </x:c>
      <x:c r="U81" s="14" t="str">
        <x:v>CHEMBL3930825</x:v>
      </x:c>
      <x:c r="V81" s="14" t="str">
        <x:v>null</x:v>
      </x:c>
      <x:c r="W81" s="14" t="str">
        <x:v>CHEMBL3930825</x:v>
      </x:c>
      <x:c r="X81" s="15" t="n">
        <x:v>5.75</x:v>
      </x:c>
      <x:c r="Y81" s="17" t="n">
        <x:v>0</x:v>
      </x:c>
      <x:c r="Z81" s="14" t="str">
        <x:v>http://www.openphacts.org/units/Nanomolar</x:v>
      </x:c>
      <x:c r="AA81" s="14" t="str">
        <x:v>2796852</x:v>
      </x:c>
      <x:c r="AB81" s="14" t="str">
        <x:v>=</x:v>
      </x:c>
      <x:c r="AC81" s="14" t="str">
        <x:v>1</x:v>
      </x:c>
      <x:c r="AD81" s="17" t="n">
        <x:v>1</x:v>
      </x:c>
      <x:c r="AE81" s="14" t="str">
        <x:v>=</x:v>
      </x:c>
      <x:c r="AF81" s="14" t="str">
        <x:v>null</x:v>
      </x:c>
      <x:c r="AG81" s="14" t="str">
        <x:v>Ki</x:v>
      </x:c>
      <x:c r="AH81" s="14" t="str">
        <x:v>nM</x:v>
      </x:c>
      <x:c r="AI81" s="14" t="str">
        <x:v>null</x:v>
      </x:c>
      <x:c r="AJ81" s="15" t="n">
        <x:v>1778.28</x:v>
      </x:c>
      <x:c r="AK81" s="14" t="str">
        <x:v>CHEMBL217</x:v>
      </x:c>
      <x:c r="AL81" s="14" t="str">
        <x:v>Homo sapiens</x:v>
      </x:c>
      <x:c r="AM81" s="14" t="str">
        <x:v>D(2) dopamine receptor</x:v>
      </x:c>
      <x:c r="AN81" s="14" t="str">
        <x:v>9606</x:v>
      </x:c>
      <x:c r="AO81" s="14" t="str">
        <x:v>null</x:v>
      </x:c>
      <x:c r="AP81" s="14" t="str">
        <x:v>null</x:v>
      </x:c>
      <x:c r="AQ81" s="14" t="str">
        <x:v>pKi</x:v>
      </x:c>
      <x:c r="AR81" s="14" t="str">
        <x:v>null</x:v>
      </x:c>
      <x:c r="AS81" s="14" t="str">
        <x:v>UO_0000065</x:v>
      </x:c>
      <x:c r="AT81" s="14" t="str">
        <x:v>null</x:v>
      </x:c>
      <x:c r="AU81" s="14" t="str">
        <x:v>5.75</x:v>
      </x:c>
    </x:row>
    <x:row r="82" ht="51" customHeight="1">
      <x:c r="A82" s="9" t="str">
        <x:v>null</x:v>
      </x:c>
      <x:c r="B82" s="9" t="str">
        <x:v>null</x:v>
      </x:c>
      <x:c r="C82" s="9" t="str">
        <x:v>16670413</x:v>
      </x:c>
      <x:c r="D82" s="9" t="str">
        <x:v>[]</x:v>
      </x:c>
      <x:c r="E82" s="9" t="str">
        <x:v>CHEMBL3855278</x:v>
      </x:c>
      <x:c r="F82" s="9" t="str">
        <x:v>Displacement of [3H]-spiperone from human dopamine D2 receptor expressed in CHO-K1 cell membranes coexpressing Galpha16 after 120 mins by liquid scintillation counting</x:v>
      </x:c>
      <x:c r="G82" s="9" t="str">
        <x:v>B</x:v>
      </x:c>
      <x:c r="H82" s="9" t="str">
        <x:v>null</x:v>
      </x:c>
      <x:c r="I82" s="9" t="str">
        <x:v>null</x:v>
      </x:c>
      <x:c r="J82" s="9" t="str">
        <x:v>BAO_0000192</x:v>
      </x:c>
      <x:c r="K82" s="9" t="str">
        <x:v>BAO_0000219</x:v>
      </x:c>
      <x:c r="L82" s="9" t="str">
        <x:v>cell-based format</x:v>
      </x:c>
      <x:c r="M82" s="9" t="str">
        <x:v>Cn1c(SCCCN2CC[C@]3(C[C@@H]3c3ccc(C(F)(F)F)cc3)C2)nnc1-c1cccnn1</x:v>
      </x:c>
      <x:c r="N82" s="9" t="str">
        <x:v>null</x:v>
      </x:c>
      <x:c r="O82" s="9" t="str">
        <x:v>null</x:v>
      </x:c>
      <x:c r="P82" s="9" t="str">
        <x:v>CHEMBL3853329</x:v>
      </x:c>
      <x:c r="Q82" s="9" t="str">
        <x:v>J Med Chem</x:v>
      </x:c>
      <x:c r="R82" s="13" t="n">
        <x:v>2016</x:v>
      </x:c>
      <x:c r="S82" s="9" t="str">
        <x:v>{"bei":"12.35","le":"0.24","lle":"1.21","sei":"9.81"}</x:v>
      </x:c>
      <x:c r="T82" s="9" t="str">
        <x:v>null</x:v>
      </x:c>
      <x:c r="U82" s="9" t="str">
        <x:v>CHEMBL3969386</x:v>
      </x:c>
      <x:c r="V82" s="9" t="str">
        <x:v>null</x:v>
      </x:c>
      <x:c r="W82" s="9" t="str">
        <x:v>CHEMBL3969386</x:v>
      </x:c>
      <x:c r="X82" s="11" t="n">
        <x:v>5.86</x:v>
      </x:c>
      <x:c r="Y82" s="13" t="n">
        <x:v>0</x:v>
      </x:c>
      <x:c r="Z82" s="9" t="str">
        <x:v>http://www.openphacts.org/units/Nanomolar</x:v>
      </x:c>
      <x:c r="AA82" s="9" t="str">
        <x:v>2796853</x:v>
      </x:c>
      <x:c r="AB82" s="9" t="str">
        <x:v>=</x:v>
      </x:c>
      <x:c r="AC82" s="9" t="str">
        <x:v>1</x:v>
      </x:c>
      <x:c r="AD82" s="13" t="n">
        <x:v>1</x:v>
      </x:c>
      <x:c r="AE82" s="9" t="str">
        <x:v>=</x:v>
      </x:c>
      <x:c r="AF82" s="9" t="str">
        <x:v>null</x:v>
      </x:c>
      <x:c r="AG82" s="9" t="str">
        <x:v>Ki</x:v>
      </x:c>
      <x:c r="AH82" s="9" t="str">
        <x:v>nM</x:v>
      </x:c>
      <x:c r="AI82" s="9" t="str">
        <x:v>null</x:v>
      </x:c>
      <x:c r="AJ82" s="11" t="n">
        <x:v>1380.38</x:v>
      </x:c>
      <x:c r="AK82" s="9" t="str">
        <x:v>CHEMBL217</x:v>
      </x:c>
      <x:c r="AL82" s="9" t="str">
        <x:v>Homo sapiens</x:v>
      </x:c>
      <x:c r="AM82" s="9" t="str">
        <x:v>D(2) dopamine receptor</x:v>
      </x:c>
      <x:c r="AN82" s="9" t="str">
        <x:v>9606</x:v>
      </x:c>
      <x:c r="AO82" s="9" t="str">
        <x:v>null</x:v>
      </x:c>
      <x:c r="AP82" s="9" t="str">
        <x:v>null</x:v>
      </x:c>
      <x:c r="AQ82" s="9" t="str">
        <x:v>pKi</x:v>
      </x:c>
      <x:c r="AR82" s="9" t="str">
        <x:v>null</x:v>
      </x:c>
      <x:c r="AS82" s="9" t="str">
        <x:v>UO_0000065</x:v>
      </x:c>
      <x:c r="AT82" s="9" t="str">
        <x:v>null</x:v>
      </x:c>
      <x:c r="AU82" s="9" t="str">
        <x:v>5.86</x:v>
      </x:c>
    </x:row>
    <x:row r="83" ht="51" customHeight="1">
      <x:c r="A83" s="14" t="str">
        <x:v>null</x:v>
      </x:c>
      <x:c r="B83" s="14" t="str">
        <x:v>null</x:v>
      </x:c>
      <x:c r="C83" s="14" t="str">
        <x:v>16670414</x:v>
      </x:c>
      <x:c r="D83" s="14" t="str">
        <x:v>[]</x:v>
      </x:c>
      <x:c r="E83" s="14" t="str">
        <x:v>CHEMBL3855278</x:v>
      </x:c>
      <x:c r="F83" s="14" t="str">
        <x:v>Displacement of [3H]-spiperone from human dopamine D2 receptor expressed in CHO-K1 cell membranes coexpressing Galpha16 after 120 mins by liquid scintillation counting</x:v>
      </x:c>
      <x:c r="G83" s="14" t="str">
        <x:v>B</x:v>
      </x:c>
      <x:c r="H83" s="14" t="str">
        <x:v>null</x:v>
      </x:c>
      <x:c r="I83" s="14" t="str">
        <x:v>null</x:v>
      </x:c>
      <x:c r="J83" s="14" t="str">
        <x:v>BAO_0000192</x:v>
      </x:c>
      <x:c r="K83" s="14" t="str">
        <x:v>BAO_0000219</x:v>
      </x:c>
      <x:c r="L83" s="14" t="str">
        <x:v>cell-based format</x:v>
      </x:c>
      <x:c r="M83" s="14" t="str">
        <x:v>Cn1c(SCCCN2CC[C@]3(C[C@H]3c3ccc(C(F)(F)F)cc3)C2)nnc1-c1ccnnc1</x:v>
      </x:c>
      <x:c r="N83" s="14" t="str">
        <x:v>null</x:v>
      </x:c>
      <x:c r="O83" s="14" t="str">
        <x:v>null</x:v>
      </x:c>
      <x:c r="P83" s="14" t="str">
        <x:v>CHEMBL3853329</x:v>
      </x:c>
      <x:c r="Q83" s="14" t="str">
        <x:v>J Med Chem</x:v>
      </x:c>
      <x:c r="R83" s="17" t="n">
        <x:v>2016</x:v>
      </x:c>
      <x:c r="S83" s="14" t="str">
        <x:v>{"bei":"11.78","le":"0.23","lle":"0.94","sei":"9.36"}</x:v>
      </x:c>
      <x:c r="T83" s="14" t="str">
        <x:v>null</x:v>
      </x:c>
      <x:c r="U83" s="14" t="str">
        <x:v>CHEMBL3939830</x:v>
      </x:c>
      <x:c r="V83" s="14" t="str">
        <x:v>null</x:v>
      </x:c>
      <x:c r="W83" s="14" t="str">
        <x:v>CHEMBL3939830</x:v>
      </x:c>
      <x:c r="X83" s="15" t="n">
        <x:v>5.59</x:v>
      </x:c>
      <x:c r="Y83" s="17" t="n">
        <x:v>0</x:v>
      </x:c>
      <x:c r="Z83" s="14" t="str">
        <x:v>http://www.openphacts.org/units/Nanomolar</x:v>
      </x:c>
      <x:c r="AA83" s="14" t="str">
        <x:v>2796854</x:v>
      </x:c>
      <x:c r="AB83" s="14" t="str">
        <x:v>=</x:v>
      </x:c>
      <x:c r="AC83" s="14" t="str">
        <x:v>1</x:v>
      </x:c>
      <x:c r="AD83" s="17" t="n">
        <x:v>1</x:v>
      </x:c>
      <x:c r="AE83" s="14" t="str">
        <x:v>=</x:v>
      </x:c>
      <x:c r="AF83" s="14" t="str">
        <x:v>null</x:v>
      </x:c>
      <x:c r="AG83" s="14" t="str">
        <x:v>Ki</x:v>
      </x:c>
      <x:c r="AH83" s="14" t="str">
        <x:v>nM</x:v>
      </x:c>
      <x:c r="AI83" s="14" t="str">
        <x:v>null</x:v>
      </x:c>
      <x:c r="AJ83" s="15" t="n">
        <x:v>2570.4</x:v>
      </x:c>
      <x:c r="AK83" s="14" t="str">
        <x:v>CHEMBL217</x:v>
      </x:c>
      <x:c r="AL83" s="14" t="str">
        <x:v>Homo sapiens</x:v>
      </x:c>
      <x:c r="AM83" s="14" t="str">
        <x:v>D(2) dopamine receptor</x:v>
      </x:c>
      <x:c r="AN83" s="14" t="str">
        <x:v>9606</x:v>
      </x:c>
      <x:c r="AO83" s="14" t="str">
        <x:v>null</x:v>
      </x:c>
      <x:c r="AP83" s="14" t="str">
        <x:v>null</x:v>
      </x:c>
      <x:c r="AQ83" s="14" t="str">
        <x:v>pKi</x:v>
      </x:c>
      <x:c r="AR83" s="14" t="str">
        <x:v>null</x:v>
      </x:c>
      <x:c r="AS83" s="14" t="str">
        <x:v>UO_0000065</x:v>
      </x:c>
      <x:c r="AT83" s="14" t="str">
        <x:v>null</x:v>
      </x:c>
      <x:c r="AU83" s="14" t="str">
        <x:v>5.59</x:v>
      </x:c>
    </x:row>
    <x:row r="84" ht="51" customHeight="1">
      <x:c r="A84" s="9" t="str">
        <x:v>null</x:v>
      </x:c>
      <x:c r="B84" s="9" t="str">
        <x:v>null</x:v>
      </x:c>
      <x:c r="C84" s="9" t="str">
        <x:v>16670415</x:v>
      </x:c>
      <x:c r="D84" s="9" t="str">
        <x:v>[]</x:v>
      </x:c>
      <x:c r="E84" s="9" t="str">
        <x:v>CHEMBL3855278</x:v>
      </x:c>
      <x:c r="F84" s="9" t="str">
        <x:v>Displacement of [3H]-spiperone from human dopamine D2 receptor expressed in CHO-K1 cell membranes coexpressing Galpha16 after 120 mins by liquid scintillation counting</x:v>
      </x:c>
      <x:c r="G84" s="9" t="str">
        <x:v>B</x:v>
      </x:c>
      <x:c r="H84" s="9" t="str">
        <x:v>null</x:v>
      </x:c>
      <x:c r="I84" s="9" t="str">
        <x:v>null</x:v>
      </x:c>
      <x:c r="J84" s="9" t="str">
        <x:v>BAO_0000192</x:v>
      </x:c>
      <x:c r="K84" s="9" t="str">
        <x:v>BAO_0000219</x:v>
      </x:c>
      <x:c r="L84" s="9" t="str">
        <x:v>cell-based format</x:v>
      </x:c>
      <x:c r="M84" s="9" t="str">
        <x:v>Cn1c(SCCCN2CC[C@]3(C[C@@H]3c3ccc(C(F)(F)F)cc3)C2)nnc1-c1ccnnc1</x:v>
      </x:c>
      <x:c r="N84" s="9" t="str">
        <x:v>null</x:v>
      </x:c>
      <x:c r="O84" s="9" t="str">
        <x:v>null</x:v>
      </x:c>
      <x:c r="P84" s="9" t="str">
        <x:v>CHEMBL3853329</x:v>
      </x:c>
      <x:c r="Q84" s="9" t="str">
        <x:v>J Med Chem</x:v>
      </x:c>
      <x:c r="R84" s="13" t="n">
        <x:v>2016</x:v>
      </x:c>
      <x:c r="S84" s="9" t="str">
        <x:v>{"bei":"12.24","le":"0.24","lle":"1.16","sei":"9.73"}</x:v>
      </x:c>
      <x:c r="T84" s="9" t="str">
        <x:v>null</x:v>
      </x:c>
      <x:c r="U84" s="9" t="str">
        <x:v>CHEMBL3940897</x:v>
      </x:c>
      <x:c r="V84" s="9" t="str">
        <x:v>null</x:v>
      </x:c>
      <x:c r="W84" s="9" t="str">
        <x:v>CHEMBL3940897</x:v>
      </x:c>
      <x:c r="X84" s="11" t="n">
        <x:v>5.81</x:v>
      </x:c>
      <x:c r="Y84" s="13" t="n">
        <x:v>0</x:v>
      </x:c>
      <x:c r="Z84" s="9" t="str">
        <x:v>http://www.openphacts.org/units/Nanomolar</x:v>
      </x:c>
      <x:c r="AA84" s="9" t="str">
        <x:v>2796855</x:v>
      </x:c>
      <x:c r="AB84" s="9" t="str">
        <x:v>=</x:v>
      </x:c>
      <x:c r="AC84" s="9" t="str">
        <x:v>1</x:v>
      </x:c>
      <x:c r="AD84" s="13" t="n">
        <x:v>1</x:v>
      </x:c>
      <x:c r="AE84" s="9" t="str">
        <x:v>=</x:v>
      </x:c>
      <x:c r="AF84" s="9" t="str">
        <x:v>null</x:v>
      </x:c>
      <x:c r="AG84" s="9" t="str">
        <x:v>Ki</x:v>
      </x:c>
      <x:c r="AH84" s="9" t="str">
        <x:v>nM</x:v>
      </x:c>
      <x:c r="AI84" s="9" t="str">
        <x:v>null</x:v>
      </x:c>
      <x:c r="AJ84" s="11" t="n">
        <x:v>1548.82</x:v>
      </x:c>
      <x:c r="AK84" s="9" t="str">
        <x:v>CHEMBL217</x:v>
      </x:c>
      <x:c r="AL84" s="9" t="str">
        <x:v>Homo sapiens</x:v>
      </x:c>
      <x:c r="AM84" s="9" t="str">
        <x:v>D(2) dopamine receptor</x:v>
      </x:c>
      <x:c r="AN84" s="9" t="str">
        <x:v>9606</x:v>
      </x:c>
      <x:c r="AO84" s="9" t="str">
        <x:v>null</x:v>
      </x:c>
      <x:c r="AP84" s="9" t="str">
        <x:v>null</x:v>
      </x:c>
      <x:c r="AQ84" s="9" t="str">
        <x:v>pKi</x:v>
      </x:c>
      <x:c r="AR84" s="9" t="str">
        <x:v>null</x:v>
      </x:c>
      <x:c r="AS84" s="9" t="str">
        <x:v>UO_0000065</x:v>
      </x:c>
      <x:c r="AT84" s="9" t="str">
        <x:v>null</x:v>
      </x:c>
      <x:c r="AU84" s="9" t="str">
        <x:v>5.81</x:v>
      </x:c>
    </x:row>
    <x:row r="85" ht="51" customHeight="1">
      <x:c r="A85" s="14" t="str">
        <x:v>null</x:v>
      </x:c>
      <x:c r="B85" s="14" t="str">
        <x:v>null</x:v>
      </x:c>
      <x:c r="C85" s="14" t="str">
        <x:v>16670416</x:v>
      </x:c>
      <x:c r="D85" s="14" t="str">
        <x:v>[]</x:v>
      </x:c>
      <x:c r="E85" s="14" t="str">
        <x:v>CHEMBL3855278</x:v>
      </x:c>
      <x:c r="F85" s="14" t="str">
        <x:v>Displacement of [3H]-spiperone from human dopamine D2 receptor expressed in CHO-K1 cell membranes coexpressing Galpha16 after 120 mins by liquid scintillation counting</x:v>
      </x:c>
      <x:c r="G85" s="14" t="str">
        <x:v>B</x:v>
      </x:c>
      <x:c r="H85" s="14" t="str">
        <x:v>null</x:v>
      </x:c>
      <x:c r="I85" s="14" t="str">
        <x:v>null</x:v>
      </x:c>
      <x:c r="J85" s="14" t="str">
        <x:v>BAO_0000192</x:v>
      </x:c>
      <x:c r="K85" s="14" t="str">
        <x:v>BAO_0000219</x:v>
      </x:c>
      <x:c r="L85" s="14" t="str">
        <x:v>cell-based format</x:v>
      </x:c>
      <x:c r="M85" s="14" t="str">
        <x:v>Cn1c(SCCCN2CC[C@]3(C[C@@H]3c3ccccc3)C2)nnc1-c1cccnc1</x:v>
      </x:c>
      <x:c r="N85" s="14" t="str">
        <x:v>null</x:v>
      </x:c>
      <x:c r="O85" s="14" t="str">
        <x:v>null</x:v>
      </x:c>
      <x:c r="P85" s="14" t="str">
        <x:v>CHEMBL3853329</x:v>
      </x:c>
      <x:c r="Q85" s="14" t="str">
        <x:v>J Med Chem</x:v>
      </x:c>
      <x:c r="R85" s="17" t="n">
        <x:v>2016</x:v>
      </x:c>
      <x:c r="S85" s="14" t="str">
        <x:v>{"bei":"13.51","le":"0.26","lle":"1.24","sei":"11.70"}</x:v>
      </x:c>
      <x:c r="T85" s="14" t="str">
        <x:v>null</x:v>
      </x:c>
      <x:c r="U85" s="14" t="str">
        <x:v>CHEMBL3912897</x:v>
      </x:c>
      <x:c r="V85" s="14" t="str">
        <x:v>null</x:v>
      </x:c>
      <x:c r="W85" s="14" t="str">
        <x:v>CHEMBL3912897</x:v>
      </x:c>
      <x:c r="X85" s="15" t="n">
        <x:v>5.48</x:v>
      </x:c>
      <x:c r="Y85" s="17" t="n">
        <x:v>0</x:v>
      </x:c>
      <x:c r="Z85" s="14" t="str">
        <x:v>http://www.openphacts.org/units/Nanomolar</x:v>
      </x:c>
      <x:c r="AA85" s="14" t="str">
        <x:v>2796856</x:v>
      </x:c>
      <x:c r="AB85" s="14" t="str">
        <x:v>=</x:v>
      </x:c>
      <x:c r="AC85" s="14" t="str">
        <x:v>1</x:v>
      </x:c>
      <x:c r="AD85" s="17" t="n">
        <x:v>1</x:v>
      </x:c>
      <x:c r="AE85" s="14" t="str">
        <x:v>=</x:v>
      </x:c>
      <x:c r="AF85" s="14" t="str">
        <x:v>null</x:v>
      </x:c>
      <x:c r="AG85" s="14" t="str">
        <x:v>Ki</x:v>
      </x:c>
      <x:c r="AH85" s="14" t="str">
        <x:v>nM</x:v>
      </x:c>
      <x:c r="AI85" s="14" t="str">
        <x:v>null</x:v>
      </x:c>
      <x:c r="AJ85" s="15" t="n">
        <x:v>3311.31</x:v>
      </x:c>
      <x:c r="AK85" s="14" t="str">
        <x:v>CHEMBL217</x:v>
      </x:c>
      <x:c r="AL85" s="14" t="str">
        <x:v>Homo sapiens</x:v>
      </x:c>
      <x:c r="AM85" s="14" t="str">
        <x:v>D(2) dopamine receptor</x:v>
      </x:c>
      <x:c r="AN85" s="14" t="str">
        <x:v>9606</x:v>
      </x:c>
      <x:c r="AO85" s="14" t="str">
        <x:v>null</x:v>
      </x:c>
      <x:c r="AP85" s="14" t="str">
        <x:v>null</x:v>
      </x:c>
      <x:c r="AQ85" s="14" t="str">
        <x:v>pKi</x:v>
      </x:c>
      <x:c r="AR85" s="14" t="str">
        <x:v>null</x:v>
      </x:c>
      <x:c r="AS85" s="14" t="str">
        <x:v>UO_0000065</x:v>
      </x:c>
      <x:c r="AT85" s="14" t="str">
        <x:v>null</x:v>
      </x:c>
      <x:c r="AU85" s="14" t="str">
        <x:v>5.48</x:v>
      </x:c>
    </x:row>
    <x:row r="86" ht="51" customHeight="1">
      <x:c r="A86" s="9" t="str">
        <x:v>null</x:v>
      </x:c>
      <x:c r="B86" s="9" t="str">
        <x:v>null</x:v>
      </x:c>
      <x:c r="C86" s="9" t="str">
        <x:v>16670417</x:v>
      </x:c>
      <x:c r="D86" s="9" t="str">
        <x:v>[]</x:v>
      </x:c>
      <x:c r="E86" s="9" t="str">
        <x:v>CHEMBL3855278</x:v>
      </x:c>
      <x:c r="F86" s="9" t="str">
        <x:v>Displacement of [3H]-spiperone from human dopamine D2 receptor expressed in CHO-K1 cell membranes coexpressing Galpha16 after 120 mins by liquid scintillation counting</x:v>
      </x:c>
      <x:c r="G86" s="9" t="str">
        <x:v>B</x:v>
      </x:c>
      <x:c r="H86" s="9" t="str">
        <x:v>null</x:v>
      </x:c>
      <x:c r="I86" s="9" t="str">
        <x:v>null</x:v>
      </x:c>
      <x:c r="J86" s="9" t="str">
        <x:v>BAO_0000192</x:v>
      </x:c>
      <x:c r="K86" s="9" t="str">
        <x:v>BAO_0000219</x:v>
      </x:c>
      <x:c r="L86" s="9" t="str">
        <x:v>cell-based format</x:v>
      </x:c>
      <x:c r="M86" s="9" t="str">
        <x:v>Cn1c(SCCCN2CC[C@]3(C[C@@H]3c3ccc(C(F)(F)F)cc3F)C2)nnc1-c1cccnc1</x:v>
      </x:c>
      <x:c r="N86" s="9" t="str">
        <x:v>null</x:v>
      </x:c>
      <x:c r="O86" s="9" t="str">
        <x:v>null</x:v>
      </x:c>
      <x:c r="P86" s="9" t="str">
        <x:v>CHEMBL3853329</x:v>
      </x:c>
      <x:c r="Q86" s="9" t="str">
        <x:v>J Med Chem</x:v>
      </x:c>
      <x:c r="R86" s="13" t="n">
        <x:v>2016</x:v>
      </x:c>
      <x:c r="S86" s="9" t="str">
        <x:v>{"bei":"12.49","le":"0.25","lle":"0.74","sei":"13.11"}</x:v>
      </x:c>
      <x:c r="T86" s="9" t="str">
        <x:v>null</x:v>
      </x:c>
      <x:c r="U86" s="9" t="str">
        <x:v>CHEMBL3949662</x:v>
      </x:c>
      <x:c r="V86" s="9" t="str">
        <x:v>null</x:v>
      </x:c>
      <x:c r="W86" s="9" t="str">
        <x:v>CHEMBL3949662</x:v>
      </x:c>
      <x:c r="X86" s="11" t="n">
        <x:v>6.14</x:v>
      </x:c>
      <x:c r="Y86" s="13" t="n">
        <x:v>0</x:v>
      </x:c>
      <x:c r="Z86" s="9" t="str">
        <x:v>http://www.openphacts.org/units/Nanomolar</x:v>
      </x:c>
      <x:c r="AA86" s="9" t="str">
        <x:v>2796857</x:v>
      </x:c>
      <x:c r="AB86" s="9" t="str">
        <x:v>=</x:v>
      </x:c>
      <x:c r="AC86" s="9" t="str">
        <x:v>1</x:v>
      </x:c>
      <x:c r="AD86" s="13" t="n">
        <x:v>1</x:v>
      </x:c>
      <x:c r="AE86" s="9" t="str">
        <x:v>=</x:v>
      </x:c>
      <x:c r="AF86" s="9" t="str">
        <x:v>null</x:v>
      </x:c>
      <x:c r="AG86" s="9" t="str">
        <x:v>Ki</x:v>
      </x:c>
      <x:c r="AH86" s="9" t="str">
        <x:v>nM</x:v>
      </x:c>
      <x:c r="AI86" s="9" t="str">
        <x:v>null</x:v>
      </x:c>
      <x:c r="AJ86" s="11" t="n">
        <x:v>724.44</x:v>
      </x:c>
      <x:c r="AK86" s="9" t="str">
        <x:v>CHEMBL217</x:v>
      </x:c>
      <x:c r="AL86" s="9" t="str">
        <x:v>Homo sapiens</x:v>
      </x:c>
      <x:c r="AM86" s="9" t="str">
        <x:v>D(2) dopamine receptor</x:v>
      </x:c>
      <x:c r="AN86" s="9" t="str">
        <x:v>9606</x:v>
      </x:c>
      <x:c r="AO86" s="9" t="str">
        <x:v>null</x:v>
      </x:c>
      <x:c r="AP86" s="9" t="str">
        <x:v>null</x:v>
      </x:c>
      <x:c r="AQ86" s="9" t="str">
        <x:v>pKi</x:v>
      </x:c>
      <x:c r="AR86" s="9" t="str">
        <x:v>null</x:v>
      </x:c>
      <x:c r="AS86" s="9" t="str">
        <x:v>UO_0000065</x:v>
      </x:c>
      <x:c r="AT86" s="9" t="str">
        <x:v>null</x:v>
      </x:c>
      <x:c r="AU86" s="9" t="str">
        <x:v>6.14</x:v>
      </x:c>
    </x:row>
    <x:row r="87" ht="51" customHeight="1">
      <x:c r="A87" s="14" t="str">
        <x:v>null</x:v>
      </x:c>
      <x:c r="B87" s="14" t="str">
        <x:v>null</x:v>
      </x:c>
      <x:c r="C87" s="14" t="str">
        <x:v>16670418</x:v>
      </x:c>
      <x:c r="D87" s="14" t="str">
        <x:v>[]</x:v>
      </x:c>
      <x:c r="E87" s="14" t="str">
        <x:v>CHEMBL3855278</x:v>
      </x:c>
      <x:c r="F87" s="14" t="str">
        <x:v>Displacement of [3H]-spiperone from human dopamine D2 receptor expressed in CHO-K1 cell membranes coexpressing Galpha16 after 120 mins by liquid scintillation counting</x:v>
      </x:c>
      <x:c r="G87" s="14" t="str">
        <x:v>B</x:v>
      </x:c>
      <x:c r="H87" s="14" t="str">
        <x:v>null</x:v>
      </x:c>
      <x:c r="I87" s="14" t="str">
        <x:v>null</x:v>
      </x:c>
      <x:c r="J87" s="14" t="str">
        <x:v>BAO_0000192</x:v>
      </x:c>
      <x:c r="K87" s="14" t="str">
        <x:v>BAO_0000219</x:v>
      </x:c>
      <x:c r="L87" s="14" t="str">
        <x:v>cell-based format</x:v>
      </x:c>
      <x:c r="M87" s="14" t="str">
        <x:v>Cn1c(SCCCN2CC[C@]3(C[C@@H]3c3ccc(F)cc3F)C2)nnc1-c1cccnc1</x:v>
      </x:c>
      <x:c r="N87" s="14" t="str">
        <x:v>null</x:v>
      </x:c>
      <x:c r="O87" s="14" t="str">
        <x:v>null</x:v>
      </x:c>
      <x:c r="P87" s="14" t="str">
        <x:v>CHEMBL3853329</x:v>
      </x:c>
      <x:c r="Q87" s="14" t="str">
        <x:v>J Med Chem</x:v>
      </x:c>
      <x:c r="R87" s="17" t="n">
        <x:v>2016</x:v>
      </x:c>
      <x:c r="S87" s="14" t="str">
        <x:v>{"bei":"14.22","le":"0.28","lle":"1.76","sei":"13.41"}</x:v>
      </x:c>
      <x:c r="T87" s="14" t="str">
        <x:v>null</x:v>
      </x:c>
      <x:c r="U87" s="14" t="str">
        <x:v>CHEMBL3921885</x:v>
      </x:c>
      <x:c r="V87" s="14" t="str">
        <x:v>null</x:v>
      </x:c>
      <x:c r="W87" s="14" t="str">
        <x:v>CHEMBL3921885</x:v>
      </x:c>
      <x:c r="X87" s="15" t="n">
        <x:v>6.28</x:v>
      </x:c>
      <x:c r="Y87" s="17" t="n">
        <x:v>0</x:v>
      </x:c>
      <x:c r="Z87" s="14" t="str">
        <x:v>http://www.openphacts.org/units/Nanomolar</x:v>
      </x:c>
      <x:c r="AA87" s="14" t="str">
        <x:v>2796858</x:v>
      </x:c>
      <x:c r="AB87" s="14" t="str">
        <x:v>=</x:v>
      </x:c>
      <x:c r="AC87" s="14" t="str">
        <x:v>1</x:v>
      </x:c>
      <x:c r="AD87" s="17" t="n">
        <x:v>1</x:v>
      </x:c>
      <x:c r="AE87" s="14" t="str">
        <x:v>=</x:v>
      </x:c>
      <x:c r="AF87" s="14" t="str">
        <x:v>null</x:v>
      </x:c>
      <x:c r="AG87" s="14" t="str">
        <x:v>Ki</x:v>
      </x:c>
      <x:c r="AH87" s="14" t="str">
        <x:v>nM</x:v>
      </x:c>
      <x:c r="AI87" s="14" t="str">
        <x:v>null</x:v>
      </x:c>
      <x:c r="AJ87" s="15" t="n">
        <x:v>524.81</x:v>
      </x:c>
      <x:c r="AK87" s="14" t="str">
        <x:v>CHEMBL217</x:v>
      </x:c>
      <x:c r="AL87" s="14" t="str">
        <x:v>Homo sapiens</x:v>
      </x:c>
      <x:c r="AM87" s="14" t="str">
        <x:v>D(2) dopamine receptor</x:v>
      </x:c>
      <x:c r="AN87" s="14" t="str">
        <x:v>9606</x:v>
      </x:c>
      <x:c r="AO87" s="14" t="str">
        <x:v>null</x:v>
      </x:c>
      <x:c r="AP87" s="14" t="str">
        <x:v>null</x:v>
      </x:c>
      <x:c r="AQ87" s="14" t="str">
        <x:v>pKi</x:v>
      </x:c>
      <x:c r="AR87" s="14" t="str">
        <x:v>null</x:v>
      </x:c>
      <x:c r="AS87" s="14" t="str">
        <x:v>UO_0000065</x:v>
      </x:c>
      <x:c r="AT87" s="14" t="str">
        <x:v>null</x:v>
      </x:c>
      <x:c r="AU87" s="14" t="str">
        <x:v>6.28</x:v>
      </x:c>
    </x:row>
    <x:row r="88" ht="51" customHeight="1">
      <x:c r="A88" s="9" t="str">
        <x:v>null</x:v>
      </x:c>
      <x:c r="B88" s="9" t="str">
        <x:v>null</x:v>
      </x:c>
      <x:c r="C88" s="9" t="str">
        <x:v>16670419</x:v>
      </x:c>
      <x:c r="D88" s="9" t="str">
        <x:v>[]</x:v>
      </x:c>
      <x:c r="E88" s="9" t="str">
        <x:v>CHEMBL3855278</x:v>
      </x:c>
      <x:c r="F88" s="9" t="str">
        <x:v>Displacement of [3H]-spiperone from human dopamine D2 receptor expressed in CHO-K1 cell membranes coexpressing Galpha16 after 120 mins by liquid scintillation counting</x:v>
      </x:c>
      <x:c r="G88" s="9" t="str">
        <x:v>B</x:v>
      </x:c>
      <x:c r="H88" s="9" t="str">
        <x:v>null</x:v>
      </x:c>
      <x:c r="I88" s="9" t="str">
        <x:v>null</x:v>
      </x:c>
      <x:c r="J88" s="9" t="str">
        <x:v>BAO_0000192</x:v>
      </x:c>
      <x:c r="K88" s="9" t="str">
        <x:v>BAO_0000219</x:v>
      </x:c>
      <x:c r="L88" s="9" t="str">
        <x:v>cell-based format</x:v>
      </x:c>
      <x:c r="M88" s="9" t="str">
        <x:v>Cn1c(SCCCN2CC[C@]3(C[C@@H]3c3ccc(F)cc3)C2)nnc1-c1cccnc1</x:v>
      </x:c>
      <x:c r="N88" s="9" t="str">
        <x:v>null</x:v>
      </x:c>
      <x:c r="O88" s="9" t="str">
        <x:v>null</x:v>
      </x:c>
      <x:c r="P88" s="9" t="str">
        <x:v>CHEMBL3853329</x:v>
      </x:c>
      <x:c r="Q88" s="9" t="str">
        <x:v>J Med Chem</x:v>
      </x:c>
      <x:c r="R88" s="13" t="n">
        <x:v>2016</x:v>
      </x:c>
      <x:c r="S88" s="9" t="str">
        <x:v>{"bei":"14.59","le":"0.28","lle":"1.80","sei":"13.19"}</x:v>
      </x:c>
      <x:c r="T88" s="9" t="str">
        <x:v>null</x:v>
      </x:c>
      <x:c r="U88" s="9" t="str">
        <x:v>CHEMBL3897134</x:v>
      </x:c>
      <x:c r="V88" s="9" t="str">
        <x:v>null</x:v>
      </x:c>
      <x:c r="W88" s="9" t="str">
        <x:v>CHEMBL3897134</x:v>
      </x:c>
      <x:c r="X88" s="11" t="n">
        <x:v>6.18</x:v>
      </x:c>
      <x:c r="Y88" s="13" t="n">
        <x:v>0</x:v>
      </x:c>
      <x:c r="Z88" s="9" t="str">
        <x:v>http://www.openphacts.org/units/Nanomolar</x:v>
      </x:c>
      <x:c r="AA88" s="9" t="str">
        <x:v>2796859</x:v>
      </x:c>
      <x:c r="AB88" s="9" t="str">
        <x:v>=</x:v>
      </x:c>
      <x:c r="AC88" s="9" t="str">
        <x:v>1</x:v>
      </x:c>
      <x:c r="AD88" s="13" t="n">
        <x:v>1</x:v>
      </x:c>
      <x:c r="AE88" s="9" t="str">
        <x:v>=</x:v>
      </x:c>
      <x:c r="AF88" s="9" t="str">
        <x:v>null</x:v>
      </x:c>
      <x:c r="AG88" s="9" t="str">
        <x:v>Ki</x:v>
      </x:c>
      <x:c r="AH88" s="9" t="str">
        <x:v>nM</x:v>
      </x:c>
      <x:c r="AI88" s="9" t="str">
        <x:v>null</x:v>
      </x:c>
      <x:c r="AJ88" s="11" t="n">
        <x:v>660.69</x:v>
      </x:c>
      <x:c r="AK88" s="9" t="str">
        <x:v>CHEMBL217</x:v>
      </x:c>
      <x:c r="AL88" s="9" t="str">
        <x:v>Homo sapiens</x:v>
      </x:c>
      <x:c r="AM88" s="9" t="str">
        <x:v>D(2) dopamine receptor</x:v>
      </x:c>
      <x:c r="AN88" s="9" t="str">
        <x:v>9606</x:v>
      </x:c>
      <x:c r="AO88" s="9" t="str">
        <x:v>null</x:v>
      </x:c>
      <x:c r="AP88" s="9" t="str">
        <x:v>null</x:v>
      </x:c>
      <x:c r="AQ88" s="9" t="str">
        <x:v>pKi</x:v>
      </x:c>
      <x:c r="AR88" s="9" t="str">
        <x:v>null</x:v>
      </x:c>
      <x:c r="AS88" s="9" t="str">
        <x:v>UO_0000065</x:v>
      </x:c>
      <x:c r="AT88" s="9" t="str">
        <x:v>null</x:v>
      </x:c>
      <x:c r="AU88" s="9" t="str">
        <x:v>6.18</x:v>
      </x:c>
    </x:row>
    <x:row r="89" ht="51" customHeight="1">
      <x:c r="A89" s="14" t="str">
        <x:v>null</x:v>
      </x:c>
      <x:c r="B89" s="14" t="str">
        <x:v>null</x:v>
      </x:c>
      <x:c r="C89" s="14" t="str">
        <x:v>16670420</x:v>
      </x:c>
      <x:c r="D89" s="14" t="str">
        <x:v>[]</x:v>
      </x:c>
      <x:c r="E89" s="14" t="str">
        <x:v>CHEMBL3855278</x:v>
      </x:c>
      <x:c r="F89" s="14" t="str">
        <x:v>Displacement of [3H]-spiperone from human dopamine D2 receptor expressed in CHO-K1 cell membranes coexpressing Galpha16 after 120 mins by liquid scintillation counting</x:v>
      </x:c>
      <x:c r="G89" s="14" t="str">
        <x:v>B</x:v>
      </x:c>
      <x:c r="H89" s="14" t="str">
        <x:v>null</x:v>
      </x:c>
      <x:c r="I89" s="14" t="str">
        <x:v>null</x:v>
      </x:c>
      <x:c r="J89" s="14" t="str">
        <x:v>BAO_0000192</x:v>
      </x:c>
      <x:c r="K89" s="14" t="str">
        <x:v>BAO_0000219</x:v>
      </x:c>
      <x:c r="L89" s="14" t="str">
        <x:v>cell-based format</x:v>
      </x:c>
      <x:c r="M89" s="14" t="str">
        <x:v>Cc1ncccc1-c1nnc(SCCCN2CC[C@]3(C[C@@H]3c3ccc(C(F)(F)F)cc3)C2)n1C</x:v>
      </x:c>
      <x:c r="N89" s="14" t="str">
        <x:v>null</x:v>
      </x:c>
      <x:c r="O89" s="14" t="str">
        <x:v>null</x:v>
      </x:c>
      <x:c r="P89" s="14" t="str">
        <x:v>CHEMBL3853329</x:v>
      </x:c>
      <x:c r="Q89" s="14" t="str">
        <x:v>J Med Chem</x:v>
      </x:c>
      <x:c r="R89" s="17" t="n">
        <x:v>2016</x:v>
      </x:c>
      <x:c r="S89" s="14" t="str">
        <x:v>{"bei":"11.96","le":"0.23","lle":"0.26","sei":"12.45"}</x:v>
      </x:c>
      <x:c r="T89" s="14" t="str">
        <x:v>null</x:v>
      </x:c>
      <x:c r="U89" s="14" t="str">
        <x:v>CHEMBL3968272</x:v>
      </x:c>
      <x:c r="V89" s="14" t="str">
        <x:v>null</x:v>
      </x:c>
      <x:c r="W89" s="14" t="str">
        <x:v>CHEMBL3968272</x:v>
      </x:c>
      <x:c r="X89" s="15" t="n">
        <x:v>5.83</x:v>
      </x:c>
      <x:c r="Y89" s="17" t="n">
        <x:v>0</x:v>
      </x:c>
      <x:c r="Z89" s="14" t="str">
        <x:v>http://www.openphacts.org/units/Nanomolar</x:v>
      </x:c>
      <x:c r="AA89" s="14" t="str">
        <x:v>2796860</x:v>
      </x:c>
      <x:c r="AB89" s="14" t="str">
        <x:v>=</x:v>
      </x:c>
      <x:c r="AC89" s="14" t="str">
        <x:v>1</x:v>
      </x:c>
      <x:c r="AD89" s="17" t="n">
        <x:v>1</x:v>
      </x:c>
      <x:c r="AE89" s="14" t="str">
        <x:v>=</x:v>
      </x:c>
      <x:c r="AF89" s="14" t="str">
        <x:v>null</x:v>
      </x:c>
      <x:c r="AG89" s="14" t="str">
        <x:v>Ki</x:v>
      </x:c>
      <x:c r="AH89" s="14" t="str">
        <x:v>nM</x:v>
      </x:c>
      <x:c r="AI89" s="14" t="str">
        <x:v>null</x:v>
      </x:c>
      <x:c r="AJ89" s="15" t="n">
        <x:v>1479.11</x:v>
      </x:c>
      <x:c r="AK89" s="14" t="str">
        <x:v>CHEMBL217</x:v>
      </x:c>
      <x:c r="AL89" s="14" t="str">
        <x:v>Homo sapiens</x:v>
      </x:c>
      <x:c r="AM89" s="14" t="str">
        <x:v>D(2) dopamine receptor</x:v>
      </x:c>
      <x:c r="AN89" s="14" t="str">
        <x:v>9606</x:v>
      </x:c>
      <x:c r="AO89" s="14" t="str">
        <x:v>null</x:v>
      </x:c>
      <x:c r="AP89" s="14" t="str">
        <x:v>null</x:v>
      </x:c>
      <x:c r="AQ89" s="14" t="str">
        <x:v>pKi</x:v>
      </x:c>
      <x:c r="AR89" s="14" t="str">
        <x:v>null</x:v>
      </x:c>
      <x:c r="AS89" s="14" t="str">
        <x:v>UO_0000065</x:v>
      </x:c>
      <x:c r="AT89" s="14" t="str">
        <x:v>null</x:v>
      </x:c>
      <x:c r="AU89" s="14" t="str">
        <x:v>5.83</x:v>
      </x:c>
    </x:row>
    <x:row r="90" ht="51" customHeight="1">
      <x:c r="A90" s="9" t="str">
        <x:v>null</x:v>
      </x:c>
      <x:c r="B90" s="9" t="str">
        <x:v>null</x:v>
      </x:c>
      <x:c r="C90" s="9" t="str">
        <x:v>16670421</x:v>
      </x:c>
      <x:c r="D90" s="9" t="str">
        <x:v>[]</x:v>
      </x:c>
      <x:c r="E90" s="9" t="str">
        <x:v>CHEMBL3855278</x:v>
      </x:c>
      <x:c r="F90" s="9" t="str">
        <x:v>Displacement of [3H]-spiperone from human dopamine D2 receptor expressed in CHO-K1 cell membranes coexpressing Galpha16 after 120 mins by liquid scintillation counting</x:v>
      </x:c>
      <x:c r="G90" s="9" t="str">
        <x:v>B</x:v>
      </x:c>
      <x:c r="H90" s="9" t="str">
        <x:v>null</x:v>
      </x:c>
      <x:c r="I90" s="9" t="str">
        <x:v>null</x:v>
      </x:c>
      <x:c r="J90" s="9" t="str">
        <x:v>BAO_0000192</x:v>
      </x:c>
      <x:c r="K90" s="9" t="str">
        <x:v>BAO_0000219</x:v>
      </x:c>
      <x:c r="L90" s="9" t="str">
        <x:v>cell-based format</x:v>
      </x:c>
      <x:c r="M90" s="9" t="str">
        <x:v>Cn1c(SCCCN2CC[C@]3(C[C@@H]3c3ccc(C(F)(F)F)cc3)C2)nnc1-c1cccnc1C(F)(F)F</x:v>
      </x:c>
      <x:c r="N90" s="9" t="str">
        <x:v>null</x:v>
      </x:c>
      <x:c r="O90" s="9" t="str">
        <x:v>null</x:v>
      </x:c>
      <x:c r="P90" s="9" t="str">
        <x:v>CHEMBL3853329</x:v>
      </x:c>
      <x:c r="Q90" s="9" t="str">
        <x:v>J Med Chem</x:v>
      </x:c>
      <x:c r="R90" s="13" t="n">
        <x:v>2016</x:v>
      </x:c>
      <x:c r="S90" s="9" t="str">
        <x:v>{"bei":"11.12","le":"0.22","lle":"-0.26","sei":"12.85"}</x:v>
      </x:c>
      <x:c r="T90" s="9" t="str">
        <x:v>null</x:v>
      </x:c>
      <x:c r="U90" s="9" t="str">
        <x:v>CHEMBL3946313</x:v>
      </x:c>
      <x:c r="V90" s="9" t="str">
        <x:v>null</x:v>
      </x:c>
      <x:c r="W90" s="9" t="str">
        <x:v>CHEMBL3946313</x:v>
      </x:c>
      <x:c r="X90" s="11" t="n">
        <x:v>6.02</x:v>
      </x:c>
      <x:c r="Y90" s="13" t="n">
        <x:v>0</x:v>
      </x:c>
      <x:c r="Z90" s="9" t="str">
        <x:v>http://www.openphacts.org/units/Nanomolar</x:v>
      </x:c>
      <x:c r="AA90" s="9" t="str">
        <x:v>2796861</x:v>
      </x:c>
      <x:c r="AB90" s="9" t="str">
        <x:v>=</x:v>
      </x:c>
      <x:c r="AC90" s="9" t="str">
        <x:v>1</x:v>
      </x:c>
      <x:c r="AD90" s="13" t="n">
        <x:v>1</x:v>
      </x:c>
      <x:c r="AE90" s="9" t="str">
        <x:v>=</x:v>
      </x:c>
      <x:c r="AF90" s="9" t="str">
        <x:v>null</x:v>
      </x:c>
      <x:c r="AG90" s="9" t="str">
        <x:v>Ki</x:v>
      </x:c>
      <x:c r="AH90" s="9" t="str">
        <x:v>nM</x:v>
      </x:c>
      <x:c r="AI90" s="9" t="str">
        <x:v>null</x:v>
      </x:c>
      <x:c r="AJ90" s="11" t="n">
        <x:v>954.99</x:v>
      </x:c>
      <x:c r="AK90" s="9" t="str">
        <x:v>CHEMBL217</x:v>
      </x:c>
      <x:c r="AL90" s="9" t="str">
        <x:v>Homo sapiens</x:v>
      </x:c>
      <x:c r="AM90" s="9" t="str">
        <x:v>D(2) dopamine receptor</x:v>
      </x:c>
      <x:c r="AN90" s="9" t="str">
        <x:v>9606</x:v>
      </x:c>
      <x:c r="AO90" s="9" t="str">
        <x:v>null</x:v>
      </x:c>
      <x:c r="AP90" s="9" t="str">
        <x:v>null</x:v>
      </x:c>
      <x:c r="AQ90" s="9" t="str">
        <x:v>pKi</x:v>
      </x:c>
      <x:c r="AR90" s="9" t="str">
        <x:v>null</x:v>
      </x:c>
      <x:c r="AS90" s="9" t="str">
        <x:v>UO_0000065</x:v>
      </x:c>
      <x:c r="AT90" s="9" t="str">
        <x:v>null</x:v>
      </x:c>
      <x:c r="AU90" s="9" t="str">
        <x:v>6.02</x:v>
      </x:c>
    </x:row>
    <x:row r="91" ht="51" customHeight="1">
      <x:c r="A91" s="14" t="str">
        <x:v>null</x:v>
      </x:c>
      <x:c r="B91" s="14" t="str">
        <x:v>null</x:v>
      </x:c>
      <x:c r="C91" s="14" t="str">
        <x:v>16670422</x:v>
      </x:c>
      <x:c r="D91" s="14" t="str">
        <x:v>[]</x:v>
      </x:c>
      <x:c r="E91" s="14" t="str">
        <x:v>CHEMBL3855278</x:v>
      </x:c>
      <x:c r="F91" s="14" t="str">
        <x:v>Displacement of [3H]-spiperone from human dopamine D2 receptor expressed in CHO-K1 cell membranes coexpressing Galpha16 after 120 mins by liquid scintillation counting</x:v>
      </x:c>
      <x:c r="G91" s="14" t="str">
        <x:v>B</x:v>
      </x:c>
      <x:c r="H91" s="14" t="str">
        <x:v>null</x:v>
      </x:c>
      <x:c r="I91" s="14" t="str">
        <x:v>null</x:v>
      </x:c>
      <x:c r="J91" s="14" t="str">
        <x:v>BAO_0000192</x:v>
      </x:c>
      <x:c r="K91" s="14" t="str">
        <x:v>BAO_0000219</x:v>
      </x:c>
      <x:c r="L91" s="14" t="str">
        <x:v>cell-based format</x:v>
      </x:c>
      <x:c r="M91" s="14" t="str">
        <x:v>COc1ncccc1-c1nnc(SCCCN2CC[C@]3(C[C@@H]3c3ccc(C(F)(F)F)cc3)C2)n1C</x:v>
      </x:c>
      <x:c r="N91" s="14" t="str">
        <x:v>null</x:v>
      </x:c>
      <x:c r="O91" s="14" t="str">
        <x:v>null</x:v>
      </x:c>
      <x:c r="P91" s="14" t="str">
        <x:v>CHEMBL3853329</x:v>
      </x:c>
      <x:c r="Q91" s="14" t="str">
        <x:v>J Med Chem</x:v>
      </x:c>
      <x:c r="R91" s="17" t="n">
        <x:v>2016</x:v>
      </x:c>
      <x:c r="S91" s="14" t="str">
        <x:v>{"bei":"11.80","le":"0.23","lle":"0.67","sei":"10.59"}</x:v>
      </x:c>
      <x:c r="T91" s="14" t="str">
        <x:v>null</x:v>
      </x:c>
      <x:c r="U91" s="14" t="str">
        <x:v>CHEMBL3958949</x:v>
      </x:c>
      <x:c r="V91" s="14" t="str">
        <x:v>null</x:v>
      </x:c>
      <x:c r="W91" s="14" t="str">
        <x:v>CHEMBL3958949</x:v>
      </x:c>
      <x:c r="X91" s="15" t="n">
        <x:v>5.94</x:v>
      </x:c>
      <x:c r="Y91" s="17" t="n">
        <x:v>0</x:v>
      </x:c>
      <x:c r="Z91" s="14" t="str">
        <x:v>http://www.openphacts.org/units/Nanomolar</x:v>
      </x:c>
      <x:c r="AA91" s="14" t="str">
        <x:v>2796862</x:v>
      </x:c>
      <x:c r="AB91" s="14" t="str">
        <x:v>=</x:v>
      </x:c>
      <x:c r="AC91" s="14" t="str">
        <x:v>1</x:v>
      </x:c>
      <x:c r="AD91" s="17" t="n">
        <x:v>1</x:v>
      </x:c>
      <x:c r="AE91" s="14" t="str">
        <x:v>=</x:v>
      </x:c>
      <x:c r="AF91" s="14" t="str">
        <x:v>null</x:v>
      </x:c>
      <x:c r="AG91" s="14" t="str">
        <x:v>Ki</x:v>
      </x:c>
      <x:c r="AH91" s="14" t="str">
        <x:v>nM</x:v>
      </x:c>
      <x:c r="AI91" s="14" t="str">
        <x:v>null</x:v>
      </x:c>
      <x:c r="AJ91" s="15" t="n">
        <x:v>1148.15</x:v>
      </x:c>
      <x:c r="AK91" s="14" t="str">
        <x:v>CHEMBL217</x:v>
      </x:c>
      <x:c r="AL91" s="14" t="str">
        <x:v>Homo sapiens</x:v>
      </x:c>
      <x:c r="AM91" s="14" t="str">
        <x:v>D(2) dopamine receptor</x:v>
      </x:c>
      <x:c r="AN91" s="14" t="str">
        <x:v>9606</x:v>
      </x:c>
      <x:c r="AO91" s="14" t="str">
        <x:v>null</x:v>
      </x:c>
      <x:c r="AP91" s="14" t="str">
        <x:v>null</x:v>
      </x:c>
      <x:c r="AQ91" s="14" t="str">
        <x:v>pKi</x:v>
      </x:c>
      <x:c r="AR91" s="14" t="str">
        <x:v>null</x:v>
      </x:c>
      <x:c r="AS91" s="14" t="str">
        <x:v>UO_0000065</x:v>
      </x:c>
      <x:c r="AT91" s="14" t="str">
        <x:v>null</x:v>
      </x:c>
      <x:c r="AU91" s="14" t="str">
        <x:v>5.94</x:v>
      </x:c>
    </x:row>
    <x:row r="92" ht="51" customHeight="1">
      <x:c r="A92" s="9" t="str">
        <x:v>null</x:v>
      </x:c>
      <x:c r="B92" s="9" t="str">
        <x:v>null</x:v>
      </x:c>
      <x:c r="C92" s="9" t="str">
        <x:v>16670423</x:v>
      </x:c>
      <x:c r="D92" s="9" t="str">
        <x:v>[]</x:v>
      </x:c>
      <x:c r="E92" s="9" t="str">
        <x:v>CHEMBL3855278</x:v>
      </x:c>
      <x:c r="F92" s="9" t="str">
        <x:v>Displacement of [3H]-spiperone from human dopamine D2 receptor expressed in CHO-K1 cell membranes coexpressing Galpha16 after 120 mins by liquid scintillation counting</x:v>
      </x:c>
      <x:c r="G92" s="9" t="str">
        <x:v>B</x:v>
      </x:c>
      <x:c r="H92" s="9" t="str">
        <x:v>null</x:v>
      </x:c>
      <x:c r="I92" s="9" t="str">
        <x:v>null</x:v>
      </x:c>
      <x:c r="J92" s="9" t="str">
        <x:v>BAO_0000192</x:v>
      </x:c>
      <x:c r="K92" s="9" t="str">
        <x:v>BAO_0000219</x:v>
      </x:c>
      <x:c r="L92" s="9" t="str">
        <x:v>cell-based format</x:v>
      </x:c>
      <x:c r="M92" s="9" t="str">
        <x:v>Cn1c(SCCCN2CC[C@]3(C[C@@H]3c3ccc(C(F)(F)F)cc3)C2)nnc1-c1ccc(C#N)nc1</x:v>
      </x:c>
      <x:c r="N92" s="9" t="str">
        <x:v>null</x:v>
      </x:c>
      <x:c r="O92" s="9" t="str">
        <x:v>null</x:v>
      </x:c>
      <x:c r="P92" s="9" t="str">
        <x:v>CHEMBL3853329</x:v>
      </x:c>
      <x:c r="Q92" s="9" t="str">
        <x:v>J Med Chem</x:v>
      </x:c>
      <x:c r="R92" s="13" t="n">
        <x:v>2016</x:v>
      </x:c>
      <x:c r="S92" s="9" t="str">
        <x:v>{"bei":"12.36","le":"0.24","lle":"1.03","sei":"8.72"}</x:v>
      </x:c>
      <x:c r="T92" s="9" t="str">
        <x:v>null</x:v>
      </x:c>
      <x:c r="U92" s="9" t="str">
        <x:v>CHEMBL3922535</x:v>
      </x:c>
      <x:c r="V92" s="9" t="str">
        <x:v>null</x:v>
      </x:c>
      <x:c r="W92" s="9" t="str">
        <x:v>CHEMBL3922535</x:v>
      </x:c>
      <x:c r="X92" s="11" t="n">
        <x:v>6.16</x:v>
      </x:c>
      <x:c r="Y92" s="13" t="n">
        <x:v>0</x:v>
      </x:c>
      <x:c r="Z92" s="9" t="str">
        <x:v>http://www.openphacts.org/units/Nanomolar</x:v>
      </x:c>
      <x:c r="AA92" s="9" t="str">
        <x:v>2796863</x:v>
      </x:c>
      <x:c r="AB92" s="9" t="str">
        <x:v>=</x:v>
      </x:c>
      <x:c r="AC92" s="9" t="str">
        <x:v>1</x:v>
      </x:c>
      <x:c r="AD92" s="13" t="n">
        <x:v>1</x:v>
      </x:c>
      <x:c r="AE92" s="9" t="str">
        <x:v>=</x:v>
      </x:c>
      <x:c r="AF92" s="9" t="str">
        <x:v>null</x:v>
      </x:c>
      <x:c r="AG92" s="9" t="str">
        <x:v>Ki</x:v>
      </x:c>
      <x:c r="AH92" s="9" t="str">
        <x:v>nM</x:v>
      </x:c>
      <x:c r="AI92" s="9" t="str">
        <x:v>null</x:v>
      </x:c>
      <x:c r="AJ92" s="11" t="n">
        <x:v>691.83</x:v>
      </x:c>
      <x:c r="AK92" s="9" t="str">
        <x:v>CHEMBL217</x:v>
      </x:c>
      <x:c r="AL92" s="9" t="str">
        <x:v>Homo sapiens</x:v>
      </x:c>
      <x:c r="AM92" s="9" t="str">
        <x:v>D(2) dopamine receptor</x:v>
      </x:c>
      <x:c r="AN92" s="9" t="str">
        <x:v>9606</x:v>
      </x:c>
      <x:c r="AO92" s="9" t="str">
        <x:v>null</x:v>
      </x:c>
      <x:c r="AP92" s="9" t="str">
        <x:v>null</x:v>
      </x:c>
      <x:c r="AQ92" s="9" t="str">
        <x:v>pKi</x:v>
      </x:c>
      <x:c r="AR92" s="9" t="str">
        <x:v>null</x:v>
      </x:c>
      <x:c r="AS92" s="9" t="str">
        <x:v>UO_0000065</x:v>
      </x:c>
      <x:c r="AT92" s="9" t="str">
        <x:v>null</x:v>
      </x:c>
      <x:c r="AU92" s="9" t="str">
        <x:v>6.16</x:v>
      </x:c>
    </x:row>
    <x:row r="93" ht="51" customHeight="1">
      <x:c r="A93" s="14" t="str">
        <x:v>null</x:v>
      </x:c>
      <x:c r="B93" s="14" t="str">
        <x:v>null</x:v>
      </x:c>
      <x:c r="C93" s="14" t="str">
        <x:v>16670424</x:v>
      </x:c>
      <x:c r="D93" s="14" t="str">
        <x:v>[]</x:v>
      </x:c>
      <x:c r="E93" s="14" t="str">
        <x:v>CHEMBL3855278</x:v>
      </x:c>
      <x:c r="F93" s="14" t="str">
        <x:v>Displacement of [3H]-spiperone from human dopamine D2 receptor expressed in CHO-K1 cell membranes coexpressing Galpha16 after 120 mins by liquid scintillation counting</x:v>
      </x:c>
      <x:c r="G93" s="14" t="str">
        <x:v>B</x:v>
      </x:c>
      <x:c r="H93" s="14" t="str">
        <x:v>null</x:v>
      </x:c>
      <x:c r="I93" s="14" t="str">
        <x:v>null</x:v>
      </x:c>
      <x:c r="J93" s="14" t="str">
        <x:v>BAO_0000192</x:v>
      </x:c>
      <x:c r="K93" s="14" t="str">
        <x:v>BAO_0000219</x:v>
      </x:c>
      <x:c r="L93" s="14" t="str">
        <x:v>cell-based format</x:v>
      </x:c>
      <x:c r="M93" s="14" t="str">
        <x:v>Cn1c(SCCCN2CC[C@]3(C[C@@H]3c3ccc(C(F)(F)F)cc3)C2)nnc1-c1ccc(C(N)=O)nc1</x:v>
      </x:c>
      <x:c r="N93" s="14" t="str">
        <x:v>null</x:v>
      </x:c>
      <x:c r="O93" s="14" t="str">
        <x:v>null</x:v>
      </x:c>
      <x:c r="P93" s="14" t="str">
        <x:v>CHEMBL3853329</x:v>
      </x:c>
      <x:c r="Q93" s="14" t="str">
        <x:v>J Med Chem</x:v>
      </x:c>
      <x:c r="R93" s="17" t="n">
        <x:v>2016</x:v>
      </x:c>
      <x:c r="S93" s="14" t="str">
        <x:v>{"bei":"12.12","le":"0.24","lle":"1.90","sei":"6.96"}</x:v>
      </x:c>
      <x:c r="T93" s="14" t="str">
        <x:v>null</x:v>
      </x:c>
      <x:c r="U93" s="14" t="str">
        <x:v>CHEMBL3950254</x:v>
      </x:c>
      <x:c r="V93" s="14" t="str">
        <x:v>null</x:v>
      </x:c>
      <x:c r="W93" s="14" t="str">
        <x:v>CHEMBL3950254</x:v>
      </x:c>
      <x:c r="X93" s="15" t="n">
        <x:v>6.26</x:v>
      </x:c>
      <x:c r="Y93" s="17" t="n">
        <x:v>0</x:v>
      </x:c>
      <x:c r="Z93" s="14" t="str">
        <x:v>http://www.openphacts.org/units/Nanomolar</x:v>
      </x:c>
      <x:c r="AA93" s="14" t="str">
        <x:v>2796864</x:v>
      </x:c>
      <x:c r="AB93" s="14" t="str">
        <x:v>=</x:v>
      </x:c>
      <x:c r="AC93" s="14" t="str">
        <x:v>1</x:v>
      </x:c>
      <x:c r="AD93" s="17" t="n">
        <x:v>1</x:v>
      </x:c>
      <x:c r="AE93" s="14" t="str">
        <x:v>=</x:v>
      </x:c>
      <x:c r="AF93" s="14" t="str">
        <x:v>null</x:v>
      </x:c>
      <x:c r="AG93" s="14" t="str">
        <x:v>Ki</x:v>
      </x:c>
      <x:c r="AH93" s="14" t="str">
        <x:v>nM</x:v>
      </x:c>
      <x:c r="AI93" s="14" t="str">
        <x:v>null</x:v>
      </x:c>
      <x:c r="AJ93" s="15" t="n">
        <x:v>549.54</x:v>
      </x:c>
      <x:c r="AK93" s="14" t="str">
        <x:v>CHEMBL217</x:v>
      </x:c>
      <x:c r="AL93" s="14" t="str">
        <x:v>Homo sapiens</x:v>
      </x:c>
      <x:c r="AM93" s="14" t="str">
        <x:v>D(2) dopamine receptor</x:v>
      </x:c>
      <x:c r="AN93" s="14" t="str">
        <x:v>9606</x:v>
      </x:c>
      <x:c r="AO93" s="14" t="str">
        <x:v>null</x:v>
      </x:c>
      <x:c r="AP93" s="14" t="str">
        <x:v>null</x:v>
      </x:c>
      <x:c r="AQ93" s="14" t="str">
        <x:v>pKi</x:v>
      </x:c>
      <x:c r="AR93" s="14" t="str">
        <x:v>null</x:v>
      </x:c>
      <x:c r="AS93" s="14" t="str">
        <x:v>UO_0000065</x:v>
      </x:c>
      <x:c r="AT93" s="14" t="str">
        <x:v>null</x:v>
      </x:c>
      <x:c r="AU93" s="14" t="str">
        <x:v>6.26</x:v>
      </x:c>
    </x:row>
    <x:row r="94" ht="51" customHeight="1">
      <x:c r="A94" s="9" t="str">
        <x:v>null</x:v>
      </x:c>
      <x:c r="B94" s="9" t="str">
        <x:v>null</x:v>
      </x:c>
      <x:c r="C94" s="9" t="str">
        <x:v>16670425</x:v>
      </x:c>
      <x:c r="D94" s="9" t="str">
        <x:v>[]</x:v>
      </x:c>
      <x:c r="E94" s="9" t="str">
        <x:v>CHEMBL3855278</x:v>
      </x:c>
      <x:c r="F94" s="9" t="str">
        <x:v>Displacement of [3H]-spiperone from human dopamine D2 receptor expressed in CHO-K1 cell membranes coexpressing Galpha16 after 120 mins by liquid scintillation counting</x:v>
      </x:c>
      <x:c r="G94" s="9" t="str">
        <x:v>B</x:v>
      </x:c>
      <x:c r="H94" s="9" t="str">
        <x:v>null</x:v>
      </x:c>
      <x:c r="I94" s="9" t="str">
        <x:v>null</x:v>
      </x:c>
      <x:c r="J94" s="9" t="str">
        <x:v>BAO_0000192</x:v>
      </x:c>
      <x:c r="K94" s="9" t="str">
        <x:v>BAO_0000219</x:v>
      </x:c>
      <x:c r="L94" s="9" t="str">
        <x:v>cell-based format</x:v>
      </x:c>
      <x:c r="M94" s="9" t="str">
        <x:v>Cc1ccc(-c2nnc(SCCCN3CC[C@]4(C[C@@H]4c4ccc(C(F)(F)F)cc4)C3)n2C)c(C)n1</x:v>
      </x:c>
      <x:c r="N94" s="9" t="str">
        <x:v>null</x:v>
      </x:c>
      <x:c r="O94" s="9" t="str">
        <x:v>null</x:v>
      </x:c>
      <x:c r="P94" s="9" t="str">
        <x:v>CHEMBL3853329</x:v>
      </x:c>
      <x:c r="Q94" s="9" t="str">
        <x:v>J Med Chem</x:v>
      </x:c>
      <x:c r="R94" s="13" t="n">
        <x:v>2016</x:v>
      </x:c>
      <x:c r="S94" s="9" t="str">
        <x:v>{"bei":"11.78","le":"0.23","lle":"0.04","sei":"12.62"}</x:v>
      </x:c>
      <x:c r="T94" s="9" t="str">
        <x:v>null</x:v>
      </x:c>
      <x:c r="U94" s="9" t="str">
        <x:v>CHEMBL3913542</x:v>
      </x:c>
      <x:c r="V94" s="9" t="str">
        <x:v>null</x:v>
      </x:c>
      <x:c r="W94" s="9" t="str">
        <x:v>CHEMBL3913542</x:v>
      </x:c>
      <x:c r="X94" s="11" t="n">
        <x:v>5.91</x:v>
      </x:c>
      <x:c r="Y94" s="13" t="n">
        <x:v>0</x:v>
      </x:c>
      <x:c r="Z94" s="9" t="str">
        <x:v>http://www.openphacts.org/units/Nanomolar</x:v>
      </x:c>
      <x:c r="AA94" s="9" t="str">
        <x:v>2796865</x:v>
      </x:c>
      <x:c r="AB94" s="9" t="str">
        <x:v>=</x:v>
      </x:c>
      <x:c r="AC94" s="9" t="str">
        <x:v>1</x:v>
      </x:c>
      <x:c r="AD94" s="13" t="n">
        <x:v>1</x:v>
      </x:c>
      <x:c r="AE94" s="9" t="str">
        <x:v>=</x:v>
      </x:c>
      <x:c r="AF94" s="9" t="str">
        <x:v>null</x:v>
      </x:c>
      <x:c r="AG94" s="9" t="str">
        <x:v>Ki</x:v>
      </x:c>
      <x:c r="AH94" s="9" t="str">
        <x:v>nM</x:v>
      </x:c>
      <x:c r="AI94" s="9" t="str">
        <x:v>null</x:v>
      </x:c>
      <x:c r="AJ94" s="11" t="n">
        <x:v>1230.27</x:v>
      </x:c>
      <x:c r="AK94" s="9" t="str">
        <x:v>CHEMBL217</x:v>
      </x:c>
      <x:c r="AL94" s="9" t="str">
        <x:v>Homo sapiens</x:v>
      </x:c>
      <x:c r="AM94" s="9" t="str">
        <x:v>D(2) dopamine receptor</x:v>
      </x:c>
      <x:c r="AN94" s="9" t="str">
        <x:v>9606</x:v>
      </x:c>
      <x:c r="AO94" s="9" t="str">
        <x:v>null</x:v>
      </x:c>
      <x:c r="AP94" s="9" t="str">
        <x:v>null</x:v>
      </x:c>
      <x:c r="AQ94" s="9" t="str">
        <x:v>pKi</x:v>
      </x:c>
      <x:c r="AR94" s="9" t="str">
        <x:v>null</x:v>
      </x:c>
      <x:c r="AS94" s="9" t="str">
        <x:v>UO_0000065</x:v>
      </x:c>
      <x:c r="AT94" s="9" t="str">
        <x:v>null</x:v>
      </x:c>
      <x:c r="AU94" s="9" t="str">
        <x:v>5.91</x:v>
      </x:c>
    </x:row>
    <x:row r="95" ht="51" customHeight="1">
      <x:c r="A95" s="14" t="str">
        <x:v>null</x:v>
      </x:c>
      <x:c r="B95" s="14" t="str">
        <x:v>null</x:v>
      </x:c>
      <x:c r="C95" s="14" t="str">
        <x:v>16670426</x:v>
      </x:c>
      <x:c r="D95" s="14" t="str">
        <x:v>[]</x:v>
      </x:c>
      <x:c r="E95" s="14" t="str">
        <x:v>CHEMBL3855278</x:v>
      </x:c>
      <x:c r="F95" s="14" t="str">
        <x:v>Displacement of [3H]-spiperone from human dopamine D2 receptor expressed in CHO-K1 cell membranes coexpressing Galpha16 after 120 mins by liquid scintillation counting</x:v>
      </x:c>
      <x:c r="G95" s="14" t="str">
        <x:v>B</x:v>
      </x:c>
      <x:c r="H95" s="14" t="str">
        <x:v>null</x:v>
      </x:c>
      <x:c r="I95" s="14" t="str">
        <x:v>null</x:v>
      </x:c>
      <x:c r="J95" s="14" t="str">
        <x:v>BAO_0000192</x:v>
      </x:c>
      <x:c r="K95" s="14" t="str">
        <x:v>BAO_0000219</x:v>
      </x:c>
      <x:c r="L95" s="14" t="str">
        <x:v>cell-based format</x:v>
      </x:c>
      <x:c r="M95" s="14" t="str">
        <x:v>Cc1nc(C(N)=O)ccc1-c1nnc(SCCCN2CC[C@]3(C[C@@H]3c3ccc(C(F)(F)F)cc3)C2)n1C</x:v>
      </x:c>
      <x:c r="N95" s="14" t="str">
        <x:v>null</x:v>
      </x:c>
      <x:c r="O95" s="14" t="str">
        <x:v>null</x:v>
      </x:c>
      <x:c r="P95" s="14" t="str">
        <x:v>CHEMBL3853329</x:v>
      </x:c>
      <x:c r="Q95" s="14" t="str">
        <x:v>J Med Chem</x:v>
      </x:c>
      <x:c r="R95" s="17" t="n">
        <x:v>2016</x:v>
      </x:c>
      <x:c r="S95" s="14" t="str">
        <x:v>{"bei":"11.19","le":"0.22","lle":"1.27","sei":"6.61"}</x:v>
      </x:c>
      <x:c r="T95" s="14" t="str">
        <x:v>null</x:v>
      </x:c>
      <x:c r="U95" s="14" t="str">
        <x:v>CHEMBL3941520</x:v>
      </x:c>
      <x:c r="V95" s="14" t="str">
        <x:v>null</x:v>
      </x:c>
      <x:c r="W95" s="14" t="str">
        <x:v>CHEMBL3941520</x:v>
      </x:c>
      <x:c r="X95" s="15" t="n">
        <x:v>5.94</x:v>
      </x:c>
      <x:c r="Y95" s="17" t="n">
        <x:v>0</x:v>
      </x:c>
      <x:c r="Z95" s="14" t="str">
        <x:v>http://www.openphacts.org/units/Nanomolar</x:v>
      </x:c>
      <x:c r="AA95" s="14" t="str">
        <x:v>2796866</x:v>
      </x:c>
      <x:c r="AB95" s="14" t="str">
        <x:v>=</x:v>
      </x:c>
      <x:c r="AC95" s="14" t="str">
        <x:v>1</x:v>
      </x:c>
      <x:c r="AD95" s="17" t="n">
        <x:v>1</x:v>
      </x:c>
      <x:c r="AE95" s="14" t="str">
        <x:v>=</x:v>
      </x:c>
      <x:c r="AF95" s="14" t="str">
        <x:v>null</x:v>
      </x:c>
      <x:c r="AG95" s="14" t="str">
        <x:v>Ki</x:v>
      </x:c>
      <x:c r="AH95" s="14" t="str">
        <x:v>nM</x:v>
      </x:c>
      <x:c r="AI95" s="14" t="str">
        <x:v>null</x:v>
      </x:c>
      <x:c r="AJ95" s="15" t="n">
        <x:v>1148.15</x:v>
      </x:c>
      <x:c r="AK95" s="14" t="str">
        <x:v>CHEMBL217</x:v>
      </x:c>
      <x:c r="AL95" s="14" t="str">
        <x:v>Homo sapiens</x:v>
      </x:c>
      <x:c r="AM95" s="14" t="str">
        <x:v>D(2) dopamine receptor</x:v>
      </x:c>
      <x:c r="AN95" s="14" t="str">
        <x:v>9606</x:v>
      </x:c>
      <x:c r="AO95" s="14" t="str">
        <x:v>null</x:v>
      </x:c>
      <x:c r="AP95" s="14" t="str">
        <x:v>null</x:v>
      </x:c>
      <x:c r="AQ95" s="14" t="str">
        <x:v>pKi</x:v>
      </x:c>
      <x:c r="AR95" s="14" t="str">
        <x:v>null</x:v>
      </x:c>
      <x:c r="AS95" s="14" t="str">
        <x:v>UO_0000065</x:v>
      </x:c>
      <x:c r="AT95" s="14" t="str">
        <x:v>null</x:v>
      </x:c>
      <x:c r="AU95" s="14" t="str">
        <x:v>5.94</x:v>
      </x:c>
    </x:row>
    <x:row r="96" ht="51" customHeight="1">
      <x:c r="A96" s="9" t="str">
        <x:v>null</x:v>
      </x:c>
      <x:c r="B96" s="9" t="str">
        <x:v>null</x:v>
      </x:c>
      <x:c r="C96" s="9" t="str">
        <x:v>16670427</x:v>
      </x:c>
      <x:c r="D96" s="9" t="str">
        <x:v>[]</x:v>
      </x:c>
      <x:c r="E96" s="9" t="str">
        <x:v>CHEMBL3855278</x:v>
      </x:c>
      <x:c r="F96" s="9" t="str">
        <x:v>Displacement of [3H]-spiperone from human dopamine D2 receptor expressed in CHO-K1 cell membranes coexpressing Galpha16 after 120 mins by liquid scintillation counting</x:v>
      </x:c>
      <x:c r="G96" s="9" t="str">
        <x:v>B</x:v>
      </x:c>
      <x:c r="H96" s="9" t="str">
        <x:v>null</x:v>
      </x:c>
      <x:c r="I96" s="9" t="str">
        <x:v>null</x:v>
      </x:c>
      <x:c r="J96" s="9" t="str">
        <x:v>BAO_0000192</x:v>
      </x:c>
      <x:c r="K96" s="9" t="str">
        <x:v>BAO_0000219</x:v>
      </x:c>
      <x:c r="L96" s="9" t="str">
        <x:v>cell-based format</x:v>
      </x:c>
      <x:c r="M96" s="9" t="str">
        <x:v>Cc1nc(C(=O)O)ccc1-c1nnc(SCCCN2CC[C@]3(C[C@@H]3c3ccc(C(F)(F)F)cc3)C2)n1C</x:v>
      </x:c>
      <x:c r="N96" s="9" t="str">
        <x:v>null</x:v>
      </x:c>
      <x:c r="O96" s="9" t="str">
        <x:v>null</x:v>
      </x:c>
      <x:c r="P96" s="9" t="str">
        <x:v>CHEMBL3853329</x:v>
      </x:c>
      <x:c r="Q96" s="9" t="str">
        <x:v>J Med Chem</x:v>
      </x:c>
      <x:c r="R96" s="13" t="n">
        <x:v>2016</x:v>
      </x:c>
      <x:c r="S96" s="9" t="str">
        <x:v>{"bei":"9.63","le":"0.19","lle":"-0.14","sei":"6.09"}</x:v>
      </x:c>
      <x:c r="T96" s="9" t="str">
        <x:v>null</x:v>
      </x:c>
      <x:c r="U96" s="9" t="str">
        <x:v>CHEMBL3964649</x:v>
      </x:c>
      <x:c r="V96" s="9" t="str">
        <x:v>null</x:v>
      </x:c>
      <x:c r="W96" s="9" t="str">
        <x:v>CHEMBL3964649</x:v>
      </x:c>
      <x:c r="X96" s="11" t="n">
        <x:v>5.12</x:v>
      </x:c>
      <x:c r="Y96" s="13" t="n">
        <x:v>0</x:v>
      </x:c>
      <x:c r="Z96" s="9" t="str">
        <x:v>http://www.openphacts.org/units/Nanomolar</x:v>
      </x:c>
      <x:c r="AA96" s="9" t="str">
        <x:v>2796867</x:v>
      </x:c>
      <x:c r="AB96" s="9" t="str">
        <x:v>=</x:v>
      </x:c>
      <x:c r="AC96" s="9" t="str">
        <x:v>1</x:v>
      </x:c>
      <x:c r="AD96" s="13" t="n">
        <x:v>1</x:v>
      </x:c>
      <x:c r="AE96" s="9" t="str">
        <x:v>=</x:v>
      </x:c>
      <x:c r="AF96" s="9" t="str">
        <x:v>null</x:v>
      </x:c>
      <x:c r="AG96" s="9" t="str">
        <x:v>Ki</x:v>
      </x:c>
      <x:c r="AH96" s="9" t="str">
        <x:v>nM</x:v>
      </x:c>
      <x:c r="AI96" s="9" t="str">
        <x:v>null</x:v>
      </x:c>
      <x:c r="AJ96" s="11" t="n">
        <x:v>7585.78</x:v>
      </x:c>
      <x:c r="AK96" s="9" t="str">
        <x:v>CHEMBL217</x:v>
      </x:c>
      <x:c r="AL96" s="9" t="str">
        <x:v>Homo sapiens</x:v>
      </x:c>
      <x:c r="AM96" s="9" t="str">
        <x:v>D(2) dopamine receptor</x:v>
      </x:c>
      <x:c r="AN96" s="9" t="str">
        <x:v>9606</x:v>
      </x:c>
      <x:c r="AO96" s="9" t="str">
        <x:v>null</x:v>
      </x:c>
      <x:c r="AP96" s="9" t="str">
        <x:v>null</x:v>
      </x:c>
      <x:c r="AQ96" s="9" t="str">
        <x:v>pKi</x:v>
      </x:c>
      <x:c r="AR96" s="9" t="str">
        <x:v>null</x:v>
      </x:c>
      <x:c r="AS96" s="9" t="str">
        <x:v>UO_0000065</x:v>
      </x:c>
      <x:c r="AT96" s="9" t="str">
        <x:v>null</x:v>
      </x:c>
      <x:c r="AU96" s="9" t="str">
        <x:v>5.12</x:v>
      </x:c>
    </x:row>
    <x:row r="97" ht="51" customHeight="1">
      <x:c r="A97" s="14" t="str">
        <x:v>null</x:v>
      </x:c>
      <x:c r="B97" s="14" t="str">
        <x:v>null</x:v>
      </x:c>
      <x:c r="C97" s="14" t="str">
        <x:v>16670459</x:v>
      </x:c>
      <x:c r="D97" s="14" t="str">
        <x:v>[]</x:v>
      </x:c>
      <x:c r="E97" s="14" t="str">
        <x:v>CHEMBL3855278</x:v>
      </x:c>
      <x:c r="F97" s="14" t="str">
        <x:v>Displacement of [3H]-spiperone from human dopamine D2 receptor expressed in CHO-K1 cell membranes coexpressing Galpha16 after 120 mins by liquid scintillation counting</x:v>
      </x:c>
      <x:c r="G97" s="14" t="str">
        <x:v>B</x:v>
      </x:c>
      <x:c r="H97" s="14" t="str">
        <x:v>null</x:v>
      </x:c>
      <x:c r="I97" s="14" t="str">
        <x:v>null</x:v>
      </x:c>
      <x:c r="J97" s="14" t="str">
        <x:v>BAO_0000192</x:v>
      </x:c>
      <x:c r="K97" s="14" t="str">
        <x:v>BAO_0000219</x:v>
      </x:c>
      <x:c r="L97" s="14" t="str">
        <x:v>cell-based format</x:v>
      </x:c>
      <x:c r="M97" s="14" t="str">
        <x:v>Cn1c(SCCCN2CC[C@]3(C[C@@H]3c3ccc(C(F)(F)F)cc3)C2)nnc1-c1ccn(C)c(=O)c1</x:v>
      </x:c>
      <x:c r="N97" s="14" t="str">
        <x:v>null</x:v>
      </x:c>
      <x:c r="O97" s="14" t="str">
        <x:v>null</x:v>
      </x:c>
      <x:c r="P97" s="14" t="str">
        <x:v>CHEMBL3853329</x:v>
      </x:c>
      <x:c r="Q97" s="14" t="str">
        <x:v>J Med Chem</x:v>
      </x:c>
      <x:c r="R97" s="17" t="n">
        <x:v>2016</x:v>
      </x:c>
      <x:c r="S97" s="14" t="str">
        <x:v>{"bei":"11.22","le":"0.22","lle":"1.09","sei":"10.10"}</x:v>
      </x:c>
      <x:c r="T97" s="14" t="str">
        <x:v>null</x:v>
      </x:c>
      <x:c r="U97" s="14" t="str">
        <x:v>CHEMBL3894853</x:v>
      </x:c>
      <x:c r="V97" s="14" t="str">
        <x:v>null</x:v>
      </x:c>
      <x:c r="W97" s="14" t="str">
        <x:v>CHEMBL3894853</x:v>
      </x:c>
      <x:c r="X97" s="15" t="n">
        <x:v>5.65</x:v>
      </x:c>
      <x:c r="Y97" s="17" t="n">
        <x:v>0</x:v>
      </x:c>
      <x:c r="Z97" s="14" t="str">
        <x:v>http://www.openphacts.org/units/Nanomolar</x:v>
      </x:c>
      <x:c r="AA97" s="14" t="str">
        <x:v>2796872</x:v>
      </x:c>
      <x:c r="AB97" s="14" t="str">
        <x:v>=</x:v>
      </x:c>
      <x:c r="AC97" s="14" t="str">
        <x:v>1</x:v>
      </x:c>
      <x:c r="AD97" s="17" t="n">
        <x:v>1</x:v>
      </x:c>
      <x:c r="AE97" s="14" t="str">
        <x:v>=</x:v>
      </x:c>
      <x:c r="AF97" s="14" t="str">
        <x:v>null</x:v>
      </x:c>
      <x:c r="AG97" s="14" t="str">
        <x:v>Ki</x:v>
      </x:c>
      <x:c r="AH97" s="14" t="str">
        <x:v>nM</x:v>
      </x:c>
      <x:c r="AI97" s="14" t="str">
        <x:v>null</x:v>
      </x:c>
      <x:c r="AJ97" s="15" t="n">
        <x:v>2238.72</x:v>
      </x:c>
      <x:c r="AK97" s="14" t="str">
        <x:v>CHEMBL217</x:v>
      </x:c>
      <x:c r="AL97" s="14" t="str">
        <x:v>Homo sapiens</x:v>
      </x:c>
      <x:c r="AM97" s="14" t="str">
        <x:v>D(2) dopamine receptor</x:v>
      </x:c>
      <x:c r="AN97" s="14" t="str">
        <x:v>9606</x:v>
      </x:c>
      <x:c r="AO97" s="14" t="str">
        <x:v>null</x:v>
      </x:c>
      <x:c r="AP97" s="14" t="str">
        <x:v>null</x:v>
      </x:c>
      <x:c r="AQ97" s="14" t="str">
        <x:v>pKi</x:v>
      </x:c>
      <x:c r="AR97" s="14" t="str">
        <x:v>null</x:v>
      </x:c>
      <x:c r="AS97" s="14" t="str">
        <x:v>UO_0000065</x:v>
      </x:c>
      <x:c r="AT97" s="14" t="str">
        <x:v>null</x:v>
      </x:c>
      <x:c r="AU97" s="14" t="str">
        <x:v>5.65</x:v>
      </x:c>
    </x:row>
    <x:row r="98" ht="51" customHeight="1">
      <x:c r="A98" s="9" t="str">
        <x:v>null</x:v>
      </x:c>
      <x:c r="B98" s="9" t="str">
        <x:v>null</x:v>
      </x:c>
      <x:c r="C98" s="9" t="str">
        <x:v>16670460</x:v>
      </x:c>
      <x:c r="D98" s="9" t="str">
        <x:v>[]</x:v>
      </x:c>
      <x:c r="E98" s="9" t="str">
        <x:v>CHEMBL3855278</x:v>
      </x:c>
      <x:c r="F98" s="9" t="str">
        <x:v>Displacement of [3H]-spiperone from human dopamine D2 receptor expressed in CHO-K1 cell membranes coexpressing Galpha16 after 120 mins by liquid scintillation counting</x:v>
      </x:c>
      <x:c r="G98" s="9" t="str">
        <x:v>B</x:v>
      </x:c>
      <x:c r="H98" s="9" t="str">
        <x:v>null</x:v>
      </x:c>
      <x:c r="I98" s="9" t="str">
        <x:v>null</x:v>
      </x:c>
      <x:c r="J98" s="9" t="str">
        <x:v>BAO_0000192</x:v>
      </x:c>
      <x:c r="K98" s="9" t="str">
        <x:v>BAO_0000219</x:v>
      </x:c>
      <x:c r="L98" s="9" t="str">
        <x:v>cell-based format</x:v>
      </x:c>
      <x:c r="M98" s="9" t="str">
        <x:v>Cn1c(SCCCN2CC[C@]3(C[C@@H]3c3ccc(C(F)(F)F)cc3)C2)nnc1C1CCN(C(N)=O)CC1</x:v>
      </x:c>
      <x:c r="N98" s="9" t="str">
        <x:v>null</x:v>
      </x:c>
      <x:c r="O98" s="9" t="str">
        <x:v>null</x:v>
      </x:c>
      <x:c r="P98" s="9" t="str">
        <x:v>CHEMBL3853329</x:v>
      </x:c>
      <x:c r="Q98" s="9" t="str">
        <x:v>J Med Chem</x:v>
      </x:c>
      <x:c r="R98" s="13" t="n">
        <x:v>2016</x:v>
      </x:c>
      <x:c r="S98" s="9" t="str">
        <x:v>{"bei":"11.48","le":"0.23","lle":"1.55","sei":"7.47"}</x:v>
      </x:c>
      <x:c r="T98" s="9" t="str">
        <x:v>null</x:v>
      </x:c>
      <x:c r="U98" s="9" t="str">
        <x:v>CHEMBL3963243</x:v>
      </x:c>
      <x:c r="V98" s="9" t="str">
        <x:v>null</x:v>
      </x:c>
      <x:c r="W98" s="9" t="str">
        <x:v>CHEMBL3963243</x:v>
      </x:c>
      <x:c r="X98" s="11" t="n">
        <x:v>6</x:v>
      </x:c>
      <x:c r="Y98" s="13" t="n">
        <x:v>0</x:v>
      </x:c>
      <x:c r="Z98" s="9" t="str">
        <x:v>http://www.openphacts.org/units/Nanomolar</x:v>
      </x:c>
      <x:c r="AA98" s="9" t="str">
        <x:v>2796875</x:v>
      </x:c>
      <x:c r="AB98" s="9" t="str">
        <x:v>=</x:v>
      </x:c>
      <x:c r="AC98" s="9" t="str">
        <x:v>1</x:v>
      </x:c>
      <x:c r="AD98" s="13" t="n">
        <x:v>1</x:v>
      </x:c>
      <x:c r="AE98" s="9" t="str">
        <x:v>=</x:v>
      </x:c>
      <x:c r="AF98" s="9" t="str">
        <x:v>null</x:v>
      </x:c>
      <x:c r="AG98" s="9" t="str">
        <x:v>Ki</x:v>
      </x:c>
      <x:c r="AH98" s="9" t="str">
        <x:v>nM</x:v>
      </x:c>
      <x:c r="AI98" s="9" t="str">
        <x:v>null</x:v>
      </x:c>
      <x:c r="AJ98" s="11" t="n">
        <x:v>1000</x:v>
      </x:c>
      <x:c r="AK98" s="9" t="str">
        <x:v>CHEMBL217</x:v>
      </x:c>
      <x:c r="AL98" s="9" t="str">
        <x:v>Homo sapiens</x:v>
      </x:c>
      <x:c r="AM98" s="9" t="str">
        <x:v>D(2) dopamine receptor</x:v>
      </x:c>
      <x:c r="AN98" s="9" t="str">
        <x:v>9606</x:v>
      </x:c>
      <x:c r="AO98" s="9" t="str">
        <x:v>null</x:v>
      </x:c>
      <x:c r="AP98" s="9" t="str">
        <x:v>null</x:v>
      </x:c>
      <x:c r="AQ98" s="9" t="str">
        <x:v>pKi</x:v>
      </x:c>
      <x:c r="AR98" s="9" t="str">
        <x:v>null</x:v>
      </x:c>
      <x:c r="AS98" s="9" t="str">
        <x:v>UO_0000065</x:v>
      </x:c>
      <x:c r="AT98" s="9" t="str">
        <x:v>null</x:v>
      </x:c>
      <x:c r="AU98" s="9" t="str">
        <x:v>6.0</x:v>
      </x:c>
    </x:row>
    <x:row r="99" ht="51" customHeight="1">
      <x:c r="A99" s="14" t="str">
        <x:v>null</x:v>
      </x:c>
      <x:c r="B99" s="14" t="str">
        <x:v>null</x:v>
      </x:c>
      <x:c r="C99" s="14" t="str">
        <x:v>16670461</x:v>
      </x:c>
      <x:c r="D99" s="14" t="str">
        <x:v>[]</x:v>
      </x:c>
      <x:c r="E99" s="14" t="str">
        <x:v>CHEMBL3855278</x:v>
      </x:c>
      <x:c r="F99" s="14" t="str">
        <x:v>Displacement of [3H]-spiperone from human dopamine D2 receptor expressed in CHO-K1 cell membranes coexpressing Galpha16 after 120 mins by liquid scintillation counting</x:v>
      </x:c>
      <x:c r="G99" s="14" t="str">
        <x:v>B</x:v>
      </x:c>
      <x:c r="H99" s="14" t="str">
        <x:v>null</x:v>
      </x:c>
      <x:c r="I99" s="14" t="str">
        <x:v>null</x:v>
      </x:c>
      <x:c r="J99" s="14" t="str">
        <x:v>BAO_0000192</x:v>
      </x:c>
      <x:c r="K99" s="14" t="str">
        <x:v>BAO_0000219</x:v>
      </x:c>
      <x:c r="L99" s="14" t="str">
        <x:v>cell-based format</x:v>
      </x:c>
      <x:c r="M99" s="14" t="str">
        <x:v>Cn1c(SCCCN2CC[C@]3(C[C@@H]3c3ccc(C(F)(F)F)cc3)C2)nnc1C1CCOCC1</x:v>
      </x:c>
      <x:c r="N99" s="14" t="str">
        <x:v>null</x:v>
      </x:c>
      <x:c r="O99" s="14" t="str">
        <x:v>null</x:v>
      </x:c>
      <x:c r="P99" s="14" t="str">
        <x:v>CHEMBL3853329</x:v>
      </x:c>
      <x:c r="Q99" s="14" t="str">
        <x:v>J Med Chem</x:v>
      </x:c>
      <x:c r="R99" s="17" t="n">
        <x:v>2016</x:v>
      </x:c>
      <x:c r="S99" s="14" t="str">
        <x:v>{"bei":"12.67","le":"0.25","lle":"1.00","sei":"14.10"}</x:v>
      </x:c>
      <x:c r="T99" s="14" t="str">
        <x:v>null</x:v>
      </x:c>
      <x:c r="U99" s="14" t="str">
        <x:v>CHEMBL3948167</x:v>
      </x:c>
      <x:c r="V99" s="14" t="str">
        <x:v>null</x:v>
      </x:c>
      <x:c r="W99" s="14" t="str">
        <x:v>CHEMBL3948167</x:v>
      </x:c>
      <x:c r="X99" s="15" t="n">
        <x:v>6.09</x:v>
      </x:c>
      <x:c r="Y99" s="17" t="n">
        <x:v>0</x:v>
      </x:c>
      <x:c r="Z99" s="14" t="str">
        <x:v>http://www.openphacts.org/units/Nanomolar</x:v>
      </x:c>
      <x:c r="AA99" s="14" t="str">
        <x:v>2796877</x:v>
      </x:c>
      <x:c r="AB99" s="14" t="str">
        <x:v>=</x:v>
      </x:c>
      <x:c r="AC99" s="14" t="str">
        <x:v>1</x:v>
      </x:c>
      <x:c r="AD99" s="17" t="n">
        <x:v>1</x:v>
      </x:c>
      <x:c r="AE99" s="14" t="str">
        <x:v>=</x:v>
      </x:c>
      <x:c r="AF99" s="14" t="str">
        <x:v>null</x:v>
      </x:c>
      <x:c r="AG99" s="14" t="str">
        <x:v>Ki</x:v>
      </x:c>
      <x:c r="AH99" s="14" t="str">
        <x:v>nM</x:v>
      </x:c>
      <x:c r="AI99" s="14" t="str">
        <x:v>null</x:v>
      </x:c>
      <x:c r="AJ99" s="15" t="n">
        <x:v>812.83</x:v>
      </x:c>
      <x:c r="AK99" s="14" t="str">
        <x:v>CHEMBL217</x:v>
      </x:c>
      <x:c r="AL99" s="14" t="str">
        <x:v>Homo sapiens</x:v>
      </x:c>
      <x:c r="AM99" s="14" t="str">
        <x:v>D(2) dopamine receptor</x:v>
      </x:c>
      <x:c r="AN99" s="14" t="str">
        <x:v>9606</x:v>
      </x:c>
      <x:c r="AO99" s="14" t="str">
        <x:v>null</x:v>
      </x:c>
      <x:c r="AP99" s="14" t="str">
        <x:v>null</x:v>
      </x:c>
      <x:c r="AQ99" s="14" t="str">
        <x:v>pKi</x:v>
      </x:c>
      <x:c r="AR99" s="14" t="str">
        <x:v>null</x:v>
      </x:c>
      <x:c r="AS99" s="14" t="str">
        <x:v>UO_0000065</x:v>
      </x:c>
      <x:c r="AT99" s="14" t="str">
        <x:v>null</x:v>
      </x:c>
      <x:c r="AU99" s="14" t="str">
        <x:v>6.09</x:v>
      </x:c>
    </x:row>
    <x:row r="100" ht="51" customHeight="1">
      <x:c r="A100" s="9" t="str">
        <x:v>null</x:v>
      </x:c>
      <x:c r="B100" s="9" t="str">
        <x:v>null</x:v>
      </x:c>
      <x:c r="C100" s="9" t="str">
        <x:v>16670462</x:v>
      </x:c>
      <x:c r="D100" s="9" t="str">
        <x:v>[]</x:v>
      </x:c>
      <x:c r="E100" s="9" t="str">
        <x:v>CHEMBL3855278</x:v>
      </x:c>
      <x:c r="F100" s="9" t="str">
        <x:v>Displacement of [3H]-spiperone from human dopamine D2 receptor expressed in CHO-K1 cell membranes coexpressing Galpha16 after 120 mins by liquid scintillation counting</x:v>
      </x:c>
      <x:c r="G100" s="9" t="str">
        <x:v>B</x:v>
      </x:c>
      <x:c r="H100" s="9" t="str">
        <x:v>null</x:v>
      </x:c>
      <x:c r="I100" s="9" t="str">
        <x:v>null</x:v>
      </x:c>
      <x:c r="J100" s="9" t="str">
        <x:v>BAO_0000192</x:v>
      </x:c>
      <x:c r="K100" s="9" t="str">
        <x:v>BAO_0000219</x:v>
      </x:c>
      <x:c r="L100" s="9" t="str">
        <x:v>cell-based format</x:v>
      </x:c>
      <x:c r="M100" s="9" t="str">
        <x:v>Cn1c(SCCCN2CC[C@]3(C[C@@H]3c3ccc(C(F)(F)F)cc3)C2)nnc1C1CC2CCC(C1)O2</x:v>
      </x:c>
      <x:c r="N100" s="9" t="str">
        <x:v>null</x:v>
      </x:c>
      <x:c r="O100" s="9" t="str">
        <x:v>null</x:v>
      </x:c>
      <x:c r="P100" s="9" t="str">
        <x:v>CHEMBL3853329</x:v>
      </x:c>
      <x:c r="Q100" s="9" t="str">
        <x:v>J Med Chem</x:v>
      </x:c>
      <x:c r="R100" s="13" t="n">
        <x:v>2016</x:v>
      </x:c>
      <x:c r="S100" s="9" t="str">
        <x:v>{"bei":"12.10","le":"0.24","lle":"0.51","sei":"14.20"}</x:v>
      </x:c>
      <x:c r="T100" s="9" t="str">
        <x:v>null</x:v>
      </x:c>
      <x:c r="U100" s="9" t="str">
        <x:v>CHEMBL3903779</x:v>
      </x:c>
      <x:c r="V100" s="9" t="str">
        <x:v>null</x:v>
      </x:c>
      <x:c r="W100" s="9" t="str">
        <x:v>CHEMBL3903779</x:v>
      </x:c>
      <x:c r="X100" s="11" t="n">
        <x:v>6.13</x:v>
      </x:c>
      <x:c r="Y100" s="13" t="n">
        <x:v>0</x:v>
      </x:c>
      <x:c r="Z100" s="9" t="str">
        <x:v>http://www.openphacts.org/units/Nanomolar</x:v>
      </x:c>
      <x:c r="AA100" s="9" t="str">
        <x:v>2796878</x:v>
      </x:c>
      <x:c r="AB100" s="9" t="str">
        <x:v>=</x:v>
      </x:c>
      <x:c r="AC100" s="9" t="str">
        <x:v>1</x:v>
      </x:c>
      <x:c r="AD100" s="13" t="n">
        <x:v>1</x:v>
      </x:c>
      <x:c r="AE100" s="9" t="str">
        <x:v>=</x:v>
      </x:c>
      <x:c r="AF100" s="9" t="str">
        <x:v>null</x:v>
      </x:c>
      <x:c r="AG100" s="9" t="str">
        <x:v>Ki</x:v>
      </x:c>
      <x:c r="AH100" s="9" t="str">
        <x:v>nM</x:v>
      </x:c>
      <x:c r="AI100" s="9" t="str">
        <x:v>null</x:v>
      </x:c>
      <x:c r="AJ100" s="11" t="n">
        <x:v>741.31</x:v>
      </x:c>
      <x:c r="AK100" s="9" t="str">
        <x:v>CHEMBL217</x:v>
      </x:c>
      <x:c r="AL100" s="9" t="str">
        <x:v>Homo sapiens</x:v>
      </x:c>
      <x:c r="AM100" s="9" t="str">
        <x:v>D(2) dopamine receptor</x:v>
      </x:c>
      <x:c r="AN100" s="9" t="str">
        <x:v>9606</x:v>
      </x:c>
      <x:c r="AO100" s="9" t="str">
        <x:v>null</x:v>
      </x:c>
      <x:c r="AP100" s="9" t="str">
        <x:v>null</x:v>
      </x:c>
      <x:c r="AQ100" s="9" t="str">
        <x:v>pKi</x:v>
      </x:c>
      <x:c r="AR100" s="9" t="str">
        <x:v>null</x:v>
      </x:c>
      <x:c r="AS100" s="9" t="str">
        <x:v>UO_0000065</x:v>
      </x:c>
      <x:c r="AT100" s="9" t="str">
        <x:v>null</x:v>
      </x:c>
      <x:c r="AU100" s="9" t="str">
        <x:v>6.13</x:v>
      </x:c>
    </x:row>
    <x:row r="101" ht="51" customHeight="1">
      <x:c r="A101" s="14" t="str">
        <x:v>null</x:v>
      </x:c>
      <x:c r="B101" s="14" t="str">
        <x:v>null</x:v>
      </x:c>
      <x:c r="C101" s="14" t="str">
        <x:v>16670463</x:v>
      </x:c>
      <x:c r="D101" s="14" t="str">
        <x:v>[]</x:v>
      </x:c>
      <x:c r="E101" s="14" t="str">
        <x:v>CHEMBL3855278</x:v>
      </x:c>
      <x:c r="F101" s="14" t="str">
        <x:v>Displacement of [3H]-spiperone from human dopamine D2 receptor expressed in CHO-K1 cell membranes coexpressing Galpha16 after 120 mins by liquid scintillation counting</x:v>
      </x:c>
      <x:c r="G101" s="14" t="str">
        <x:v>B</x:v>
      </x:c>
      <x:c r="H101" s="14" t="str">
        <x:v>null</x:v>
      </x:c>
      <x:c r="I101" s="14" t="str">
        <x:v>null</x:v>
      </x:c>
      <x:c r="J101" s="14" t="str">
        <x:v>BAO_0000192</x:v>
      </x:c>
      <x:c r="K101" s="14" t="str">
        <x:v>BAO_0000219</x:v>
      </x:c>
      <x:c r="L101" s="14" t="str">
        <x:v>cell-based format</x:v>
      </x:c>
      <x:c r="M101" s="14" t="str">
        <x:v>Cn1c(SCCCN2CC[C@]3(C[C@@H]3c3ccc(C(F)(F)F)cc3)C2)nnc1C1CCCCC1</x:v>
      </x:c>
      <x:c r="N101" s="14" t="str">
        <x:v>null</x:v>
      </x:c>
      <x:c r="O101" s="14" t="str">
        <x:v>null</x:v>
      </x:c>
      <x:c r="P101" s="14" t="str">
        <x:v>CHEMBL3853329</x:v>
      </x:c>
      <x:c r="Q101" s="14" t="str">
        <x:v>J Med Chem</x:v>
      </x:c>
      <x:c r="R101" s="17" t="n">
        <x:v>2016</x:v>
      </x:c>
      <x:c r="S101" s="14" t="str">
        <x:v>{"bei":"13.02","le":"0.26","lle":"-0.01","sei":"18.35"}</x:v>
      </x:c>
      <x:c r="T101" s="14" t="str">
        <x:v>null</x:v>
      </x:c>
      <x:c r="U101" s="14" t="str">
        <x:v>CHEMBL3958201</x:v>
      </x:c>
      <x:c r="V101" s="14" t="str">
        <x:v>null</x:v>
      </x:c>
      <x:c r="W101" s="14" t="str">
        <x:v>CHEMBL3958201</x:v>
      </x:c>
      <x:c r="X101" s="15" t="n">
        <x:v>6.23</x:v>
      </x:c>
      <x:c r="Y101" s="17" t="n">
        <x:v>0</x:v>
      </x:c>
      <x:c r="Z101" s="14" t="str">
        <x:v>http://www.openphacts.org/units/Nanomolar</x:v>
      </x:c>
      <x:c r="AA101" s="14" t="str">
        <x:v>2796879</x:v>
      </x:c>
      <x:c r="AB101" s="14" t="str">
        <x:v>=</x:v>
      </x:c>
      <x:c r="AC101" s="14" t="str">
        <x:v>1</x:v>
      </x:c>
      <x:c r="AD101" s="17" t="n">
        <x:v>1</x:v>
      </x:c>
      <x:c r="AE101" s="14" t="str">
        <x:v>=</x:v>
      </x:c>
      <x:c r="AF101" s="14" t="str">
        <x:v>null</x:v>
      </x:c>
      <x:c r="AG101" s="14" t="str">
        <x:v>Ki</x:v>
      </x:c>
      <x:c r="AH101" s="14" t="str">
        <x:v>nM</x:v>
      </x:c>
      <x:c r="AI101" s="14" t="str">
        <x:v>null</x:v>
      </x:c>
      <x:c r="AJ101" s="15" t="n">
        <x:v>588.84</x:v>
      </x:c>
      <x:c r="AK101" s="14" t="str">
        <x:v>CHEMBL217</x:v>
      </x:c>
      <x:c r="AL101" s="14" t="str">
        <x:v>Homo sapiens</x:v>
      </x:c>
      <x:c r="AM101" s="14" t="str">
        <x:v>D(2) dopamine receptor</x:v>
      </x:c>
      <x:c r="AN101" s="14" t="str">
        <x:v>9606</x:v>
      </x:c>
      <x:c r="AO101" s="14" t="str">
        <x:v>null</x:v>
      </x:c>
      <x:c r="AP101" s="14" t="str">
        <x:v>null</x:v>
      </x:c>
      <x:c r="AQ101" s="14" t="str">
        <x:v>pKi</x:v>
      </x:c>
      <x:c r="AR101" s="14" t="str">
        <x:v>null</x:v>
      </x:c>
      <x:c r="AS101" s="14" t="str">
        <x:v>UO_0000065</x:v>
      </x:c>
      <x:c r="AT101" s="14" t="str">
        <x:v>null</x:v>
      </x:c>
      <x:c r="AU101" s="14" t="str">
        <x:v>6.23</x:v>
      </x:c>
    </x:row>
    <x:row r="102" ht="51" customHeight="1">
      <x:c r="A102" s="9" t="str">
        <x:v>null</x:v>
      </x:c>
      <x:c r="B102" s="9" t="str">
        <x:v>null</x:v>
      </x:c>
      <x:c r="C102" s="9" t="str">
        <x:v>16670718</x:v>
      </x:c>
      <x:c r="D102" s="9" t="str">
        <x:v>[]</x:v>
      </x:c>
      <x:c r="E102" s="9" t="str">
        <x:v>CHEMBL3855278</x:v>
      </x:c>
      <x:c r="F102" s="9" t="str">
        <x:v>Displacement of [3H]-spiperone from human dopamine D2 receptor expressed in CHO-K1 cell membranes coexpressing Galpha16 after 120 mins by liquid scintillation counting</x:v>
      </x:c>
      <x:c r="G102" s="9" t="str">
        <x:v>B</x:v>
      </x:c>
      <x:c r="H102" s="9" t="str">
        <x:v>null</x:v>
      </x:c>
      <x:c r="I102" s="9" t="str">
        <x:v>null</x:v>
      </x:c>
      <x:c r="J102" s="9" t="str">
        <x:v>BAO_0000192</x:v>
      </x:c>
      <x:c r="K102" s="9" t="str">
        <x:v>BAO_0000219</x:v>
      </x:c>
      <x:c r="L102" s="9" t="str">
        <x:v>cell-based format</x:v>
      </x:c>
      <x:c r="M102" s="9" t="str">
        <x:v>Cn1c(SCCCN2CC[C@]3(C[C@@H]3c3ccc(C(F)(F)F)cc3)C2)nnc1C1=CCC(=O)N=C1</x:v>
      </x:c>
      <x:c r="N102" s="9" t="str">
        <x:v>null</x:v>
      </x:c>
      <x:c r="O102" s="9" t="str">
        <x:v>null</x:v>
      </x:c>
      <x:c r="P102" s="9" t="str">
        <x:v>CHEMBL3853329</x:v>
      </x:c>
      <x:c r="Q102" s="9" t="str">
        <x:v>J Med Chem</x:v>
      </x:c>
      <x:c r="R102" s="13" t="n">
        <x:v>2016</x:v>
      </x:c>
      <x:c r="S102" s="9" t="str">
        <x:v>{"bei":"13.22","le":"0.26","lle":"1.89","sei":"10.21"}</x:v>
      </x:c>
      <x:c r="T102" s="9" t="str">
        <x:v>null</x:v>
      </x:c>
      <x:c r="U102" s="9" t="str">
        <x:v>CHEMBL3964512</x:v>
      </x:c>
      <x:c r="V102" s="9" t="str">
        <x:v>null</x:v>
      </x:c>
      <x:c r="W102" s="9" t="str">
        <x:v>CHEMBL3964512</x:v>
      </x:c>
      <x:c r="X102" s="11" t="n">
        <x:v>6.47</x:v>
      </x:c>
      <x:c r="Y102" s="13" t="n">
        <x:v>0</x:v>
      </x:c>
      <x:c r="Z102" s="9" t="str">
        <x:v>http://www.openphacts.org/units/Nanomolar</x:v>
      </x:c>
      <x:c r="AA102" s="9" t="str">
        <x:v>2796869</x:v>
      </x:c>
      <x:c r="AB102" s="9" t="str">
        <x:v>=</x:v>
      </x:c>
      <x:c r="AC102" s="9" t="str">
        <x:v>1</x:v>
      </x:c>
      <x:c r="AD102" s="13" t="n">
        <x:v>1</x:v>
      </x:c>
      <x:c r="AE102" s="9" t="str">
        <x:v>=</x:v>
      </x:c>
      <x:c r="AF102" s="9" t="str">
        <x:v>null</x:v>
      </x:c>
      <x:c r="AG102" s="9" t="str">
        <x:v>Ki</x:v>
      </x:c>
      <x:c r="AH102" s="9" t="str">
        <x:v>nM</x:v>
      </x:c>
      <x:c r="AI102" s="9" t="str">
        <x:v>null</x:v>
      </x:c>
      <x:c r="AJ102" s="11" t="n">
        <x:v>338.84</x:v>
      </x:c>
      <x:c r="AK102" s="9" t="str">
        <x:v>CHEMBL217</x:v>
      </x:c>
      <x:c r="AL102" s="9" t="str">
        <x:v>Homo sapiens</x:v>
      </x:c>
      <x:c r="AM102" s="9" t="str">
        <x:v>D(2) dopamine receptor</x:v>
      </x:c>
      <x:c r="AN102" s="9" t="str">
        <x:v>9606</x:v>
      </x:c>
      <x:c r="AO102" s="9" t="str">
        <x:v>null</x:v>
      </x:c>
      <x:c r="AP102" s="9" t="str">
        <x:v>null</x:v>
      </x:c>
      <x:c r="AQ102" s="9" t="str">
        <x:v>pKi</x:v>
      </x:c>
      <x:c r="AR102" s="9" t="str">
        <x:v>null</x:v>
      </x:c>
      <x:c r="AS102" s="9" t="str">
        <x:v>UO_0000065</x:v>
      </x:c>
      <x:c r="AT102" s="9" t="str">
        <x:v>null</x:v>
      </x:c>
      <x:c r="AU102" s="9" t="str">
        <x:v>6.47</x:v>
      </x:c>
    </x:row>
    <x:row r="103" ht="51" customHeight="1">
      <x:c r="A103" s="14" t="str">
        <x:v>null</x:v>
      </x:c>
      <x:c r="B103" s="14" t="str">
        <x:v>null</x:v>
      </x:c>
      <x:c r="C103" s="14" t="str">
        <x:v>16670719</x:v>
      </x:c>
      <x:c r="D103" s="14" t="str">
        <x:v>[]</x:v>
      </x:c>
      <x:c r="E103" s="14" t="str">
        <x:v>CHEMBL3855278</x:v>
      </x:c>
      <x:c r="F103" s="14" t="str">
        <x:v>Displacement of [3H]-spiperone from human dopamine D2 receptor expressed in CHO-K1 cell membranes coexpressing Galpha16 after 120 mins by liquid scintillation counting</x:v>
      </x:c>
      <x:c r="G103" s="14" t="str">
        <x:v>B</x:v>
      </x:c>
      <x:c r="H103" s="14" t="str">
        <x:v>null</x:v>
      </x:c>
      <x:c r="I103" s="14" t="str">
        <x:v>null</x:v>
      </x:c>
      <x:c r="J103" s="14" t="str">
        <x:v>BAO_0000192</x:v>
      </x:c>
      <x:c r="K103" s="14" t="str">
        <x:v>BAO_0000219</x:v>
      </x:c>
      <x:c r="L103" s="14" t="str">
        <x:v>cell-based format</x:v>
      </x:c>
      <x:c r="M103" s="14" t="str">
        <x:v>Cn1c(SCCCN2CC[C@]3(C[C@@H]3c3ccc(C(F)(F)F)cc3)C2)nnc1C1=CC=NC(=O)C1</x:v>
      </x:c>
      <x:c r="N103" s="14" t="str">
        <x:v>null</x:v>
      </x:c>
      <x:c r="O103" s="14" t="str">
        <x:v>null</x:v>
      </x:c>
      <x:c r="P103" s="14" t="str">
        <x:v>CHEMBL3853329</x:v>
      </x:c>
      <x:c r="Q103" s="14" t="str">
        <x:v>J Med Chem</x:v>
      </x:c>
      <x:c r="R103" s="17" t="n">
        <x:v>2016</x:v>
      </x:c>
      <x:c r="S103" s="14" t="str">
        <x:v>{"bei":"11.93","le":"0.23","lle":"1.26","sei":"9.21"}</x:v>
      </x:c>
      <x:c r="T103" s="14" t="str">
        <x:v>null</x:v>
      </x:c>
      <x:c r="U103" s="14" t="str">
        <x:v>CHEMBL3897772</x:v>
      </x:c>
      <x:c r="V103" s="14" t="str">
        <x:v>null</x:v>
      </x:c>
      <x:c r="W103" s="14" t="str">
        <x:v>CHEMBL3897772</x:v>
      </x:c>
      <x:c r="X103" s="15" t="n">
        <x:v>5.84</x:v>
      </x:c>
      <x:c r="Y103" s="17" t="n">
        <x:v>0</x:v>
      </x:c>
      <x:c r="Z103" s="14" t="str">
        <x:v>http://www.openphacts.org/units/Nanomolar</x:v>
      </x:c>
      <x:c r="AA103" s="14" t="str">
        <x:v>2796870</x:v>
      </x:c>
      <x:c r="AB103" s="14" t="str">
        <x:v>=</x:v>
      </x:c>
      <x:c r="AC103" s="14" t="str">
        <x:v>1</x:v>
      </x:c>
      <x:c r="AD103" s="17" t="n">
        <x:v>1</x:v>
      </x:c>
      <x:c r="AE103" s="14" t="str">
        <x:v>=</x:v>
      </x:c>
      <x:c r="AF103" s="14" t="str">
        <x:v>null</x:v>
      </x:c>
      <x:c r="AG103" s="14" t="str">
        <x:v>Ki</x:v>
      </x:c>
      <x:c r="AH103" s="14" t="str">
        <x:v>nM</x:v>
      </x:c>
      <x:c r="AI103" s="14" t="str">
        <x:v>null</x:v>
      </x:c>
      <x:c r="AJ103" s="15" t="n">
        <x:v>1445.44</x:v>
      </x:c>
      <x:c r="AK103" s="14" t="str">
        <x:v>CHEMBL217</x:v>
      </x:c>
      <x:c r="AL103" s="14" t="str">
        <x:v>Homo sapiens</x:v>
      </x:c>
      <x:c r="AM103" s="14" t="str">
        <x:v>D(2) dopamine receptor</x:v>
      </x:c>
      <x:c r="AN103" s="14" t="str">
        <x:v>9606</x:v>
      </x:c>
      <x:c r="AO103" s="14" t="str">
        <x:v>null</x:v>
      </x:c>
      <x:c r="AP103" s="14" t="str">
        <x:v>null</x:v>
      </x:c>
      <x:c r="AQ103" s="14" t="str">
        <x:v>pKi</x:v>
      </x:c>
      <x:c r="AR103" s="14" t="str">
        <x:v>null</x:v>
      </x:c>
      <x:c r="AS103" s="14" t="str">
        <x:v>UO_0000065</x:v>
      </x:c>
      <x:c r="AT103" s="14" t="str">
        <x:v>null</x:v>
      </x:c>
      <x:c r="AU103" s="14" t="str">
        <x:v>5.84</x:v>
      </x:c>
    </x:row>
    <x:row r="104" ht="51" customHeight="1">
      <x:c r="A104" s="9" t="str">
        <x:v>null</x:v>
      </x:c>
      <x:c r="B104" s="9" t="str">
        <x:v>null</x:v>
      </x:c>
      <x:c r="C104" s="9" t="str">
        <x:v>16670720</x:v>
      </x:c>
      <x:c r="D104" s="9" t="str">
        <x:v>[]</x:v>
      </x:c>
      <x:c r="E104" s="9" t="str">
        <x:v>CHEMBL3855278</x:v>
      </x:c>
      <x:c r="F104" s="9" t="str">
        <x:v>Displacement of [3H]-spiperone from human dopamine D2 receptor expressed in CHO-K1 cell membranes coexpressing Galpha16 after 120 mins by liquid scintillation counting</x:v>
      </x:c>
      <x:c r="G104" s="9" t="str">
        <x:v>B</x:v>
      </x:c>
      <x:c r="H104" s="9" t="str">
        <x:v>null</x:v>
      </x:c>
      <x:c r="I104" s="9" t="str">
        <x:v>null</x:v>
      </x:c>
      <x:c r="J104" s="9" t="str">
        <x:v>BAO_0000192</x:v>
      </x:c>
      <x:c r="K104" s="9" t="str">
        <x:v>BAO_0000219</x:v>
      </x:c>
      <x:c r="L104" s="9" t="str">
        <x:v>cell-based format</x:v>
      </x:c>
      <x:c r="M104" s="9" t="str">
        <x:v>CC(=O)NC1CCC(c2nnc(SCCCN3CC[C@]4(C[C@@H]4c4ccc(C(F)(F)F)cc4)C3)n2C)CC1</x:v>
      </x:c>
      <x:c r="N104" s="9" t="str">
        <x:v>null</x:v>
      </x:c>
      <x:c r="O104" s="9" t="str">
        <x:v>null</x:v>
      </x:c>
      <x:c r="P104" s="9" t="str">
        <x:v>CHEMBL3853329</x:v>
      </x:c>
      <x:c r="Q104" s="9" t="str">
        <x:v>J Med Chem</x:v>
      </x:c>
      <x:c r="R104" s="13" t="n">
        <x:v>2016</x:v>
      </x:c>
      <x:c r="S104" s="9" t="str">
        <x:v>{"bei":"11.84","le":"0.23","lle":"0.98","sei":"10.06"}</x:v>
      </x:c>
      <x:c r="T104" s="9" t="str">
        <x:v>null</x:v>
      </x:c>
      <x:c r="U104" s="9" t="str">
        <x:v>CHEMBL3912801</x:v>
      </x:c>
      <x:c r="V104" s="9" t="str">
        <x:v>null</x:v>
      </x:c>
      <x:c r="W104" s="9" t="str">
        <x:v>CHEMBL3912801</x:v>
      </x:c>
      <x:c r="X104" s="11" t="n">
        <x:v>6.34</x:v>
      </x:c>
      <x:c r="Y104" s="13" t="n">
        <x:v>0</x:v>
      </x:c>
      <x:c r="Z104" s="9" t="str">
        <x:v>http://www.openphacts.org/units/Nanomolar</x:v>
      </x:c>
      <x:c r="AA104" s="9" t="str">
        <x:v>2796876</x:v>
      </x:c>
      <x:c r="AB104" s="9" t="str">
        <x:v>=</x:v>
      </x:c>
      <x:c r="AC104" s="9" t="str">
        <x:v>1</x:v>
      </x:c>
      <x:c r="AD104" s="13" t="n">
        <x:v>1</x:v>
      </x:c>
      <x:c r="AE104" s="9" t="str">
        <x:v>=</x:v>
      </x:c>
      <x:c r="AF104" s="9" t="str">
        <x:v>null</x:v>
      </x:c>
      <x:c r="AG104" s="9" t="str">
        <x:v>Ki</x:v>
      </x:c>
      <x:c r="AH104" s="9" t="str">
        <x:v>nM</x:v>
      </x:c>
      <x:c r="AI104" s="9" t="str">
        <x:v>null</x:v>
      </x:c>
      <x:c r="AJ104" s="11" t="n">
        <x:v>457.09</x:v>
      </x:c>
      <x:c r="AK104" s="9" t="str">
        <x:v>CHEMBL217</x:v>
      </x:c>
      <x:c r="AL104" s="9" t="str">
        <x:v>Homo sapiens</x:v>
      </x:c>
      <x:c r="AM104" s="9" t="str">
        <x:v>D(2) dopamine receptor</x:v>
      </x:c>
      <x:c r="AN104" s="9" t="str">
        <x:v>9606</x:v>
      </x:c>
      <x:c r="AO104" s="9" t="str">
        <x:v>null</x:v>
      </x:c>
      <x:c r="AP104" s="9" t="str">
        <x:v>null</x:v>
      </x:c>
      <x:c r="AQ104" s="9" t="str">
        <x:v>pKi</x:v>
      </x:c>
      <x:c r="AR104" s="9" t="str">
        <x:v>null</x:v>
      </x:c>
      <x:c r="AS104" s="9" t="str">
        <x:v>UO_0000065</x:v>
      </x:c>
      <x:c r="AT104" s="9" t="str">
        <x:v>null</x:v>
      </x:c>
      <x:c r="AU104" s="9" t="str">
        <x:v>6.34</x:v>
      </x:c>
    </x:row>
    <x:row r="105" ht="51" customHeight="1">
      <x:c r="A105" s="14" t="str">
        <x:v>null</x:v>
      </x:c>
      <x:c r="B105" s="14" t="str">
        <x:v>null</x:v>
      </x:c>
      <x:c r="C105" s="14" t="str">
        <x:v>16670811</x:v>
      </x:c>
      <x:c r="D105" s="14" t="str">
        <x:v>[]</x:v>
      </x:c>
      <x:c r="E105" s="14" t="str">
        <x:v>CHEMBL3855278</x:v>
      </x:c>
      <x:c r="F105" s="14" t="str">
        <x:v>Displacement of [3H]-spiperone from human dopamine D2 receptor expressed in CHO-K1 cell membranes coexpressing Galpha16 after 120 mins by liquid scintillation counting</x:v>
      </x:c>
      <x:c r="G105" s="14" t="str">
        <x:v>B</x:v>
      </x:c>
      <x:c r="H105" s="14" t="str">
        <x:v>null</x:v>
      </x:c>
      <x:c r="I105" s="14" t="str">
        <x:v>null</x:v>
      </x:c>
      <x:c r="J105" s="14" t="str">
        <x:v>BAO_0000192</x:v>
      </x:c>
      <x:c r="K105" s="14" t="str">
        <x:v>BAO_0000219</x:v>
      </x:c>
      <x:c r="L105" s="14" t="str">
        <x:v>cell-based format</x:v>
      </x:c>
      <x:c r="M105" s="14" t="str">
        <x:v>Cn1c(SCCCN2CC[C@]3(C[C@@H]3c3ccc(C(F)(F)F)cc3)C2)nnc1C1=CCC(=O)N=C1</x:v>
      </x:c>
      <x:c r="N105" s="14" t="str">
        <x:v>null</x:v>
      </x:c>
      <x:c r="O105" s="14" t="str">
        <x:v>null</x:v>
      </x:c>
      <x:c r="P105" s="14" t="str">
        <x:v>CHEMBL3853329</x:v>
      </x:c>
      <x:c r="Q105" s="14" t="str">
        <x:v>J Med Chem</x:v>
      </x:c>
      <x:c r="R105" s="17" t="n">
        <x:v>2016</x:v>
      </x:c>
      <x:c r="S105" s="14" t="str">
        <x:v>{"bei":"12.50","le":"0.25","lle":"1.54","sei":"9.66"}</x:v>
      </x:c>
      <x:c r="T105" s="14" t="str">
        <x:v>null</x:v>
      </x:c>
      <x:c r="U105" s="14" t="str">
        <x:v>CHEMBL3964512</x:v>
      </x:c>
      <x:c r="V105" s="14" t="str">
        <x:v>null</x:v>
      </x:c>
      <x:c r="W105" s="14" t="str">
        <x:v>CHEMBL3964512</x:v>
      </x:c>
      <x:c r="X105" s="15" t="n">
        <x:v>6.12</x:v>
      </x:c>
      <x:c r="Y105" s="17" t="n">
        <x:v>0</x:v>
      </x:c>
      <x:c r="Z105" s="14" t="str">
        <x:v>http://www.openphacts.org/units/Nanomolar</x:v>
      </x:c>
      <x:c r="AA105" s="14" t="str">
        <x:v>2796868</x:v>
      </x:c>
      <x:c r="AB105" s="14" t="str">
        <x:v>=</x:v>
      </x:c>
      <x:c r="AC105" s="14" t="str">
        <x:v>1</x:v>
      </x:c>
      <x:c r="AD105" s="17" t="n">
        <x:v>1</x:v>
      </x:c>
      <x:c r="AE105" s="14" t="str">
        <x:v>=</x:v>
      </x:c>
      <x:c r="AF105" s="14" t="str">
        <x:v>null</x:v>
      </x:c>
      <x:c r="AG105" s="14" t="str">
        <x:v>Ki</x:v>
      </x:c>
      <x:c r="AH105" s="14" t="str">
        <x:v>nM</x:v>
      </x:c>
      <x:c r="AI105" s="14" t="str">
        <x:v>null</x:v>
      </x:c>
      <x:c r="AJ105" s="15" t="n">
        <x:v>758.58</x:v>
      </x:c>
      <x:c r="AK105" s="14" t="str">
        <x:v>CHEMBL217</x:v>
      </x:c>
      <x:c r="AL105" s="14" t="str">
        <x:v>Homo sapiens</x:v>
      </x:c>
      <x:c r="AM105" s="14" t="str">
        <x:v>D(2) dopamine receptor</x:v>
      </x:c>
      <x:c r="AN105" s="14" t="str">
        <x:v>9606</x:v>
      </x:c>
      <x:c r="AO105" s="14" t="str">
        <x:v>null</x:v>
      </x:c>
      <x:c r="AP105" s="14" t="str">
        <x:v>null</x:v>
      </x:c>
      <x:c r="AQ105" s="14" t="str">
        <x:v>pKi</x:v>
      </x:c>
      <x:c r="AR105" s="14" t="str">
        <x:v>null</x:v>
      </x:c>
      <x:c r="AS105" s="14" t="str">
        <x:v>UO_0000065</x:v>
      </x:c>
      <x:c r="AT105" s="14" t="str">
        <x:v>null</x:v>
      </x:c>
      <x:c r="AU105" s="14" t="str">
        <x:v>6.12</x:v>
      </x:c>
    </x:row>
    <x:row r="106" ht="51" customHeight="1">
      <x:c r="A106" s="9" t="str">
        <x:v>null</x:v>
      </x:c>
      <x:c r="B106" s="9" t="str">
        <x:v>null</x:v>
      </x:c>
      <x:c r="C106" s="9" t="str">
        <x:v>16670825</x:v>
      </x:c>
      <x:c r="D106" s="9" t="str">
        <x:v>[]</x:v>
      </x:c>
      <x:c r="E106" s="9" t="str">
        <x:v>CHEMBL3855278</x:v>
      </x:c>
      <x:c r="F106" s="9" t="str">
        <x:v>Displacement of [3H]-spiperone from human dopamine D2 receptor expressed in CHO-K1 cell membranes coexpressing Galpha16 after 120 mins by liquid scintillation counting</x:v>
      </x:c>
      <x:c r="G106" s="9" t="str">
        <x:v>B</x:v>
      </x:c>
      <x:c r="H106" s="9" t="str">
        <x:v>null</x:v>
      </x:c>
      <x:c r="I106" s="9" t="str">
        <x:v>null</x:v>
      </x:c>
      <x:c r="J106" s="9" t="str">
        <x:v>BAO_0000192</x:v>
      </x:c>
      <x:c r="K106" s="9" t="str">
        <x:v>BAO_0000219</x:v>
      </x:c>
      <x:c r="L106" s="9" t="str">
        <x:v>cell-based format</x:v>
      </x:c>
      <x:c r="M106" s="9" t="str">
        <x:v>Cn1c(SCCCN2CC[C@]3(C[C@@H]3c3ccc(C(F)(F)F)cc3)C2)nnc1-c1ccc(=O)n(C)c1</x:v>
      </x:c>
      <x:c r="N106" s="9" t="str">
        <x:v>null</x:v>
      </x:c>
      <x:c r="O106" s="9" t="str">
        <x:v>null</x:v>
      </x:c>
      <x:c r="P106" s="9" t="str">
        <x:v>CHEMBL3853329</x:v>
      </x:c>
      <x:c r="Q106" s="9" t="str">
        <x:v>J Med Chem</x:v>
      </x:c>
      <x:c r="R106" s="13" t="n">
        <x:v>2016</x:v>
      </x:c>
      <x:c r="S106" s="9" t="str">
        <x:v>{"bei":"12.03","le":"0.24","lle":"1.50","sei":"10.83"}</x:v>
      </x:c>
      <x:c r="T106" s="9" t="str">
        <x:v>null</x:v>
      </x:c>
      <x:c r="U106" s="9" t="str">
        <x:v>CHEMBL3922838</x:v>
      </x:c>
      <x:c r="V106" s="9" t="str">
        <x:v>null</x:v>
      </x:c>
      <x:c r="W106" s="9" t="str">
        <x:v>CHEMBL3922838</x:v>
      </x:c>
      <x:c r="X106" s="11" t="n">
        <x:v>6.06</x:v>
      </x:c>
      <x:c r="Y106" s="13" t="n">
        <x:v>0</x:v>
      </x:c>
      <x:c r="Z106" s="9" t="str">
        <x:v>http://www.openphacts.org/units/Nanomolar</x:v>
      </x:c>
      <x:c r="AA106" s="9" t="str">
        <x:v>2796871</x:v>
      </x:c>
      <x:c r="AB106" s="9" t="str">
        <x:v>=</x:v>
      </x:c>
      <x:c r="AC106" s="9" t="str">
        <x:v>1</x:v>
      </x:c>
      <x:c r="AD106" s="13" t="n">
        <x:v>1</x:v>
      </x:c>
      <x:c r="AE106" s="9" t="str">
        <x:v>=</x:v>
      </x:c>
      <x:c r="AF106" s="9" t="str">
        <x:v>null</x:v>
      </x:c>
      <x:c r="AG106" s="9" t="str">
        <x:v>Ki</x:v>
      </x:c>
      <x:c r="AH106" s="9" t="str">
        <x:v>nM</x:v>
      </x:c>
      <x:c r="AI106" s="9" t="str">
        <x:v>null</x:v>
      </x:c>
      <x:c r="AJ106" s="11" t="n">
        <x:v>870.96</x:v>
      </x:c>
      <x:c r="AK106" s="9" t="str">
        <x:v>CHEMBL217</x:v>
      </x:c>
      <x:c r="AL106" s="9" t="str">
        <x:v>Homo sapiens</x:v>
      </x:c>
      <x:c r="AM106" s="9" t="str">
        <x:v>D(2) dopamine receptor</x:v>
      </x:c>
      <x:c r="AN106" s="9" t="str">
        <x:v>9606</x:v>
      </x:c>
      <x:c r="AO106" s="9" t="str">
        <x:v>null</x:v>
      </x:c>
      <x:c r="AP106" s="9" t="str">
        <x:v>null</x:v>
      </x:c>
      <x:c r="AQ106" s="9" t="str">
        <x:v>pKi</x:v>
      </x:c>
      <x:c r="AR106" s="9" t="str">
        <x:v>null</x:v>
      </x:c>
      <x:c r="AS106" s="9" t="str">
        <x:v>UO_0000065</x:v>
      </x:c>
      <x:c r="AT106" s="9" t="str">
        <x:v>null</x:v>
      </x:c>
      <x:c r="AU106" s="9" t="str">
        <x:v>6.06</x:v>
      </x:c>
    </x:row>
    <x:row r="107" ht="51" customHeight="1">
      <x:c r="A107" s="14" t="str">
        <x:v>null</x:v>
      </x:c>
      <x:c r="B107" s="14" t="str">
        <x:v>null</x:v>
      </x:c>
      <x:c r="C107" s="14" t="str">
        <x:v>16670842</x:v>
      </x:c>
      <x:c r="D107" s="14" t="str">
        <x:v>[]</x:v>
      </x:c>
      <x:c r="E107" s="14" t="str">
        <x:v>CHEMBL3855278</x:v>
      </x:c>
      <x:c r="F107" s="14" t="str">
        <x:v>Displacement of [3H]-spiperone from human dopamine D2 receptor expressed in CHO-K1 cell membranes coexpressing Galpha16 after 120 mins by liquid scintillation counting</x:v>
      </x:c>
      <x:c r="G107" s="14" t="str">
        <x:v>B</x:v>
      </x:c>
      <x:c r="H107" s="14" t="str">
        <x:v>null</x:v>
      </x:c>
      <x:c r="I107" s="14" t="str">
        <x:v>null</x:v>
      </x:c>
      <x:c r="J107" s="14" t="str">
        <x:v>BAO_0000192</x:v>
      </x:c>
      <x:c r="K107" s="14" t="str">
        <x:v>BAO_0000219</x:v>
      </x:c>
      <x:c r="L107" s="14" t="str">
        <x:v>cell-based format</x:v>
      </x:c>
      <x:c r="M107" s="14" t="str">
        <x:v>Cn1c(SCCCN2CC[C@]3(C[C@@H]3c3ccc(C(F)(F)F)cc3)C2)nnc1C1CCNC(=O)C1</x:v>
      </x:c>
      <x:c r="N107" s="14" t="str">
        <x:v>null</x:v>
      </x:c>
      <x:c r="O107" s="14" t="str">
        <x:v>null</x:v>
      </x:c>
      <x:c r="P107" s="14" t="str">
        <x:v>CHEMBL3853329</x:v>
      </x:c>
      <x:c r="Q107" s="14" t="str">
        <x:v>J Med Chem</x:v>
      </x:c>
      <x:c r="R107" s="17" t="n">
        <x:v>2016</x:v>
      </x:c>
      <x:c r="S107" s="14" t="str">
        <x:v>{"bei":"11.89","le":"0.24","lle":"1.68","sei":"9.31"}</x:v>
      </x:c>
      <x:c r="T107" s="14" t="str">
        <x:v>null</x:v>
      </x:c>
      <x:c r="U107" s="14" t="str">
        <x:v>CHEMBL3913849</x:v>
      </x:c>
      <x:c r="V107" s="14" t="str">
        <x:v>null</x:v>
      </x:c>
      <x:c r="W107" s="14" t="str">
        <x:v>CHEMBL3913849</x:v>
      </x:c>
      <x:c r="X107" s="15" t="n">
        <x:v>5.87</x:v>
      </x:c>
      <x:c r="Y107" s="17" t="n">
        <x:v>0</x:v>
      </x:c>
      <x:c r="Z107" s="14" t="str">
        <x:v>http://www.openphacts.org/units/Nanomolar</x:v>
      </x:c>
      <x:c r="AA107" s="14" t="str">
        <x:v>2796873</x:v>
      </x:c>
      <x:c r="AB107" s="14" t="str">
        <x:v>=</x:v>
      </x:c>
      <x:c r="AC107" s="14" t="str">
        <x:v>1</x:v>
      </x:c>
      <x:c r="AD107" s="17" t="n">
        <x:v>1</x:v>
      </x:c>
      <x:c r="AE107" s="14" t="str">
        <x:v>=</x:v>
      </x:c>
      <x:c r="AF107" s="14" t="str">
        <x:v>null</x:v>
      </x:c>
      <x:c r="AG107" s="14" t="str">
        <x:v>Ki</x:v>
      </x:c>
      <x:c r="AH107" s="14" t="str">
        <x:v>nM</x:v>
      </x:c>
      <x:c r="AI107" s="14" t="str">
        <x:v>null</x:v>
      </x:c>
      <x:c r="AJ107" s="15" t="n">
        <x:v>1348.96</x:v>
      </x:c>
      <x:c r="AK107" s="14" t="str">
        <x:v>CHEMBL217</x:v>
      </x:c>
      <x:c r="AL107" s="14" t="str">
        <x:v>Homo sapiens</x:v>
      </x:c>
      <x:c r="AM107" s="14" t="str">
        <x:v>D(2) dopamine receptor</x:v>
      </x:c>
      <x:c r="AN107" s="14" t="str">
        <x:v>9606</x:v>
      </x:c>
      <x:c r="AO107" s="14" t="str">
        <x:v>null</x:v>
      </x:c>
      <x:c r="AP107" s="14" t="str">
        <x:v>null</x:v>
      </x:c>
      <x:c r="AQ107" s="14" t="str">
        <x:v>pKi</x:v>
      </x:c>
      <x:c r="AR107" s="14" t="str">
        <x:v>null</x:v>
      </x:c>
      <x:c r="AS107" s="14" t="str">
        <x:v>UO_0000065</x:v>
      </x:c>
      <x:c r="AT107" s="14" t="str">
        <x:v>null</x:v>
      </x:c>
      <x:c r="AU107" s="14" t="str">
        <x:v>5.87</x:v>
      </x:c>
    </x:row>
    <x:row r="108" ht="51" customHeight="1">
      <x:c r="A108" s="9" t="str">
        <x:v>null</x:v>
      </x:c>
      <x:c r="B108" s="9" t="str">
        <x:v>null</x:v>
      </x:c>
      <x:c r="C108" s="9" t="str">
        <x:v>16670852</x:v>
      </x:c>
      <x:c r="D108" s="9" t="str">
        <x:v>[]</x:v>
      </x:c>
      <x:c r="E108" s="9" t="str">
        <x:v>CHEMBL3855278</x:v>
      </x:c>
      <x:c r="F108" s="9" t="str">
        <x:v>Displacement of [3H]-spiperone from human dopamine D2 receptor expressed in CHO-K1 cell membranes coexpressing Galpha16 after 120 mins by liquid scintillation counting</x:v>
      </x:c>
      <x:c r="G108" s="9" t="str">
        <x:v>B</x:v>
      </x:c>
      <x:c r="H108" s="9" t="str">
        <x:v>null</x:v>
      </x:c>
      <x:c r="I108" s="9" t="str">
        <x:v>null</x:v>
      </x:c>
      <x:c r="J108" s="9" t="str">
        <x:v>BAO_0000192</x:v>
      </x:c>
      <x:c r="K108" s="9" t="str">
        <x:v>BAO_0000219</x:v>
      </x:c>
      <x:c r="L108" s="9" t="str">
        <x:v>cell-based format</x:v>
      </x:c>
      <x:c r="M108" s="9" t="str">
        <x:v>CN1CCC(c2nnc(SCCCN3CC[C@]4(C[C@@H]4c4ccc(C(F)(F)F)cc4)C3)n2C)CC1=O</x:v>
      </x:c>
      <x:c r="N108" s="9" t="str">
        <x:v>null</x:v>
      </x:c>
      <x:c r="O108" s="9" t="str">
        <x:v>null</x:v>
      </x:c>
      <x:c r="P108" s="9" t="str">
        <x:v>CHEMBL3853329</x:v>
      </x:c>
      <x:c r="Q108" s="9" t="str">
        <x:v>J Med Chem</x:v>
      </x:c>
      <x:c r="R108" s="13" t="n">
        <x:v>2016</x:v>
      </x:c>
      <x:c r="S108" s="9" t="str">
        <x:v>{"bei":"11.37","le":"0.23","lle":"1.24","sei":"10.63"}</x:v>
      </x:c>
      <x:c r="T108" s="9" t="str">
        <x:v>null</x:v>
      </x:c>
      <x:c r="U108" s="9" t="str">
        <x:v>CHEMBL3983684</x:v>
      </x:c>
      <x:c r="V108" s="9" t="str">
        <x:v>null</x:v>
      </x:c>
      <x:c r="W108" s="9" t="str">
        <x:v>CHEMBL3983684</x:v>
      </x:c>
      <x:c r="X108" s="11" t="n">
        <x:v>5.77</x:v>
      </x:c>
      <x:c r="Y108" s="13" t="n">
        <x:v>0</x:v>
      </x:c>
      <x:c r="Z108" s="9" t="str">
        <x:v>http://www.openphacts.org/units/Nanomolar</x:v>
      </x:c>
      <x:c r="AA108" s="9" t="str">
        <x:v>2796874</x:v>
      </x:c>
      <x:c r="AB108" s="9" t="str">
        <x:v>=</x:v>
      </x:c>
      <x:c r="AC108" s="9" t="str">
        <x:v>1</x:v>
      </x:c>
      <x:c r="AD108" s="13" t="n">
        <x:v>1</x:v>
      </x:c>
      <x:c r="AE108" s="9" t="str">
        <x:v>=</x:v>
      </x:c>
      <x:c r="AF108" s="9" t="str">
        <x:v>null</x:v>
      </x:c>
      <x:c r="AG108" s="9" t="str">
        <x:v>Ki</x:v>
      </x:c>
      <x:c r="AH108" s="9" t="str">
        <x:v>nM</x:v>
      </x:c>
      <x:c r="AI108" s="9" t="str">
        <x:v>null</x:v>
      </x:c>
      <x:c r="AJ108" s="11" t="n">
        <x:v>1698.24</x:v>
      </x:c>
      <x:c r="AK108" s="9" t="str">
        <x:v>CHEMBL217</x:v>
      </x:c>
      <x:c r="AL108" s="9" t="str">
        <x:v>Homo sapiens</x:v>
      </x:c>
      <x:c r="AM108" s="9" t="str">
        <x:v>D(2) dopamine receptor</x:v>
      </x:c>
      <x:c r="AN108" s="9" t="str">
        <x:v>9606</x:v>
      </x:c>
      <x:c r="AO108" s="9" t="str">
        <x:v>null</x:v>
      </x:c>
      <x:c r="AP108" s="9" t="str">
        <x:v>null</x:v>
      </x:c>
      <x:c r="AQ108" s="9" t="str">
        <x:v>pKi</x:v>
      </x:c>
      <x:c r="AR108" s="9" t="str">
        <x:v>null</x:v>
      </x:c>
      <x:c r="AS108" s="9" t="str">
        <x:v>UO_0000065</x:v>
      </x:c>
      <x:c r="AT108" s="9" t="str">
        <x:v>null</x:v>
      </x:c>
      <x:c r="AU108" s="9" t="str">
        <x:v>5.77</x:v>
      </x:c>
    </x:row>
  </x:sheetData>
  <x:pageMargins left="0.7" right="0.7" top="0.75" bottom="0.75" header="0.3" footer="0.3"/>
  <x:tableParts count="1">
    <x:tablePart xmlns:r="http://schemas.openxmlformats.org/officeDocument/2006/relationships" r:id="R46805cf414a24495"/>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8" hidden="0" customWidth="1"/>
    <x:col min="3" max="3" width="17" hidden="0" customWidth="1"/>
    <x:col min="4" max="4" width="21" hidden="0" customWidth="1"/>
    <x:col min="5" max="5" width="17" hidden="0" customWidth="1"/>
    <x:col min="6" max="6" width="66" hidden="0" customWidth="1"/>
    <x:col min="7" max="7" width="17" hidden="0" customWidth="1"/>
    <x:col min="8" max="8" width="25" hidden="0" customWidth="1"/>
    <x:col min="9" max="9" width="24" hidden="0" customWidth="1"/>
    <x:col min="10" max="10" width="17" hidden="0" customWidth="1"/>
    <x:col min="11" max="11" width="17" hidden="0" customWidth="1"/>
    <x:col min="12" max="12" width="19" hidden="0" customWidth="1"/>
    <x:col min="13" max="13" width="66" hidden="0" customWidth="1"/>
    <x:col min="14" max="14" width="23" hidden="0" customWidth="1"/>
    <x:col min="15" max="15" width="27" hidden="0" customWidth="1"/>
    <x:col min="16" max="16" width="20" hidden="0" customWidth="1"/>
    <x:col min="17" max="17" width="18" hidden="0" customWidth="1"/>
    <x:col min="18" max="18" width="20" hidden="0" customWidth="1"/>
    <x:col min="19" max="19" width="56" hidden="0" customWidth="1"/>
    <x:col min="20" max="20" width="17" hidden="0" customWidth="1"/>
    <x:col min="21" max="21" width="20" hidden="0" customWidth="1"/>
    <x:col min="22" max="22" width="20" hidden="0" customWidth="1"/>
    <x:col min="23" max="23" width="27" hidden="0" customWidth="1"/>
    <x:col min="24" max="24" width="20" hidden="0" customWidth="1"/>
    <x:col min="25" max="25" width="21" hidden="0" customWidth="1"/>
    <x:col min="26" max="26" width="43" hidden="0" customWidth="1"/>
    <x:col min="27" max="27" width="17" hidden="0" customWidth="1"/>
    <x:col min="28" max="28" width="17" hidden="0" customWidth="1"/>
    <x:col min="29" max="29" width="17" hidden="0" customWidth="1"/>
    <x:col min="30" max="30" width="20" hidden="0" customWidth="1"/>
    <x:col min="31" max="31" width="19" hidden="0" customWidth="1"/>
    <x:col min="32" max="32" width="21" hidden="0" customWidth="1"/>
    <x:col min="33" max="33" width="17" hidden="0" customWidth="1"/>
    <x:col min="34" max="34" width="17" hidden="0" customWidth="1"/>
    <x:col min="35" max="35" width="22" hidden="0" customWidth="1"/>
    <x:col min="36" max="36" width="20" hidden="0" customWidth="1"/>
    <x:col min="37" max="37" width="18" hidden="0" customWidth="1"/>
    <x:col min="38" max="38" width="17" hidden="0" customWidth="1"/>
    <x:col min="39" max="39" width="24"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31" hidden="0" customWidth="1"/>
    <x:col min="49" max="49" width="17" hidden="0" customWidth="1"/>
    <x:col min="50" max="50" width="66" hidden="0" customWidth="1"/>
    <x:col min="51" max="51" width="36" hidden="0" customWidth="1"/>
    <x:col min="52" max="52" width="21" hidden="0" customWidth="1"/>
    <x:col min="53" max="53" width="20" hidden="0" customWidth="1"/>
    <x:col min="54" max="54" width="66" hidden="0" customWidth="1"/>
    <x:col min="55" max="55" width="29" hidden="0" customWidth="1"/>
    <x:col min="56" max="56" width="66" hidden="0" customWidth="1"/>
    <x:col min="57" max="57" width="61" hidden="0" customWidth="1"/>
    <x:col min="58" max="58" width="66" hidden="0" customWidth="1"/>
    <x:col min="59" max="59" width="34" hidden="0" customWidth="1"/>
    <x:col min="60" max="60" width="21" hidden="0" customWidth="1"/>
    <x:col min="61" max="61" width="53" hidden="0" customWidth="1"/>
    <x:col min="62" max="62" width="36" hidden="0" customWidth="1"/>
    <x:col min="63" max="63" width="22" hidden="0" customWidth="1"/>
    <x:col min="64" max="64" width="36" hidden="0" customWidth="1"/>
    <x:col min="65" max="65" width="36" hidden="0" customWidth="1"/>
  </x:cols>
  <x:sheetData>
    <x:row r="1" ht="48" customHeight="1">
      <x:c r="A1" s="6" t="str">
        <x:v>action_type</x:v>
      </x:c>
      <x:c r="B1" s="6" t="str">
        <x:v>activity_comment</x:v>
      </x:c>
      <x:c r="C1" s="6" t="str">
        <x:v>activity_id</x:v>
      </x:c>
      <x:c r="D1" s="6" t="str">
        <x:v>activity_properties</x:v>
      </x:c>
      <x:c r="E1" s="6" t="str">
        <x:v>assay_chembl_id</x:v>
      </x:c>
      <x:c r="F1" s="6" t="str">
        <x:v>assay_description</x:v>
      </x:c>
      <x:c r="G1" s="6" t="str">
        <x:v>assay_type</x:v>
      </x:c>
      <x:c r="H1" s="6" t="str">
        <x:v>assay_variant_accession</x:v>
      </x:c>
      <x:c r="I1" s="6" t="str">
        <x:v>assay_variant_mutation</x:v>
      </x:c>
      <x:c r="J1" s="6" t="str">
        <x:v>bao_endpoint</x:v>
      </x:c>
      <x:c r="K1" s="6" t="str">
        <x:v>bao_format</x:v>
      </x:c>
      <x:c r="L1" s="6" t="str">
        <x:v>bao_label</x:v>
      </x:c>
      <x:c r="M1" s="6" t="str">
        <x:v>canonical_smiles</x:v>
      </x:c>
      <x:c r="N1" s="6" t="str">
        <x:v>data_validity_comment</x:v>
      </x:c>
      <x:c r="O1" s="6" t="str">
        <x:v>data_validity_description</x:v>
      </x:c>
      <x:c r="P1" s="6" t="str">
        <x:v>document_chembl_id</x:v>
      </x:c>
      <x:c r="Q1" s="6" t="str">
        <x:v>document_journal</x:v>
      </x:c>
      <x:c r="R1" s="6" t="str">
        <x:v>document_year</x:v>
      </x:c>
      <x:c r="S1" s="6" t="str">
        <x:v>ligand_efficiency</x:v>
      </x:c>
      <x:c r="T1" s="6" t="str">
        <x:v>modality</x:v>
      </x:c>
      <x:c r="U1" s="6" t="str">
        <x:v>molecule_chembl_id</x:v>
      </x:c>
      <x:c r="V1" s="6" t="str">
        <x:v>molecule_pref_name</x:v>
      </x:c>
      <x:c r="W1" s="6" t="str">
        <x:v>parent_molecule_chembl_id</x:v>
      </x:c>
      <x:c r="X1" s="6" t="str">
        <x:v>pchembl_value</x:v>
      </x:c>
      <x:c r="Y1" s="6" t="str">
        <x:v>potential_duplicate</x:v>
      </x:c>
      <x:c r="Z1" s="6" t="str">
        <x:v>qudt_units</x:v>
      </x:c>
      <x:c r="AA1" s="6" t="str">
        <x:v>record_id</x:v>
      </x:c>
      <x:c r="AB1" s="6" t="str">
        <x:v>relation</x:v>
      </x:c>
      <x:c r="AC1" s="6" t="str">
        <x:v>src_id</x:v>
      </x:c>
      <x:c r="AD1" s="6" t="str">
        <x:v>standard_flag</x:v>
      </x:c>
      <x:c r="AE1" s="6" t="str">
        <x:v>standard_relation</x:v>
      </x:c>
      <x:c r="AF1" s="6" t="str">
        <x:v>standard_text_value</x:v>
      </x:c>
      <x:c r="AG1" s="6" t="str">
        <x:v>standard_type</x:v>
      </x:c>
      <x:c r="AH1" s="6" t="str">
        <x:v>standard_units</x:v>
      </x:c>
      <x:c r="AI1" s="6" t="str">
        <x:v>standard_upper_value</x:v>
      </x:c>
      <x:c r="AJ1" s="6" t="str">
        <x:v>standard_value</x:v>
      </x:c>
      <x:c r="AK1" s="6" t="str">
        <x:v>target_chembl_id</x:v>
      </x:c>
      <x:c r="AL1" s="6" t="str">
        <x:v>target_organism</x:v>
      </x:c>
      <x:c r="AM1" s="6" t="str">
        <x:v>target_pref_name</x:v>
      </x:c>
      <x:c r="AN1" s="6" t="str">
        <x:v>target_tax_id</x:v>
      </x:c>
      <x:c r="AO1" s="6" t="str">
        <x:v>text_value</x:v>
      </x:c>
      <x:c r="AP1" s="6" t="str">
        <x:v>toid</x:v>
      </x:c>
      <x:c r="AQ1" s="6" t="str">
        <x:v>type</x:v>
      </x:c>
      <x:c r="AR1" s="6" t="str">
        <x:v>units</x:v>
      </x:c>
      <x:c r="AS1" s="6" t="str">
        <x:v>uo_units</x:v>
      </x:c>
      <x:c r="AT1" s="6" t="str">
        <x:v>upper_value</x:v>
      </x:c>
      <x:c r="AU1" s="6" t="str">
        <x:v>value</x:v>
      </x:c>
      <x:c r="AV1" s="6" t="str">
        <x:v>audit_conversion_tolerance_nM</x:v>
      </x:c>
      <x:c r="AW1" s="6" t="str">
        <x:v>audit_decision</x:v>
      </x:c>
      <x:c r="AX1" s="6" t="str">
        <x:v>audit_exclusion_reasons</x:v>
      </x:c>
      <x:c r="AY1" s="6" t="str">
        <x:v>audit_expected_Ki_nM_from_original</x:v>
      </x:c>
      <x:c r="AZ1" s="6" t="str">
        <x:v>audit_label_origin</x:v>
      </x:c>
      <x:c r="BA1" s="6" t="str">
        <x:v>audit_pKi</x:v>
      </x:c>
      <x:c r="BB1" s="6" t="str">
        <x:v>audit_parent_connectivity_key</x:v>
      </x:c>
      <x:c r="BC1" s="6" t="str">
        <x:v>audit_parent_inchikey</x:v>
      </x:c>
      <x:c r="BD1" s="6" t="str">
        <x:v>audit_parent_isomeric_smiles</x:v>
      </x:c>
      <x:c r="BE1" s="6" t="str">
        <x:v>audit_parent_nonisomeric_smiles</x:v>
      </x:c>
      <x:c r="BF1" s="6" t="str">
        <x:v>audit_parent_smiles</x:v>
      </x:c>
      <x:c r="BG1" s="6" t="str">
        <x:v>audit_roundtrip_minus_source_pKi</x:v>
      </x:c>
      <x:c r="BH1" s="6" t="str">
        <x:v>audit_roundtrip_pKi</x:v>
      </x:c>
      <x:c r="BI1" s="6" t="str">
        <x:v>audit_scaffold_smiles</x:v>
      </x:c>
      <x:c r="BJ1" s="6" t="str">
        <x:v>audit_source_records_for_full_identity</x:v>
      </x:c>
      <x:c r="BK1" s="6" t="str">
        <x:v>audit_standard_Ki_nM</x:v>
      </x:c>
      <x:c r="BL1" s="6" t="str">
        <x:v>audit_standard_Ki_nM_minus_original_conversion</x:v>
      </x:c>
      <x:c r="BM1" s="6" t="str">
        <x:v>audit_structure_changed_from_source</x:v>
      </x:c>
    </x:row>
    <x:row r="2" ht="51" customHeight="1">
      <x:c r="A2" s="9" t="str">
        <x:v>null</x:v>
      </x:c>
      <x:c r="B2" s="9" t="str">
        <x:v>null</x:v>
      </x:c>
      <x:c r="C2" s="9" t="str">
        <x:v>16670134</x:v>
      </x:c>
      <x:c r="D2" s="9" t="str">
        <x:v>[]</x:v>
      </x:c>
      <x:c r="E2" s="9" t="str">
        <x:v>CHEMBL3855278</x:v>
      </x:c>
      <x:c r="F2" s="9" t="str">
        <x:v>Displacement of [3H]-spiperone from human dopamine D2 receptor expressed in CHO-K1 cell membranes coexpressing Galpha16 after 120 mins by liquid scintillation counting</x:v>
      </x:c>
      <x:c r="G2" s="9" t="str">
        <x:v>B</x:v>
      </x:c>
      <x:c r="H2" s="9" t="str">
        <x:v>null</x:v>
      </x:c>
      <x:c r="I2" s="9" t="str">
        <x:v>null</x:v>
      </x:c>
      <x:c r="J2" s="9" t="str">
        <x:v>BAO_0000192</x:v>
      </x:c>
      <x:c r="K2" s="9" t="str">
        <x:v>BAO_0000219</x:v>
      </x:c>
      <x:c r="L2" s="9" t="str">
        <x:v>cell-based format</x:v>
      </x:c>
      <x:c r="M2" s="9" t="str">
        <x:v>Cc1ncoc1-c1nnc(SCCCN2CC[C@]3(C[C@H]3c3ccccc3)C2)n1C</x:v>
      </x:c>
      <x:c r="N2" s="9" t="str">
        <x:v>null</x:v>
      </x:c>
      <x:c r="O2" s="9" t="str">
        <x:v>null</x:v>
      </x:c>
      <x:c r="P2" s="9" t="str">
        <x:v>CHEMBL3853329</x:v>
      </x:c>
      <x:c r="Q2" s="9" t="str">
        <x:v>J Med Chem</x:v>
      </x:c>
      <x:c r="R2" s="13" t="n">
        <x:v>2016</x:v>
      </x:c>
      <x:c r="S2" s="9" t="str">
        <x:v>{"bei":"14.65","le":"0.28","lle":"1.86","sei":"10.00"}</x:v>
      </x:c>
      <x:c r="T2" s="9" t="str">
        <x:v>null</x:v>
      </x:c>
      <x:c r="U2" s="9" t="str">
        <x:v>CHEMBL3958494</x:v>
      </x:c>
      <x:c r="V2" s="9" t="str">
        <x:v>null</x:v>
      </x:c>
      <x:c r="W2" s="9" t="str">
        <x:v>CHEMBL3958494</x:v>
      </x:c>
      <x:c r="X2" s="11" t="n">
        <x:v>6</x:v>
      </x:c>
      <x:c r="Y2" s="13" t="n">
        <x:v>0</x:v>
      </x:c>
      <x:c r="Z2" s="9" t="str">
        <x:v>http://www.openphacts.org/units/Nanomolar</x:v>
      </x:c>
      <x:c r="AA2" s="9" t="str">
        <x:v>2796774</x:v>
      </x:c>
      <x:c r="AB2" s="9" t="str">
        <x:v>=</x:v>
      </x:c>
      <x:c r="AC2" s="9" t="str">
        <x:v>1</x:v>
      </x:c>
      <x:c r="AD2" s="13" t="n">
        <x:v>1</x:v>
      </x:c>
      <x:c r="AE2" s="9" t="str">
        <x:v>=</x:v>
      </x:c>
      <x:c r="AF2" s="9" t="str">
        <x:v>null</x:v>
      </x:c>
      <x:c r="AG2" s="9" t="str">
        <x:v>Ki</x:v>
      </x:c>
      <x:c r="AH2" s="9" t="str">
        <x:v>nM</x:v>
      </x:c>
      <x:c r="AI2" s="9" t="str">
        <x:v>null</x:v>
      </x:c>
      <x:c r="AJ2" s="11" t="n">
        <x:v>1000</x:v>
      </x:c>
      <x:c r="AK2" s="9" t="str">
        <x:v>CHEMBL217</x:v>
      </x:c>
      <x:c r="AL2" s="9" t="str">
        <x:v>Homo sapiens</x:v>
      </x:c>
      <x:c r="AM2" s="9" t="str">
        <x:v>D(2) dopamine receptor</x:v>
      </x:c>
      <x:c r="AN2" s="9" t="str">
        <x:v>9606</x:v>
      </x:c>
      <x:c r="AO2" s="9" t="str">
        <x:v>null</x:v>
      </x:c>
      <x:c r="AP2" s="9" t="str">
        <x:v>null</x:v>
      </x:c>
      <x:c r="AQ2" s="9" t="str">
        <x:v>pKi</x:v>
      </x:c>
      <x:c r="AR2" s="9" t="str">
        <x:v>null</x:v>
      </x:c>
      <x:c r="AS2" s="9" t="str">
        <x:v>UO_0000065</x:v>
      </x:c>
      <x:c r="AT2" s="9" t="str">
        <x:v>null</x:v>
      </x:c>
      <x:c r="AU2" s="9" t="str">
        <x:v>6.0</x:v>
      </x:c>
      <x:c r="AV2" s="11" t="n">
        <x:v>0.00501</x:v>
      </x:c>
      <x:c r="AW2" s="9" t="str">
        <x:v>exclude</x:v>
      </x:c>
      <x:c r="AX2" s="9" t="str">
        <x:v>multiple_source_records_for_full_parent_identity</x:v>
      </x:c>
      <x:c r="AY2" s="11" t="n">
        <x:v>1000</x:v>
      </x:c>
      <x:c r="AZ2" s="9" t="str">
        <x:v>source_reported_pKi</x:v>
      </x:c>
      <x:c r="BA2" s="11" t="n">
        <x:v>6</x:v>
      </x:c>
      <x:c r="BB2" s="9" t="str">
        <x:v>5f5097a99ca905252039130a837b04ee6e5d355221accf984a4fc65edd2b7538</x:v>
      </x:c>
      <x:c r="BC2" s="9" t="str">
        <x:v>AAPXNHMQKBDDJN-AVRDEDQJSA-N</x:v>
      </x:c>
      <x:c r="BD2" s="9" t="str">
        <x:v>Cc1ncoc1-c1nnc(SCCCN2CC[C@]3(C[C@H]3c3ccccc3)C2)n1C</x:v>
      </x:c>
      <x:c r="BE2" s="9" t="str">
        <x:v>Cc1ncoc1-c1nnc(SCCCN2CCC3(CC3c3ccccc3)C2)n1C</x:v>
      </x:c>
      <x:c r="BF2" s="9" t="str">
        <x:v>Cc1ncoc1-c1nnc(SCCCN2CC[C@]3(C[C@H]3c3ccccc3)C2)n1C</x:v>
      </x:c>
      <x:c r="BG2" s="12" t="n">
        <x:v>0</x:v>
      </x:c>
      <x:c r="BH2" s="11" t="n">
        <x:v>6</x:v>
      </x:c>
      <x:c r="BI2" s="9" t="str">
        <x:v>c1ccc(C2CC23CCN(CCCSc2nnc(-c4cnco4)[nH]2)C3)cc1</x:v>
      </x:c>
      <x:c r="BJ2" s="13" t="n">
        <x:v>2</x:v>
      </x:c>
      <x:c r="BK2" s="11" t="n">
        <x:v>1000</x:v>
      </x:c>
      <x:c r="BL2" s="12" t="n">
        <x:v>0</x:v>
      </x:c>
      <x:c r="BM2" s="9" t="str">
        <x:v>false</x:v>
      </x:c>
    </x:row>
    <x:row r="3" ht="51" customHeight="1">
      <x:c r="A3" s="14" t="str">
        <x:v>null</x:v>
      </x:c>
      <x:c r="B3" s="14" t="str">
        <x:v>null</x:v>
      </x:c>
      <x:c r="C3" s="14" t="str">
        <x:v>16670135</x:v>
      </x:c>
      <x:c r="D3" s="14" t="str">
        <x:v>[]</x:v>
      </x:c>
      <x:c r="E3" s="14" t="str">
        <x:v>CHEMBL3855278</x:v>
      </x:c>
      <x:c r="F3" s="14" t="str">
        <x:v>Displacement of [3H]-spiperone from human dopamine D2 receptor expressed in CHO-K1 cell membranes coexpressing Galpha16 after 120 mins by liquid scintillation counting</x:v>
      </x:c>
      <x:c r="G3" s="14" t="str">
        <x:v>B</x:v>
      </x:c>
      <x:c r="H3" s="14" t="str">
        <x:v>null</x:v>
      </x:c>
      <x:c r="I3" s="14" t="str">
        <x:v>null</x:v>
      </x:c>
      <x:c r="J3" s="14" t="str">
        <x:v>BAO_0000192</x:v>
      </x:c>
      <x:c r="K3" s="14" t="str">
        <x:v>BAO_0000219</x:v>
      </x:c>
      <x:c r="L3" s="14" t="str">
        <x:v>cell-based format</x:v>
      </x:c>
      <x:c r="M3" s="14" t="str">
        <x:v>Cc1ncoc1-c1nnc(SCCCN2CC[C@]3(C[C@H]3c3ccccc3)C2)n1C</x:v>
      </x:c>
      <x:c r="N3" s="14" t="str">
        <x:v>null</x:v>
      </x:c>
      <x:c r="O3" s="14" t="str">
        <x:v>null</x:v>
      </x:c>
      <x:c r="P3" s="14" t="str">
        <x:v>CHEMBL3853329</x:v>
      </x:c>
      <x:c r="Q3" s="14" t="str">
        <x:v>J Med Chem</x:v>
      </x:c>
      <x:c r="R3" s="17" t="n">
        <x:v>2016</x:v>
      </x:c>
      <x:c r="S3" s="14" t="str">
        <x:v>{"bei":"15.36","le":"0.30","lle":"2.15","sei":"10.49"}</x:v>
      </x:c>
      <x:c r="T3" s="14" t="str">
        <x:v>null</x:v>
      </x:c>
      <x:c r="U3" s="14" t="str">
        <x:v>CHEMBL3958494</x:v>
      </x:c>
      <x:c r="V3" s="14" t="str">
        <x:v>null</x:v>
      </x:c>
      <x:c r="W3" s="14" t="str">
        <x:v>CHEMBL3958494</x:v>
      </x:c>
      <x:c r="X3" s="15" t="n">
        <x:v>6.29</x:v>
      </x:c>
      <x:c r="Y3" s="17" t="n">
        <x:v>0</x:v>
      </x:c>
      <x:c r="Z3" s="14" t="str">
        <x:v>http://www.openphacts.org/units/Nanomolar</x:v>
      </x:c>
      <x:c r="AA3" s="14" t="str">
        <x:v>2796775</x:v>
      </x:c>
      <x:c r="AB3" s="14" t="str">
        <x:v>=</x:v>
      </x:c>
      <x:c r="AC3" s="14" t="str">
        <x:v>1</x:v>
      </x:c>
      <x:c r="AD3" s="17" t="n">
        <x:v>1</x:v>
      </x:c>
      <x:c r="AE3" s="14" t="str">
        <x:v>=</x:v>
      </x:c>
      <x:c r="AF3" s="14" t="str">
        <x:v>null</x:v>
      </x:c>
      <x:c r="AG3" s="14" t="str">
        <x:v>Ki</x:v>
      </x:c>
      <x:c r="AH3" s="14" t="str">
        <x:v>nM</x:v>
      </x:c>
      <x:c r="AI3" s="14" t="str">
        <x:v>null</x:v>
      </x:c>
      <x:c r="AJ3" s="15" t="n">
        <x:v>512.86</x:v>
      </x:c>
      <x:c r="AK3" s="14" t="str">
        <x:v>CHEMBL217</x:v>
      </x:c>
      <x:c r="AL3" s="14" t="str">
        <x:v>Homo sapiens</x:v>
      </x:c>
      <x:c r="AM3" s="14" t="str">
        <x:v>D(2) dopamine receptor</x:v>
      </x:c>
      <x:c r="AN3" s="14" t="str">
        <x:v>9606</x:v>
      </x:c>
      <x:c r="AO3" s="14" t="str">
        <x:v>null</x:v>
      </x:c>
      <x:c r="AP3" s="14" t="str">
        <x:v>null</x:v>
      </x:c>
      <x:c r="AQ3" s="14" t="str">
        <x:v>pKi</x:v>
      </x:c>
      <x:c r="AR3" s="14" t="str">
        <x:v>null</x:v>
      </x:c>
      <x:c r="AS3" s="14" t="str">
        <x:v>UO_0000065</x:v>
      </x:c>
      <x:c r="AT3" s="14" t="str">
        <x:v>null</x:v>
      </x:c>
      <x:c r="AU3" s="14" t="str">
        <x:v>6.29</x:v>
      </x:c>
      <x:c r="AV3" s="15" t="n">
        <x:v>0.00501</x:v>
      </x:c>
      <x:c r="AW3" s="14" t="str">
        <x:v>exclude</x:v>
      </x:c>
      <x:c r="AX3" s="14" t="str">
        <x:v>multiple_source_records_for_full_parent_identity</x:v>
      </x:c>
      <x:c r="AY3" s="15" t="n">
        <x:v>512.8613839913648</x:v>
      </x:c>
      <x:c r="AZ3" s="14" t="str">
        <x:v>source_reported_pKi</x:v>
      </x:c>
      <x:c r="BA3" s="15" t="n">
        <x:v>6.29</x:v>
      </x:c>
      <x:c r="BB3" s="14" t="str">
        <x:v>5f5097a99ca905252039130a837b04ee6e5d355221accf984a4fc65edd2b7538</x:v>
      </x:c>
      <x:c r="BC3" s="14" t="str">
        <x:v>AAPXNHMQKBDDJN-AVRDEDQJSA-N</x:v>
      </x:c>
      <x:c r="BD3" s="14" t="str">
        <x:v>Cc1ncoc1-c1nnc(SCCCN2CC[C@]3(C[C@H]3c3ccccc3)C2)n1C</x:v>
      </x:c>
      <x:c r="BE3" s="14" t="str">
        <x:v>Cc1ncoc1-c1nnc(SCCCN2CCC3(CC3c3ccccc3)C2)n1C</x:v>
      </x:c>
      <x:c r="BF3" s="14" t="str">
        <x:v>Cc1ncoc1-c1nnc(SCCCN2CC[C@]3(C[C@H]3c3ccccc3)C2)n1C</x:v>
      </x:c>
      <x:c r="BG3" s="16" t="n">
        <x:v>0.0000011719748114202844</x:v>
      </x:c>
      <x:c r="BH3" s="15" t="n">
        <x:v>6.2900011719748115</x:v>
      </x:c>
      <x:c r="BI3" s="14" t="str">
        <x:v>c1ccc(C2CC23CCN(CCCSc2nnc(-c4cnco4)[nH]2)C3)cc1</x:v>
      </x:c>
      <x:c r="BJ3" s="17" t="n">
        <x:v>2</x:v>
      </x:c>
      <x:c r="BK3" s="15" t="n">
        <x:v>512.86</x:v>
      </x:c>
      <x:c r="BL3" s="16" t="n">
        <x:v>-0.001383991364832582</x:v>
      </x:c>
      <x:c r="BM3" s="14" t="str">
        <x:v>false</x:v>
      </x:c>
    </x:row>
    <x:row r="4" ht="51" customHeight="1">
      <x:c r="A4" s="9" t="str">
        <x:v>null</x:v>
      </x:c>
      <x:c r="B4" s="9" t="str">
        <x:v>null</x:v>
      </x:c>
      <x:c r="C4" s="9" t="str">
        <x:v>16670137</x:v>
      </x:c>
      <x:c r="D4" s="9" t="str">
        <x:v>[]</x:v>
      </x:c>
      <x:c r="E4" s="9" t="str">
        <x:v>CHEMBL3855278</x:v>
      </x:c>
      <x:c r="F4" s="9" t="str">
        <x:v>Displacement of [3H]-spiperone from human dopamine D2 receptor expressed in CHO-K1 cell membranes coexpressing Galpha16 after 120 mins by liquid scintillation counting</x:v>
      </x:c>
      <x:c r="G4" s="9" t="str">
        <x:v>B</x:v>
      </x:c>
      <x:c r="H4" s="9" t="str">
        <x:v>null</x:v>
      </x:c>
      <x:c r="I4" s="9" t="str">
        <x:v>null</x:v>
      </x:c>
      <x:c r="J4" s="9" t="str">
        <x:v>BAO_0000192</x:v>
      </x:c>
      <x:c r="K4" s="9" t="str">
        <x:v>BAO_0000219</x:v>
      </x:c>
      <x:c r="L4" s="9" t="str">
        <x:v>cell-based format</x:v>
      </x:c>
      <x:c r="M4" s="9" t="str">
        <x:v>Cc1ncoc1-c1nnc(SCCCN2CC[C@]3(C[C@@H]3c3ccccc3)C2)n1C</x:v>
      </x:c>
      <x:c r="N4" s="9" t="str">
        <x:v>null</x:v>
      </x:c>
      <x:c r="O4" s="9" t="str">
        <x:v>null</x:v>
      </x:c>
      <x:c r="P4" s="9" t="str">
        <x:v>CHEMBL3853329</x:v>
      </x:c>
      <x:c r="Q4" s="9" t="str">
        <x:v>J Med Chem</x:v>
      </x:c>
      <x:c r="R4" s="13" t="n">
        <x:v>2016</x:v>
      </x:c>
      <x:c r="S4" s="9" t="str">
        <x:v>{"bei":"14.72","le":"0.28","lle":"1.89","sei":"10.05"}</x:v>
      </x:c>
      <x:c r="T4" s="9" t="str">
        <x:v>null</x:v>
      </x:c>
      <x:c r="U4" s="9" t="str">
        <x:v>CHEMBL3913062</x:v>
      </x:c>
      <x:c r="V4" s="9" t="str">
        <x:v>null</x:v>
      </x:c>
      <x:c r="W4" s="9" t="str">
        <x:v>CHEMBL3913062</x:v>
      </x:c>
      <x:c r="X4" s="11" t="n">
        <x:v>6.03</x:v>
      </x:c>
      <x:c r="Y4" s="13" t="n">
        <x:v>0</x:v>
      </x:c>
      <x:c r="Z4" s="9" t="str">
        <x:v>http://www.openphacts.org/units/Nanomolar</x:v>
      </x:c>
      <x:c r="AA4" s="9" t="str">
        <x:v>2796777</x:v>
      </x:c>
      <x:c r="AB4" s="9" t="str">
        <x:v>=</x:v>
      </x:c>
      <x:c r="AC4" s="9" t="str">
        <x:v>1</x:v>
      </x:c>
      <x:c r="AD4" s="13" t="n">
        <x:v>1</x:v>
      </x:c>
      <x:c r="AE4" s="9" t="str">
        <x:v>=</x:v>
      </x:c>
      <x:c r="AF4" s="9" t="str">
        <x:v>null</x:v>
      </x:c>
      <x:c r="AG4" s="9" t="str">
        <x:v>Ki</x:v>
      </x:c>
      <x:c r="AH4" s="9" t="str">
        <x:v>nM</x:v>
      </x:c>
      <x:c r="AI4" s="9" t="str">
        <x:v>null</x:v>
      </x:c>
      <x:c r="AJ4" s="11" t="n">
        <x:v>933.25</x:v>
      </x:c>
      <x:c r="AK4" s="9" t="str">
        <x:v>CHEMBL217</x:v>
      </x:c>
      <x:c r="AL4" s="9" t="str">
        <x:v>Homo sapiens</x:v>
      </x:c>
      <x:c r="AM4" s="9" t="str">
        <x:v>D(2) dopamine receptor</x:v>
      </x:c>
      <x:c r="AN4" s="9" t="str">
        <x:v>9606</x:v>
      </x:c>
      <x:c r="AO4" s="9" t="str">
        <x:v>null</x:v>
      </x:c>
      <x:c r="AP4" s="9" t="str">
        <x:v>null</x:v>
      </x:c>
      <x:c r="AQ4" s="9" t="str">
        <x:v>pKi</x:v>
      </x:c>
      <x:c r="AR4" s="9" t="str">
        <x:v>null</x:v>
      </x:c>
      <x:c r="AS4" s="9" t="str">
        <x:v>UO_0000065</x:v>
      </x:c>
      <x:c r="AT4" s="9" t="str">
        <x:v>null</x:v>
      </x:c>
      <x:c r="AU4" s="9" t="str">
        <x:v>6.03</x:v>
      </x:c>
      <x:c r="AV4" s="11" t="n">
        <x:v>0.00501</x:v>
      </x:c>
      <x:c r="AW4" s="9" t="str">
        <x:v>exclude</x:v>
      </x:c>
      <x:c r="AX4" s="9" t="str">
        <x:v>multiple_source_records_for_full_parent_identity</x:v>
      </x:c>
      <x:c r="AY4" s="11" t="n">
        <x:v>933.2543007969905</x:v>
      </x:c>
      <x:c r="AZ4" s="9" t="str">
        <x:v>source_reported_pKi</x:v>
      </x:c>
      <x:c r="BA4" s="11" t="n">
        <x:v>6.03</x:v>
      </x:c>
      <x:c r="BB4" s="9" t="str">
        <x:v>5f5097a99ca905252039130a837b04ee6e5d355221accf984a4fc65edd2b7538</x:v>
      </x:c>
      <x:c r="BC4" s="9" t="str">
        <x:v>AAPXNHMQKBDDJN-GCJKJVERSA-N</x:v>
      </x:c>
      <x:c r="BD4" s="9" t="str">
        <x:v>Cc1ncoc1-c1nnc(SCCCN2CC[C@]3(C[C@@H]3c3ccccc3)C2)n1C</x:v>
      </x:c>
      <x:c r="BE4" s="9" t="str">
        <x:v>Cc1ncoc1-c1nnc(SCCCN2CCC3(CC3c3ccccc3)C2)n1C</x:v>
      </x:c>
      <x:c r="BF4" s="9" t="str">
        <x:v>Cc1ncoc1-c1nnc(SCCCN2CC[C@]3(C[C@@H]3c3ccccc3)C2)n1C</x:v>
      </x:c>
      <x:c r="BG4" s="12" t="n">
        <x:v>0.0000020014016577363236</x:v>
      </x:c>
      <x:c r="BH4" s="11" t="n">
        <x:v>6.030002001401658</x:v>
      </x:c>
      <x:c r="BI4" s="9" t="str">
        <x:v>c1ccc(C2CC23CCN(CCCSc2nnc(-c4cnco4)[nH]2)C3)cc1</x:v>
      </x:c>
      <x:c r="BJ4" s="13" t="n">
        <x:v>2</x:v>
      </x:c>
      <x:c r="BK4" s="11" t="n">
        <x:v>933.25</x:v>
      </x:c>
      <x:c r="BL4" s="12" t="n">
        <x:v>-0.004300796990492017</x:v>
      </x:c>
      <x:c r="BM4" s="9" t="str">
        <x:v>false</x:v>
      </x:c>
    </x:row>
    <x:row r="5" ht="51" customHeight="1">
      <x:c r="A5" s="14" t="str">
        <x:v>null</x:v>
      </x:c>
      <x:c r="B5" s="14" t="str">
        <x:v>null</x:v>
      </x:c>
      <x:c r="C5" s="14" t="str">
        <x:v>16670138</x:v>
      </x:c>
      <x:c r="D5" s="14" t="str">
        <x:v>[]</x:v>
      </x:c>
      <x:c r="E5" s="14" t="str">
        <x:v>CHEMBL3855278</x:v>
      </x:c>
      <x:c r="F5" s="14" t="str">
        <x:v>Displacement of [3H]-spiperone from human dopamine D2 receptor expressed in CHO-K1 cell membranes coexpressing Galpha16 after 120 mins by liquid scintillation counting</x:v>
      </x:c>
      <x:c r="G5" s="14" t="str">
        <x:v>B</x:v>
      </x:c>
      <x:c r="H5" s="14" t="str">
        <x:v>null</x:v>
      </x:c>
      <x:c r="I5" s="14" t="str">
        <x:v>null</x:v>
      </x:c>
      <x:c r="J5" s="14" t="str">
        <x:v>BAO_0000192</x:v>
      </x:c>
      <x:c r="K5" s="14" t="str">
        <x:v>BAO_0000219</x:v>
      </x:c>
      <x:c r="L5" s="14" t="str">
        <x:v>cell-based format</x:v>
      </x:c>
      <x:c r="M5" s="14" t="str">
        <x:v>Cc1ncoc1-c1nnc(SCCCN2CC[C@]3(C[C@@H]3c3ccccc3)C2)n1C</x:v>
      </x:c>
      <x:c r="N5" s="14" t="str">
        <x:v>null</x:v>
      </x:c>
      <x:c r="O5" s="14" t="str">
        <x:v>null</x:v>
      </x:c>
      <x:c r="P5" s="14" t="str">
        <x:v>CHEMBL3853329</x:v>
      </x:c>
      <x:c r="Q5" s="14" t="str">
        <x:v>J Med Chem</x:v>
      </x:c>
      <x:c r="R5" s="17" t="n">
        <x:v>2016</x:v>
      </x:c>
      <x:c r="S5" s="14" t="str">
        <x:v>{"bei":"11.65","le":"0.22","lle":"0.63","sei":"7.95"}</x:v>
      </x:c>
      <x:c r="T5" s="14" t="str">
        <x:v>null</x:v>
      </x:c>
      <x:c r="U5" s="14" t="str">
        <x:v>CHEMBL3913062</x:v>
      </x:c>
      <x:c r="V5" s="14" t="str">
        <x:v>null</x:v>
      </x:c>
      <x:c r="W5" s="14" t="str">
        <x:v>CHEMBL3913062</x:v>
      </x:c>
      <x:c r="X5" s="15" t="n">
        <x:v>4.77</x:v>
      </x:c>
      <x:c r="Y5" s="17" t="n">
        <x:v>0</x:v>
      </x:c>
      <x:c r="Z5" s="14" t="str">
        <x:v>http://www.openphacts.org/units/Nanomolar</x:v>
      </x:c>
      <x:c r="AA5" s="14" t="str">
        <x:v>2796778</x:v>
      </x:c>
      <x:c r="AB5" s="14" t="str">
        <x:v>=</x:v>
      </x:c>
      <x:c r="AC5" s="14" t="str">
        <x:v>1</x:v>
      </x:c>
      <x:c r="AD5" s="17" t="n">
        <x:v>1</x:v>
      </x:c>
      <x:c r="AE5" s="14" t="str">
        <x:v>=</x:v>
      </x:c>
      <x:c r="AF5" s="14" t="str">
        <x:v>null</x:v>
      </x:c>
      <x:c r="AG5" s="14" t="str">
        <x:v>Ki</x:v>
      </x:c>
      <x:c r="AH5" s="14" t="str">
        <x:v>nM</x:v>
      </x:c>
      <x:c r="AI5" s="14" t="str">
        <x:v>null</x:v>
      </x:c>
      <x:c r="AJ5" s="15" t="n">
        <x:v>16982.44</x:v>
      </x:c>
      <x:c r="AK5" s="14" t="str">
        <x:v>CHEMBL217</x:v>
      </x:c>
      <x:c r="AL5" s="14" t="str">
        <x:v>Homo sapiens</x:v>
      </x:c>
      <x:c r="AM5" s="14" t="str">
        <x:v>D(2) dopamine receptor</x:v>
      </x:c>
      <x:c r="AN5" s="14" t="str">
        <x:v>9606</x:v>
      </x:c>
      <x:c r="AO5" s="14" t="str">
        <x:v>null</x:v>
      </x:c>
      <x:c r="AP5" s="14" t="str">
        <x:v>null</x:v>
      </x:c>
      <x:c r="AQ5" s="14" t="str">
        <x:v>pKi</x:v>
      </x:c>
      <x:c r="AR5" s="14" t="str">
        <x:v>null</x:v>
      </x:c>
      <x:c r="AS5" s="14" t="str">
        <x:v>UO_0000065</x:v>
      </x:c>
      <x:c r="AT5" s="14" t="str">
        <x:v>null</x:v>
      </x:c>
      <x:c r="AU5" s="14" t="str">
        <x:v>4.77</x:v>
      </x:c>
      <x:c r="AV5" s="15" t="n">
        <x:v>0.01698243652461746</x:v>
      </x:c>
      <x:c r="AW5" s="14" t="str">
        <x:v>exclude</x:v>
      </x:c>
      <x:c r="AX5" s="14" t="str">
        <x:v>multiple_source_records_for_full_parent_identity</x:v>
      </x:c>
      <x:c r="AY5" s="15" t="n">
        <x:v>16982.43652461746</x:v>
      </x:c>
      <x:c r="AZ5" s="14" t="str">
        <x:v>source_reported_pKi</x:v>
      </x:c>
      <x:c r="BA5" s="15" t="n">
        <x:v>4.77</x:v>
      </x:c>
      <x:c r="BB5" s="14" t="str">
        <x:v>5f5097a99ca905252039130a837b04ee6e5d355221accf984a4fc65edd2b7538</x:v>
      </x:c>
      <x:c r="BC5" s="14" t="str">
        <x:v>AAPXNHMQKBDDJN-GCJKJVERSA-N</x:v>
      </x:c>
      <x:c r="BD5" s="14" t="str">
        <x:v>Cc1ncoc1-c1nnc(SCCCN2CC[C@]3(C[C@@H]3c3ccccc3)C2)n1C</x:v>
      </x:c>
      <x:c r="BE5" s="14" t="str">
        <x:v>Cc1ncoc1-c1nnc(SCCCN2CCC3(CC3c3ccccc3)C2)n1C</x:v>
      </x:c>
      <x:c r="BF5" s="14" t="str">
        <x:v>Cc1ncoc1-c1nnc(SCCCN2CC[C@]3(C[C@@H]3c3ccccc3)C2)n1C</x:v>
      </x:c>
      <x:c r="BG5" s="16" t="n">
        <x:v>-8.88764875028869e-8</x:v>
      </x:c>
      <x:c r="BH5" s="15" t="n">
        <x:v>4.769999911123512</x:v>
      </x:c>
      <x:c r="BI5" s="14" t="str">
        <x:v>c1ccc(C2CC23CCN(CCCSc2nnc(-c4cnco4)[nH]2)C3)cc1</x:v>
      </x:c>
      <x:c r="BJ5" s="17" t="n">
        <x:v>2</x:v>
      </x:c>
      <x:c r="BK5" s="15" t="n">
        <x:v>16982.44</x:v>
      </x:c>
      <x:c r="BL5" s="16" t="n">
        <x:v>0.0034753825384541415</x:v>
      </x:c>
      <x:c r="BM5" s="14" t="str">
        <x:v>false</x:v>
      </x:c>
    </x:row>
    <x:row r="6" ht="51" customHeight="1">
      <x:c r="A6" s="9" t="str">
        <x:v>null</x:v>
      </x:c>
      <x:c r="B6" s="9" t="str">
        <x:v>null</x:v>
      </x:c>
      <x:c r="C6" s="9" t="str">
        <x:v>16670140</x:v>
      </x:c>
      <x:c r="D6" s="9" t="str">
        <x:v>[]</x:v>
      </x:c>
      <x:c r="E6" s="9" t="str">
        <x:v>CHEMBL3855278</x:v>
      </x:c>
      <x:c r="F6" s="9" t="str">
        <x:v>Displacement of [3H]-spiperone from human dopamine D2 receptor expressed in CHO-K1 cell membranes coexpressing Galpha16 after 120 mins by liquid scintillation counting</x:v>
      </x:c>
      <x:c r="G6" s="9" t="str">
        <x:v>B</x:v>
      </x:c>
      <x:c r="H6" s="9" t="str">
        <x:v>null</x:v>
      </x:c>
      <x:c r="I6" s="9" t="str">
        <x:v>null</x:v>
      </x:c>
      <x:c r="J6" s="9" t="str">
        <x:v>BAO_0000192</x:v>
      </x:c>
      <x:c r="K6" s="9" t="str">
        <x:v>BAO_0000219</x:v>
      </x:c>
      <x:c r="L6" s="9" t="str">
        <x:v>cell-based format</x:v>
      </x:c>
      <x:c r="M6" s="9" t="str">
        <x:v>Cc1ncoc1-c1nnc(SCCCN2CC[C@]3(C[C@H]3c3ccc(C(F)(F)F)cc3)C2)n1C</x:v>
      </x:c>
      <x:c r="N6" s="9" t="str">
        <x:v>null</x:v>
      </x:c>
      <x:c r="O6" s="9" t="str">
        <x:v>null</x:v>
      </x:c>
      <x:c r="P6" s="9" t="str">
        <x:v>CHEMBL3853329</x:v>
      </x:c>
      <x:c r="Q6" s="9" t="str">
        <x:v>J Med Chem</x:v>
      </x:c>
      <x:c r="R6" s="13" t="n">
        <x:v>2016</x:v>
      </x:c>
      <x:c r="S6" s="9" t="str">
        <x:v>{"bei":"12.94","le":"0.26","lle":"1.02","sei":"10.30"}</x:v>
      </x:c>
      <x:c r="T6" s="9" t="str">
        <x:v>null</x:v>
      </x:c>
      <x:c r="U6" s="9" t="str">
        <x:v>CHEMBL3913607</x:v>
      </x:c>
      <x:c r="V6" s="9" t="str">
        <x:v>null</x:v>
      </x:c>
      <x:c r="W6" s="9" t="str">
        <x:v>CHEMBL3913607</x:v>
      </x:c>
      <x:c r="X6" s="11" t="n">
        <x:v>6.18</x:v>
      </x:c>
      <x:c r="Y6" s="13" t="n">
        <x:v>0</x:v>
      </x:c>
      <x:c r="Z6" s="9" t="str">
        <x:v>http://www.openphacts.org/units/Nanomolar</x:v>
      </x:c>
      <x:c r="AA6" s="9" t="str">
        <x:v>2796780</x:v>
      </x:c>
      <x:c r="AB6" s="9" t="str">
        <x:v>=</x:v>
      </x:c>
      <x:c r="AC6" s="9" t="str">
        <x:v>1</x:v>
      </x:c>
      <x:c r="AD6" s="13" t="n">
        <x:v>1</x:v>
      </x:c>
      <x:c r="AE6" s="9" t="str">
        <x:v>=</x:v>
      </x:c>
      <x:c r="AF6" s="9" t="str">
        <x:v>null</x:v>
      </x:c>
      <x:c r="AG6" s="9" t="str">
        <x:v>Ki</x:v>
      </x:c>
      <x:c r="AH6" s="9" t="str">
        <x:v>nM</x:v>
      </x:c>
      <x:c r="AI6" s="9" t="str">
        <x:v>null</x:v>
      </x:c>
      <x:c r="AJ6" s="11" t="n">
        <x:v>660.69</x:v>
      </x:c>
      <x:c r="AK6" s="9" t="str">
        <x:v>CHEMBL217</x:v>
      </x:c>
      <x:c r="AL6" s="9" t="str">
        <x:v>Homo sapiens</x:v>
      </x:c>
      <x:c r="AM6" s="9" t="str">
        <x:v>D(2) dopamine receptor</x:v>
      </x:c>
      <x:c r="AN6" s="9" t="str">
        <x:v>9606</x:v>
      </x:c>
      <x:c r="AO6" s="9" t="str">
        <x:v>null</x:v>
      </x:c>
      <x:c r="AP6" s="9" t="str">
        <x:v>null</x:v>
      </x:c>
      <x:c r="AQ6" s="9" t="str">
        <x:v>pKi</x:v>
      </x:c>
      <x:c r="AR6" s="9" t="str">
        <x:v>null</x:v>
      </x:c>
      <x:c r="AS6" s="9" t="str">
        <x:v>UO_0000065</x:v>
      </x:c>
      <x:c r="AT6" s="9" t="str">
        <x:v>null</x:v>
      </x:c>
      <x:c r="AU6" s="9" t="str">
        <x:v>6.18</x:v>
      </x:c>
      <x:c r="AV6" s="11" t="n">
        <x:v>0.00501</x:v>
      </x:c>
      <x:c r="AW6" s="9" t="str">
        <x:v>exclude</x:v>
      </x:c>
      <x:c r="AX6" s="9" t="str">
        <x:v>multiple_source_records_for_full_parent_identity</x:v>
      </x:c>
      <x:c r="AY6" s="11" t="n">
        <x:v>660.6934480075964</x:v>
      </x:c>
      <x:c r="AZ6" s="9" t="str">
        <x:v>source_reported_pKi</x:v>
      </x:c>
      <x:c r="BA6" s="11" t="n">
        <x:v>6.18</x:v>
      </x:c>
      <x:c r="BB6" s="9" t="str">
        <x:v>e3a2c9462c470a8faba1f80f0df7030c9cff4d7388916c3868b2ea7a12536c64</x:v>
      </x:c>
      <x:c r="BC6" s="9" t="str">
        <x:v>MNAFRWGRFIBAQX-AVRDEDQJSA-N</x:v>
      </x:c>
      <x:c r="BD6" s="9" t="str">
        <x:v>Cc1ncoc1-c1nnc(SCCCN2CC[C@]3(C[C@H]3c3ccc(C(F)(F)F)cc3)C2)n1C</x:v>
      </x:c>
      <x:c r="BE6" s="9" t="str">
        <x:v>Cc1ncoc1-c1nnc(SCCCN2CCC3(CC3c3ccc(C(F)(F)F)cc3)C2)n1C</x:v>
      </x:c>
      <x:c r="BF6" s="9" t="str">
        <x:v>Cc1ncoc1-c1nnc(SCCCN2CC[C@]3(C[C@H]3c3ccc(C(F)(F)F)cc3)C2)n1C</x:v>
      </x:c>
      <x:c r="BG6" s="12" t="n">
        <x:v>0.000002266489223856638</x:v>
      </x:c>
      <x:c r="BH6" s="11" t="n">
        <x:v>6.180002266489224</x:v>
      </x:c>
      <x:c r="BI6" s="9" t="str">
        <x:v>c1ccc(C2CC23CCN(CCCSc2nnc(-c4cnco4)[nH]2)C3)cc1</x:v>
      </x:c>
      <x:c r="BJ6" s="13" t="n">
        <x:v>2</x:v>
      </x:c>
      <x:c r="BK6" s="11" t="n">
        <x:v>660.69</x:v>
      </x:c>
      <x:c r="BL6" s="12" t="n">
        <x:v>-0.0034480075963756462</x:v>
      </x:c>
      <x:c r="BM6" s="9" t="str">
        <x:v>false</x:v>
      </x:c>
    </x:row>
    <x:row r="7" ht="51" customHeight="1">
      <x:c r="A7" s="14" t="str">
        <x:v>null</x:v>
      </x:c>
      <x:c r="B7" s="14" t="str">
        <x:v>null</x:v>
      </x:c>
      <x:c r="C7" s="14" t="str">
        <x:v>16670141</x:v>
      </x:c>
      <x:c r="D7" s="14" t="str">
        <x:v>[]</x:v>
      </x:c>
      <x:c r="E7" s="14" t="str">
        <x:v>CHEMBL3855278</x:v>
      </x:c>
      <x:c r="F7" s="14" t="str">
        <x:v>Displacement of [3H]-spiperone from human dopamine D2 receptor expressed in CHO-K1 cell membranes coexpressing Galpha16 after 120 mins by liquid scintillation counting</x:v>
      </x:c>
      <x:c r="G7" s="14" t="str">
        <x:v>B</x:v>
      </x:c>
      <x:c r="H7" s="14" t="str">
        <x:v>null</x:v>
      </x:c>
      <x:c r="I7" s="14" t="str">
        <x:v>null</x:v>
      </x:c>
      <x:c r="J7" s="14" t="str">
        <x:v>BAO_0000192</x:v>
      </x:c>
      <x:c r="K7" s="14" t="str">
        <x:v>BAO_0000219</x:v>
      </x:c>
      <x:c r="L7" s="14" t="str">
        <x:v>cell-based format</x:v>
      </x:c>
      <x:c r="M7" s="14" t="str">
        <x:v>Cc1ncoc1-c1nnc(SCCCN2CC[C@]3(C[C@H]3c3ccc(C(F)(F)F)cc3)C2)n1C</x:v>
      </x:c>
      <x:c r="N7" s="14" t="str">
        <x:v>null</x:v>
      </x:c>
      <x:c r="O7" s="14" t="str">
        <x:v>null</x:v>
      </x:c>
      <x:c r="P7" s="14" t="str">
        <x:v>CHEMBL3853329</x:v>
      </x:c>
      <x:c r="Q7" s="14" t="str">
        <x:v>J Med Chem</x:v>
      </x:c>
      <x:c r="R7" s="17" t="n">
        <x:v>2016</x:v>
      </x:c>
      <x:c r="S7" s="14" t="str">
        <x:v>{"bei":"12.67","le":"0.25","lle":"0.89","sei":"10.09"}</x:v>
      </x:c>
      <x:c r="T7" s="14" t="str">
        <x:v>null</x:v>
      </x:c>
      <x:c r="U7" s="14" t="str">
        <x:v>CHEMBL3913607</x:v>
      </x:c>
      <x:c r="V7" s="14" t="str">
        <x:v>null</x:v>
      </x:c>
      <x:c r="W7" s="14" t="str">
        <x:v>CHEMBL3913607</x:v>
      </x:c>
      <x:c r="X7" s="15" t="n">
        <x:v>6.05</x:v>
      </x:c>
      <x:c r="Y7" s="17" t="n">
        <x:v>0</x:v>
      </x:c>
      <x:c r="Z7" s="14" t="str">
        <x:v>http://www.openphacts.org/units/Nanomolar</x:v>
      </x:c>
      <x:c r="AA7" s="14" t="str">
        <x:v>2796781</x:v>
      </x:c>
      <x:c r="AB7" s="14" t="str">
        <x:v>=</x:v>
      </x:c>
      <x:c r="AC7" s="14" t="str">
        <x:v>1</x:v>
      </x:c>
      <x:c r="AD7" s="17" t="n">
        <x:v>1</x:v>
      </x:c>
      <x:c r="AE7" s="14" t="str">
        <x:v>=</x:v>
      </x:c>
      <x:c r="AF7" s="14" t="str">
        <x:v>null</x:v>
      </x:c>
      <x:c r="AG7" s="14" t="str">
        <x:v>Ki</x:v>
      </x:c>
      <x:c r="AH7" s="14" t="str">
        <x:v>nM</x:v>
      </x:c>
      <x:c r="AI7" s="14" t="str">
        <x:v>null</x:v>
      </x:c>
      <x:c r="AJ7" s="15" t="n">
        <x:v>891.25</x:v>
      </x:c>
      <x:c r="AK7" s="14" t="str">
        <x:v>CHEMBL217</x:v>
      </x:c>
      <x:c r="AL7" s="14" t="str">
        <x:v>Homo sapiens</x:v>
      </x:c>
      <x:c r="AM7" s="14" t="str">
        <x:v>D(2) dopamine receptor</x:v>
      </x:c>
      <x:c r="AN7" s="14" t="str">
        <x:v>9606</x:v>
      </x:c>
      <x:c r="AO7" s="14" t="str">
        <x:v>null</x:v>
      </x:c>
      <x:c r="AP7" s="14" t="str">
        <x:v>null</x:v>
      </x:c>
      <x:c r="AQ7" s="14" t="str">
        <x:v>pKi</x:v>
      </x:c>
      <x:c r="AR7" s="14" t="str">
        <x:v>null</x:v>
      </x:c>
      <x:c r="AS7" s="14" t="str">
        <x:v>UO_0000065</x:v>
      </x:c>
      <x:c r="AT7" s="14" t="str">
        <x:v>null</x:v>
      </x:c>
      <x:c r="AU7" s="14" t="str">
        <x:v>6.05</x:v>
      </x:c>
      <x:c r="AV7" s="15" t="n">
        <x:v>0.00501</x:v>
      </x:c>
      <x:c r="AW7" s="14" t="str">
        <x:v>exclude</x:v>
      </x:c>
      <x:c r="AX7" s="14" t="str">
        <x:v>multiple_source_records_for_full_parent_identity</x:v>
      </x:c>
      <x:c r="AY7" s="15" t="n">
        <x:v>891.2509381337459</x:v>
      </x:c>
      <x:c r="AZ7" s="14" t="str">
        <x:v>source_reported_pKi</x:v>
      </x:c>
      <x:c r="BA7" s="15" t="n">
        <x:v>6.05</x:v>
      </x:c>
      <x:c r="BB7" s="14" t="str">
        <x:v>e3a2c9462c470a8faba1f80f0df7030c9cff4d7388916c3868b2ea7a12536c64</x:v>
      </x:c>
      <x:c r="BC7" s="14" t="str">
        <x:v>MNAFRWGRFIBAQX-AVRDEDQJSA-N</x:v>
      </x:c>
      <x:c r="BD7" s="14" t="str">
        <x:v>Cc1ncoc1-c1nnc(SCCCN2CC[C@]3(C[C@H]3c3ccc(C(F)(F)F)cc3)C2)n1C</x:v>
      </x:c>
      <x:c r="BE7" s="14" t="str">
        <x:v>Cc1ncoc1-c1nnc(SCCCN2CCC3(CC3c3ccc(C(F)(F)F)cc3)C2)n1C</x:v>
      </x:c>
      <x:c r="BF7" s="14" t="str">
        <x:v>Cc1ncoc1-c1nnc(SCCCN2CC[C@]3(C[C@H]3c3ccc(C(F)(F)F)cc3)C2)n1C</x:v>
      </x:c>
      <x:c r="BG7" s="16" t="n">
        <x:v>4.571400777919621e-7</x:v>
      </x:c>
      <x:c r="BH7" s="15" t="n">
        <x:v>6.050000457140078</x:v>
      </x:c>
      <x:c r="BI7" s="14" t="str">
        <x:v>c1ccc(C2CC23CCN(CCCSc2nnc(-c4cnco4)[nH]2)C3)cc1</x:v>
      </x:c>
      <x:c r="BJ7" s="17" t="n">
        <x:v>2</x:v>
      </x:c>
      <x:c r="BK7" s="15" t="n">
        <x:v>891.25</x:v>
      </x:c>
      <x:c r="BL7" s="16" t="n">
        <x:v>-0.0009381337458762573</x:v>
      </x:c>
      <x:c r="BM7" s="14" t="str">
        <x:v>false</x:v>
      </x:c>
    </x:row>
    <x:row r="8" ht="51" customHeight="1">
      <x:c r="A8" s="9" t="str">
        <x:v>null</x:v>
      </x:c>
      <x:c r="B8" s="9" t="str">
        <x:v>null</x:v>
      </x:c>
      <x:c r="C8" s="9" t="str">
        <x:v>16670143</x:v>
      </x:c>
      <x:c r="D8" s="9" t="str">
        <x:v>[]</x:v>
      </x:c>
      <x:c r="E8" s="9" t="str">
        <x:v>CHEMBL3855278</x:v>
      </x:c>
      <x:c r="F8" s="9" t="str">
        <x:v>Displacement of [3H]-spiperone from human dopamine D2 receptor expressed in CHO-K1 cell membranes coexpressing Galpha16 after 120 mins by liquid scintillation counting</x:v>
      </x:c>
      <x:c r="G8" s="9" t="str">
        <x:v>B</x:v>
      </x:c>
      <x:c r="H8" s="9" t="str">
        <x:v>null</x:v>
      </x:c>
      <x:c r="I8" s="9" t="str">
        <x:v>null</x:v>
      </x:c>
      <x:c r="J8" s="9" t="str">
        <x:v>BAO_0000192</x:v>
      </x:c>
      <x:c r="K8" s="9" t="str">
        <x:v>BAO_0000219</x:v>
      </x:c>
      <x:c r="L8" s="9" t="str">
        <x:v>cell-based format</x:v>
      </x:c>
      <x:c r="M8" s="9" t="str">
        <x:v>Cc1ncoc1-c1nnc(SCCCN2CC[C@]3(C[C@@H]3c3ccc(C(F)(F)F)cc3)C2)n1C</x:v>
      </x:c>
      <x:c r="N8" s="9" t="str">
        <x:v>null</x:v>
      </x:c>
      <x:c r="O8" s="9" t="str">
        <x:v>null</x:v>
      </x:c>
      <x:c r="P8" s="9" t="str">
        <x:v>CHEMBL3853329</x:v>
      </x:c>
      <x:c r="Q8" s="9" t="str">
        <x:v>J Med Chem</x:v>
      </x:c>
      <x:c r="R8" s="13" t="n">
        <x:v>2016</x:v>
      </x:c>
      <x:c r="S8" s="9" t="str">
        <x:v>{"bei":"13.67","le":"0.27","lle":"1.37","sei":"10.89"}</x:v>
      </x:c>
      <x:c r="T8" s="9" t="str">
        <x:v>null</x:v>
      </x:c>
      <x:c r="U8" s="9" t="str">
        <x:v>CHEMBL3935692</x:v>
      </x:c>
      <x:c r="V8" s="9" t="str">
        <x:v>null</x:v>
      </x:c>
      <x:c r="W8" s="9" t="str">
        <x:v>CHEMBL3935692</x:v>
      </x:c>
      <x:c r="X8" s="11" t="n">
        <x:v>6.53</x:v>
      </x:c>
      <x:c r="Y8" s="13" t="n">
        <x:v>0</x:v>
      </x:c>
      <x:c r="Z8" s="9" t="str">
        <x:v>http://www.openphacts.org/units/Nanomolar</x:v>
      </x:c>
      <x:c r="AA8" s="9" t="str">
        <x:v>2796783</x:v>
      </x:c>
      <x:c r="AB8" s="9" t="str">
        <x:v>=</x:v>
      </x:c>
      <x:c r="AC8" s="9" t="str">
        <x:v>1</x:v>
      </x:c>
      <x:c r="AD8" s="13" t="n">
        <x:v>1</x:v>
      </x:c>
      <x:c r="AE8" s="9" t="str">
        <x:v>=</x:v>
      </x:c>
      <x:c r="AF8" s="9" t="str">
        <x:v>null</x:v>
      </x:c>
      <x:c r="AG8" s="9" t="str">
        <x:v>Ki</x:v>
      </x:c>
      <x:c r="AH8" s="9" t="str">
        <x:v>nM</x:v>
      </x:c>
      <x:c r="AI8" s="9" t="str">
        <x:v>null</x:v>
      </x:c>
      <x:c r="AJ8" s="11" t="n">
        <x:v>295.12</x:v>
      </x:c>
      <x:c r="AK8" s="9" t="str">
        <x:v>CHEMBL217</x:v>
      </x:c>
      <x:c r="AL8" s="9" t="str">
        <x:v>Homo sapiens</x:v>
      </x:c>
      <x:c r="AM8" s="9" t="str">
        <x:v>D(2) dopamine receptor</x:v>
      </x:c>
      <x:c r="AN8" s="9" t="str">
        <x:v>9606</x:v>
      </x:c>
      <x:c r="AO8" s="9" t="str">
        <x:v>null</x:v>
      </x:c>
      <x:c r="AP8" s="9" t="str">
        <x:v>null</x:v>
      </x:c>
      <x:c r="AQ8" s="9" t="str">
        <x:v>pKi</x:v>
      </x:c>
      <x:c r="AR8" s="9" t="str">
        <x:v>null</x:v>
      </x:c>
      <x:c r="AS8" s="9" t="str">
        <x:v>UO_0000065</x:v>
      </x:c>
      <x:c r="AT8" s="9" t="str">
        <x:v>null</x:v>
      </x:c>
      <x:c r="AU8" s="9" t="str">
        <x:v>6.53</x:v>
      </x:c>
      <x:c r="AV8" s="11" t="n">
        <x:v>0.00501</x:v>
      </x:c>
      <x:c r="AW8" s="9" t="str">
        <x:v>exclude</x:v>
      </x:c>
      <x:c r="AX8" s="9" t="str">
        <x:v>multiple_source_records_for_full_parent_identity</x:v>
      </x:c>
      <x:c r="AY8" s="11" t="n">
        <x:v>295.1209226666384</x:v>
      </x:c>
      <x:c r="AZ8" s="9" t="str">
        <x:v>source_reported_pKi</x:v>
      </x:c>
      <x:c r="BA8" s="11" t="n">
        <x:v>6.53</x:v>
      </x:c>
      <x:c r="BB8" s="9" t="str">
        <x:v>e3a2c9462c470a8faba1f80f0df7030c9cff4d7388916c3868b2ea7a12536c64</x:v>
      </x:c>
      <x:c r="BC8" s="9" t="str">
        <x:v>MNAFRWGRFIBAQX-GCJKJVERSA-N</x:v>
      </x:c>
      <x:c r="BD8" s="9" t="str">
        <x:v>Cc1ncoc1-c1nnc(SCCCN2CC[C@]3(C[C@@H]3c3ccc(C(F)(F)F)cc3)C2)n1C</x:v>
      </x:c>
      <x:c r="BE8" s="9" t="str">
        <x:v>Cc1ncoc1-c1nnc(SCCCN2CCC3(CC3c3ccc(C(F)(F)F)cc3)C2)n1C</x:v>
      </x:c>
      <x:c r="BF8" s="9" t="str">
        <x:v>Cc1ncoc1-c1nnc(SCCCN2CC[C@]3(C[C@@H]3c3ccc(C(F)(F)F)cc3)C2)n1C</x:v>
      </x:c>
      <x:c r="BG8" s="12" t="n">
        <x:v>0.0000013577812527643118</x:v>
      </x:c>
      <x:c r="BH8" s="11" t="n">
        <x:v>6.530001357781253</x:v>
      </x:c>
      <x:c r="BI8" s="9" t="str">
        <x:v>c1ccc(C2CC23CCN(CCCSc2nnc(-c4cnco4)[nH]2)C3)cc1</x:v>
      </x:c>
      <x:c r="BJ8" s="13" t="n">
        <x:v>2</x:v>
      </x:c>
      <x:c r="BK8" s="11" t="n">
        <x:v>295.12</x:v>
      </x:c>
      <x:c r="BL8" s="12" t="n">
        <x:v>-0.0009226666384165583</x:v>
      </x:c>
      <x:c r="BM8" s="9" t="str">
        <x:v>false</x:v>
      </x:c>
    </x:row>
    <x:row r="9" ht="51" customHeight="1">
      <x:c r="A9" s="14" t="str">
        <x:v>null</x:v>
      </x:c>
      <x:c r="B9" s="14" t="str">
        <x:v>null</x:v>
      </x:c>
      <x:c r="C9" s="14" t="str">
        <x:v>16670144</x:v>
      </x:c>
      <x:c r="D9" s="14" t="str">
        <x:v>[]</x:v>
      </x:c>
      <x:c r="E9" s="14" t="str">
        <x:v>CHEMBL3855278</x:v>
      </x:c>
      <x:c r="F9" s="14" t="str">
        <x:v>Displacement of [3H]-spiperone from human dopamine D2 receptor expressed in CHO-K1 cell membranes coexpressing Galpha16 after 120 mins by liquid scintillation counting</x:v>
      </x:c>
      <x:c r="G9" s="14" t="str">
        <x:v>B</x:v>
      </x:c>
      <x:c r="H9" s="14" t="str">
        <x:v>null</x:v>
      </x:c>
      <x:c r="I9" s="14" t="str">
        <x:v>null</x:v>
      </x:c>
      <x:c r="J9" s="14" t="str">
        <x:v>BAO_0000192</x:v>
      </x:c>
      <x:c r="K9" s="14" t="str">
        <x:v>BAO_0000219</x:v>
      </x:c>
      <x:c r="L9" s="14" t="str">
        <x:v>cell-based format</x:v>
      </x:c>
      <x:c r="M9" s="14" t="str">
        <x:v>Cc1ncoc1-c1nnc(SCCCN2CC[C@]3(C[C@@H]3c3ccc(C(F)(F)F)cc3)C2)n1C</x:v>
      </x:c>
      <x:c r="N9" s="14" t="str">
        <x:v>null</x:v>
      </x:c>
      <x:c r="O9" s="14" t="str">
        <x:v>null</x:v>
      </x:c>
      <x:c r="P9" s="14" t="str">
        <x:v>CHEMBL3853329</x:v>
      </x:c>
      <x:c r="Q9" s="14" t="str">
        <x:v>J Med Chem</x:v>
      </x:c>
      <x:c r="R9" s="17" t="n">
        <x:v>2016</x:v>
      </x:c>
      <x:c r="S9" s="14" t="str">
        <x:v>{"bei":"13.97","le":"0.28","lle":"1.51","sei":"11.12"}</x:v>
      </x:c>
      <x:c r="T9" s="14" t="str">
        <x:v>null</x:v>
      </x:c>
      <x:c r="U9" s="14" t="str">
        <x:v>CHEMBL3935692</x:v>
      </x:c>
      <x:c r="V9" s="14" t="str">
        <x:v>null</x:v>
      </x:c>
      <x:c r="W9" s="14" t="str">
        <x:v>CHEMBL3935692</x:v>
      </x:c>
      <x:c r="X9" s="15" t="n">
        <x:v>6.67</x:v>
      </x:c>
      <x:c r="Y9" s="17" t="n">
        <x:v>0</x:v>
      </x:c>
      <x:c r="Z9" s="14" t="str">
        <x:v>http://www.openphacts.org/units/Nanomolar</x:v>
      </x:c>
      <x:c r="AA9" s="14" t="str">
        <x:v>2796784</x:v>
      </x:c>
      <x:c r="AB9" s="14" t="str">
        <x:v>=</x:v>
      </x:c>
      <x:c r="AC9" s="14" t="str">
        <x:v>1</x:v>
      </x:c>
      <x:c r="AD9" s="17" t="n">
        <x:v>1</x:v>
      </x:c>
      <x:c r="AE9" s="14" t="str">
        <x:v>=</x:v>
      </x:c>
      <x:c r="AF9" s="14" t="str">
        <x:v>null</x:v>
      </x:c>
      <x:c r="AG9" s="14" t="str">
        <x:v>Ki</x:v>
      </x:c>
      <x:c r="AH9" s="14" t="str">
        <x:v>nM</x:v>
      </x:c>
      <x:c r="AI9" s="14" t="str">
        <x:v>null</x:v>
      </x:c>
      <x:c r="AJ9" s="15" t="n">
        <x:v>213.8</x:v>
      </x:c>
      <x:c r="AK9" s="14" t="str">
        <x:v>CHEMBL217</x:v>
      </x:c>
      <x:c r="AL9" s="14" t="str">
        <x:v>Homo sapiens</x:v>
      </x:c>
      <x:c r="AM9" s="14" t="str">
        <x:v>D(2) dopamine receptor</x:v>
      </x:c>
      <x:c r="AN9" s="14" t="str">
        <x:v>9606</x:v>
      </x:c>
      <x:c r="AO9" s="14" t="str">
        <x:v>null</x:v>
      </x:c>
      <x:c r="AP9" s="14" t="str">
        <x:v>null</x:v>
      </x:c>
      <x:c r="AQ9" s="14" t="str">
        <x:v>pKi</x:v>
      </x:c>
      <x:c r="AR9" s="14" t="str">
        <x:v>null</x:v>
      </x:c>
      <x:c r="AS9" s="14" t="str">
        <x:v>UO_0000065</x:v>
      </x:c>
      <x:c r="AT9" s="14" t="str">
        <x:v>null</x:v>
      </x:c>
      <x:c r="AU9" s="14" t="str">
        <x:v>6.67</x:v>
      </x:c>
      <x:c r="AV9" s="15" t="n">
        <x:v>0.00501</x:v>
      </x:c>
      <x:c r="AW9" s="14" t="str">
        <x:v>exclude</x:v>
      </x:c>
      <x:c r="AX9" s="14" t="str">
        <x:v>multiple_source_records_for_full_parent_identity</x:v>
      </x:c>
      <x:c r="AY9" s="15" t="n">
        <x:v>213.79620895022325</x:v>
      </x:c>
      <x:c r="AZ9" s="14" t="str">
        <x:v>source_reported_pKi</x:v>
      </x:c>
      <x:c r="BA9" s="15" t="n">
        <x:v>6.67</x:v>
      </x:c>
      <x:c r="BB9" s="14" t="str">
        <x:v>e3a2c9462c470a8faba1f80f0df7030c9cff4d7388916c3868b2ea7a12536c64</x:v>
      </x:c>
      <x:c r="BC9" s="14" t="str">
        <x:v>MNAFRWGRFIBAQX-GCJKJVERSA-N</x:v>
      </x:c>
      <x:c r="BD9" s="14" t="str">
        <x:v>Cc1ncoc1-c1nnc(SCCCN2CC[C@]3(C[C@@H]3c3ccc(C(F)(F)F)cc3)C2)n1C</x:v>
      </x:c>
      <x:c r="BE9" s="14" t="str">
        <x:v>Cc1ncoc1-c1nnc(SCCCN2CCC3(CC3c3ccc(C(F)(F)F)cc3)C2)n1C</x:v>
      </x:c>
      <x:c r="BF9" s="14" t="str">
        <x:v>Cc1ncoc1-c1nnc(SCCCN2CC[C@]3(C[C@@H]3c3ccc(C(F)(F)F)cc3)C2)n1C</x:v>
      </x:c>
      <x:c r="BG9" s="16" t="n">
        <x:v>-0.000007700872759031085</x:v>
      </x:c>
      <x:c r="BH9" s="15" t="n">
        <x:v>6.669992299127241</x:v>
      </x:c>
      <x:c r="BI9" s="14" t="str">
        <x:v>c1ccc(C2CC23CCN(CCCSc2nnc(-c4cnco4)[nH]2)C3)cc1</x:v>
      </x:c>
      <x:c r="BJ9" s="17" t="n">
        <x:v>2</x:v>
      </x:c>
      <x:c r="BK9" s="15" t="n">
        <x:v>213.8</x:v>
      </x:c>
      <x:c r="BL9" s="16" t="n">
        <x:v>0.003791049776765476</x:v>
      </x:c>
      <x:c r="BM9" s="14" t="str">
        <x:v>false</x:v>
      </x:c>
    </x:row>
    <x:row r="10" ht="66" customHeight="1">
      <x:c r="A10" s="9" t="str">
        <x:v>null</x:v>
      </x:c>
      <x:c r="B10" s="9" t="str">
        <x:v>Not Determined</x:v>
      </x:c>
      <x:c r="C10" s="9" t="str">
        <x:v>16670145</x:v>
      </x:c>
      <x:c r="D10" s="9" t="str">
        <x:v>[]</x:v>
      </x:c>
      <x:c r="E10" s="9" t="str">
        <x:v>CHEMBL3855278</x:v>
      </x:c>
      <x:c r="F10" s="9" t="str">
        <x:v>Displacement of [3H]-spiperone from human dopamine D2 receptor expressed in CHO-K1 cell membranes coexpressing Galpha16 after 120 mins by liquid scintillation counting</x:v>
      </x:c>
      <x:c r="G10" s="9" t="str">
        <x:v>B</x:v>
      </x:c>
      <x:c r="H10" s="9" t="str">
        <x:v>null</x:v>
      </x:c>
      <x:c r="I10" s="9" t="str">
        <x:v>null</x:v>
      </x:c>
      <x:c r="J10" s="9" t="str">
        <x:v>BAO_0000179</x:v>
      </x:c>
      <x:c r="K10" s="9" t="str">
        <x:v>BAO_0000219</x:v>
      </x:c>
      <x:c r="L10" s="9" t="str">
        <x:v>cell-based format</x:v>
      </x:c>
      <x:c r="M10" s="9" t="str">
        <x:v>Cc1ncoc1-c1nnc(SCCCN2CC[C@@]3(C[C@H]3c3ccc(C(F)(F)F)cc3)C2)n1C</x:v>
      </x:c>
      <x:c r="N10" s="9" t="str">
        <x:v>null</x:v>
      </x:c>
      <x:c r="O10" s="9" t="str">
        <x:v>null</x:v>
      </x:c>
      <x:c r="P10" s="9" t="str">
        <x:v>CHEMBL3853329</x:v>
      </x:c>
      <x:c r="Q10" s="9" t="str">
        <x:v>J Med Chem</x:v>
      </x:c>
      <x:c r="R10" s="13" t="n">
        <x:v>2016</x:v>
      </x:c>
      <x:c r="S10" s="9" t="str">
        <x:v>null</x:v>
      </x:c>
      <x:c r="T10" s="9" t="str">
        <x:v>null</x:v>
      </x:c>
      <x:c r="U10" s="9" t="str">
        <x:v>CHEMBL3911264</x:v>
      </x:c>
      <x:c r="V10" s="9" t="str">
        <x:v>null</x:v>
      </x:c>
      <x:c r="W10" s="9" t="str">
        <x:v>CHEMBL3911264</x:v>
      </x:c>
      <x:c r="X10" s="11" t="str">
        <x:v>null</x:v>
      </x:c>
      <x:c r="Y10" s="13" t="n">
        <x:v>0</x:v>
      </x:c>
      <x:c r="Z10" s="9" t="str">
        <x:v>null</x:v>
      </x:c>
      <x:c r="AA10" s="9" t="str">
        <x:v>2796785</x:v>
      </x:c>
      <x:c r="AB10" s="9" t="str">
        <x:v>null</x:v>
      </x:c>
      <x:c r="AC10" s="9" t="str">
        <x:v>1</x:v>
      </x:c>
      <x:c r="AD10" s="13" t="n">
        <x:v>0</x:v>
      </x:c>
      <x:c r="AE10" s="9" t="str">
        <x:v>null</x:v>
      </x:c>
      <x:c r="AF10" s="9" t="str">
        <x:v>null</x:v>
      </x:c>
      <x:c r="AG10" s="9" t="str">
        <x:v>pKi</x:v>
      </x:c>
      <x:c r="AH10" s="9" t="str">
        <x:v>null</x:v>
      </x:c>
      <x:c r="AI10" s="9" t="str">
        <x:v>null</x:v>
      </x:c>
      <x:c r="AJ10" s="11" t="str">
        <x:v>null</x:v>
      </x:c>
      <x:c r="AK10" s="9" t="str">
        <x:v>CHEMBL217</x:v>
      </x:c>
      <x:c r="AL10" s="9" t="str">
        <x:v>Homo sapiens</x:v>
      </x:c>
      <x:c r="AM10" s="9" t="str">
        <x:v>D(2) dopamine receptor</x:v>
      </x:c>
      <x:c r="AN10" s="9" t="str">
        <x:v>9606</x:v>
      </x:c>
      <x:c r="AO10" s="9" t="str">
        <x:v>null</x:v>
      </x:c>
      <x:c r="AP10" s="9" t="str">
        <x:v>null</x:v>
      </x:c>
      <x:c r="AQ10" s="9" t="str">
        <x:v>pKi</x:v>
      </x:c>
      <x:c r="AR10" s="9" t="str">
        <x:v>null</x:v>
      </x:c>
      <x:c r="AS10" s="9" t="str">
        <x:v>null</x:v>
      </x:c>
      <x:c r="AT10" s="9" t="str">
        <x:v>null</x:v>
      </x:c>
      <x:c r="AU10" s="9" t="str">
        <x:v>null</x:v>
      </x:c>
      <x:c r="AV10" s="11" t="str">
        <x:v>null</x:v>
      </x:c>
      <x:c r="AW10" s="9" t="str">
        <x:v>exclude</x:v>
      </x:c>
      <x:c r="AX10" s="9" t="str">
        <x:v>nonexact_or_missing_original_relation;nonexact_or_missing_standard_relation;standard_endpoint_or_unit_not_Ki_nM;activity_comment_requires_review;missing_or_nonfinite_original_value;missing_or_nonpositive_standard_value</x:v>
      </x:c>
      <x:c r="AY10" s="11" t="str">
        <x:v>null</x:v>
      </x:c>
      <x:c r="AZ10" s="9" t="str">
        <x:v>null</x:v>
      </x:c>
      <x:c r="BA10" s="11" t="str">
        <x:v>null</x:v>
      </x:c>
      <x:c r="BB10" s="9" t="str">
        <x:v>e3a2c9462c470a8faba1f80f0df7030c9cff4d7388916c3868b2ea7a12536c64</x:v>
      </x:c>
      <x:c r="BC10" s="9" t="str">
        <x:v>MNAFRWGRFIBAQX-PGRDOPGGSA-N</x:v>
      </x:c>
      <x:c r="BD10" s="9" t="str">
        <x:v>Cc1ncoc1-c1nnc(SCCCN2CC[C@@]3(C[C@H]3c3ccc(C(F)(F)F)cc3)C2)n1C</x:v>
      </x:c>
      <x:c r="BE10" s="9" t="str">
        <x:v>Cc1ncoc1-c1nnc(SCCCN2CCC3(CC3c3ccc(C(F)(F)F)cc3)C2)n1C</x:v>
      </x:c>
      <x:c r="BF10" s="9" t="str">
        <x:v>Cc1ncoc1-c1nnc(SCCCN2CC[C@@]3(C[C@H]3c3ccc(C(F)(F)F)cc3)C2)n1C</x:v>
      </x:c>
      <x:c r="BG10" s="12" t="str">
        <x:v>null</x:v>
      </x:c>
      <x:c r="BH10" s="11" t="str">
        <x:v>null</x:v>
      </x:c>
      <x:c r="BI10" s="9" t="str">
        <x:v>c1ccc(C2CC23CCN(CCCSc2nnc(-c4cnco4)[nH]2)C3)cc1</x:v>
      </x:c>
      <x:c r="BJ10" s="13" t="n">
        <x:v>1</x:v>
      </x:c>
      <x:c r="BK10" s="11" t="str">
        <x:v>null</x:v>
      </x:c>
      <x:c r="BL10" s="12" t="str">
        <x:v>null</x:v>
      </x:c>
      <x:c r="BM10" s="9" t="str">
        <x:v>false</x:v>
      </x:c>
    </x:row>
    <x:row r="11" ht="51" customHeight="1">
      <x:c r="A11" s="14" t="str">
        <x:v>null</x:v>
      </x:c>
      <x:c r="B11" s="14" t="str">
        <x:v>null</x:v>
      </x:c>
      <x:c r="C11" s="14" t="str">
        <x:v>16670146</x:v>
      </x:c>
      <x:c r="D11" s="14" t="str">
        <x:v>[]</x:v>
      </x:c>
      <x:c r="E11" s="14" t="str">
        <x:v>CHEMBL3855278</x:v>
      </x:c>
      <x:c r="F11" s="14" t="str">
        <x:v>Displacement of [3H]-spiperone from human dopamine D2 receptor expressed in CHO-K1 cell membranes coexpressing Galpha16 after 120 mins by liquid scintillation counting</x:v>
      </x:c>
      <x:c r="G11" s="14" t="str">
        <x:v>B</x:v>
      </x:c>
      <x:c r="H11" s="14" t="str">
        <x:v>null</x:v>
      </x:c>
      <x:c r="I11" s="14" t="str">
        <x:v>null</x:v>
      </x:c>
      <x:c r="J11" s="14" t="str">
        <x:v>BAO_0000192</x:v>
      </x:c>
      <x:c r="K11" s="14" t="str">
        <x:v>BAO_0000219</x:v>
      </x:c>
      <x:c r="L11" s="14" t="str">
        <x:v>cell-based format</x:v>
      </x:c>
      <x:c r="M11" s="14" t="str">
        <x:v>Cc1ncoc1-c1nnc(SCCN2CC[C@]3(C[C@H]3c3ccc(C(F)(F)F)cc3)C2)n1C</x:v>
      </x:c>
      <x:c r="N11" s="14" t="str">
        <x:v>null</x:v>
      </x:c>
      <x:c r="O11" s="14" t="str">
        <x:v>null</x:v>
      </x:c>
      <x:c r="P11" s="14" t="str">
        <x:v>CHEMBL3853329</x:v>
      </x:c>
      <x:c r="Q11" s="14" t="str">
        <x:v>J Med Chem</x:v>
      </x:c>
      <x:c r="R11" s="17" t="n">
        <x:v>2016</x:v>
      </x:c>
      <x:c r="S11" s="14" t="str">
        <x:v>{"bei":"13.57","le":"0.27","lle":"1.52","sei":"10.49"}</x:v>
      </x:c>
      <x:c r="T11" s="14" t="str">
        <x:v>null</x:v>
      </x:c>
      <x:c r="U11" s="14" t="str">
        <x:v>CHEMBL3954568</x:v>
      </x:c>
      <x:c r="V11" s="14" t="str">
        <x:v>null</x:v>
      </x:c>
      <x:c r="W11" s="14" t="str">
        <x:v>CHEMBL3954568</x:v>
      </x:c>
      <x:c r="X11" s="15" t="n">
        <x:v>6.29</x:v>
      </x:c>
      <x:c r="Y11" s="17" t="n">
        <x:v>0</x:v>
      </x:c>
      <x:c r="Z11" s="14" t="str">
        <x:v>http://www.openphacts.org/units/Nanomolar</x:v>
      </x:c>
      <x:c r="AA11" s="14" t="str">
        <x:v>2796786</x:v>
      </x:c>
      <x:c r="AB11" s="14" t="str">
        <x:v>=</x:v>
      </x:c>
      <x:c r="AC11" s="14" t="str">
        <x:v>1</x:v>
      </x:c>
      <x:c r="AD11" s="17" t="n">
        <x:v>1</x:v>
      </x:c>
      <x:c r="AE11" s="14" t="str">
        <x:v>=</x:v>
      </x:c>
      <x:c r="AF11" s="14" t="str">
        <x:v>null</x:v>
      </x:c>
      <x:c r="AG11" s="14" t="str">
        <x:v>Ki</x:v>
      </x:c>
      <x:c r="AH11" s="14" t="str">
        <x:v>nM</x:v>
      </x:c>
      <x:c r="AI11" s="14" t="str">
        <x:v>null</x:v>
      </x:c>
      <x:c r="AJ11" s="15" t="n">
        <x:v>512.86</x:v>
      </x:c>
      <x:c r="AK11" s="14" t="str">
        <x:v>CHEMBL217</x:v>
      </x:c>
      <x:c r="AL11" s="14" t="str">
        <x:v>Homo sapiens</x:v>
      </x:c>
      <x:c r="AM11" s="14" t="str">
        <x:v>D(2) dopamine receptor</x:v>
      </x:c>
      <x:c r="AN11" s="14" t="str">
        <x:v>9606</x:v>
      </x:c>
      <x:c r="AO11" s="14" t="str">
        <x:v>null</x:v>
      </x:c>
      <x:c r="AP11" s="14" t="str">
        <x:v>null</x:v>
      </x:c>
      <x:c r="AQ11" s="14" t="str">
        <x:v>pKi</x:v>
      </x:c>
      <x:c r="AR11" s="14" t="str">
        <x:v>null</x:v>
      </x:c>
      <x:c r="AS11" s="14" t="str">
        <x:v>UO_0000065</x:v>
      </x:c>
      <x:c r="AT11" s="14" t="str">
        <x:v>null</x:v>
      </x:c>
      <x:c r="AU11" s="14" t="str">
        <x:v>6.29</x:v>
      </x:c>
      <x:c r="AV11" s="15" t="n">
        <x:v>0.00501</x:v>
      </x:c>
      <x:c r="AW11" s="14" t="str">
        <x:v>exclude</x:v>
      </x:c>
      <x:c r="AX11" s="14" t="str">
        <x:v>multiple_source_records_for_full_parent_identity</x:v>
      </x:c>
      <x:c r="AY11" s="15" t="n">
        <x:v>512.8613839913648</x:v>
      </x:c>
      <x:c r="AZ11" s="14" t="str">
        <x:v>source_reported_pKi</x:v>
      </x:c>
      <x:c r="BA11" s="15" t="n">
        <x:v>6.29</x:v>
      </x:c>
      <x:c r="BB11" s="14" t="str">
        <x:v>bbd50de4d018dd84edd1132e29be4a6288b1afe6b09fdc0525ff1bd782c8c725</x:v>
      </x:c>
      <x:c r="BC11" s="14" t="str">
        <x:v>KLQDZSYTMPJBBU-UWJYYQICSA-N</x:v>
      </x:c>
      <x:c r="BD11" s="14" t="str">
        <x:v>Cc1ncoc1-c1nnc(SCCN2CC[C@]3(C[C@H]3c3ccc(C(F)(F)F)cc3)C2)n1C</x:v>
      </x:c>
      <x:c r="BE11" s="14" t="str">
        <x:v>Cc1ncoc1-c1nnc(SCCN2CCC3(CC3c3ccc(C(F)(F)F)cc3)C2)n1C</x:v>
      </x:c>
      <x:c r="BF11" s="14" t="str">
        <x:v>Cc1ncoc1-c1nnc(SCCN2CC[C@]3(C[C@H]3c3ccc(C(F)(F)F)cc3)C2)n1C</x:v>
      </x:c>
      <x:c r="BG11" s="16" t="n">
        <x:v>0.0000011719748114202844</x:v>
      </x:c>
      <x:c r="BH11" s="15" t="n">
        <x:v>6.2900011719748115</x:v>
      </x:c>
      <x:c r="BI11" s="14" t="str">
        <x:v>c1ccc(C2CC23CCN(CCSc2nnc(-c4cnco4)[nH]2)C3)cc1</x:v>
      </x:c>
      <x:c r="BJ11" s="17" t="n">
        <x:v>2</x:v>
      </x:c>
      <x:c r="BK11" s="15" t="n">
        <x:v>512.86</x:v>
      </x:c>
      <x:c r="BL11" s="16" t="n">
        <x:v>-0.001383991364832582</x:v>
      </x:c>
      <x:c r="BM11" s="14" t="str">
        <x:v>false</x:v>
      </x:c>
    </x:row>
    <x:row r="12" ht="51" customHeight="1">
      <x:c r="A12" s="9" t="str">
        <x:v>null</x:v>
      </x:c>
      <x:c r="B12" s="9" t="str">
        <x:v>null</x:v>
      </x:c>
      <x:c r="C12" s="9" t="str">
        <x:v>16670147</x:v>
      </x:c>
      <x:c r="D12" s="9" t="str">
        <x:v>[]</x:v>
      </x:c>
      <x:c r="E12" s="9" t="str">
        <x:v>CHEMBL3855278</x:v>
      </x:c>
      <x:c r="F12" s="9" t="str">
        <x:v>Displacement of [3H]-spiperone from human dopamine D2 receptor expressed in CHO-K1 cell membranes coexpressing Galpha16 after 120 mins by liquid scintillation counting</x:v>
      </x:c>
      <x:c r="G12" s="9" t="str">
        <x:v>B</x:v>
      </x:c>
      <x:c r="H12" s="9" t="str">
        <x:v>null</x:v>
      </x:c>
      <x:c r="I12" s="9" t="str">
        <x:v>null</x:v>
      </x:c>
      <x:c r="J12" s="9" t="str">
        <x:v>BAO_0000192</x:v>
      </x:c>
      <x:c r="K12" s="9" t="str">
        <x:v>BAO_0000219</x:v>
      </x:c>
      <x:c r="L12" s="9" t="str">
        <x:v>cell-based format</x:v>
      </x:c>
      <x:c r="M12" s="9" t="str">
        <x:v>Cc1ncoc1-c1nnc(SCCN2CC[C@]3(C[C@H]3c3ccc(C(F)(F)F)cc3)C2)n1C</x:v>
      </x:c>
      <x:c r="N12" s="9" t="str">
        <x:v>null</x:v>
      </x:c>
      <x:c r="O12" s="9" t="str">
        <x:v>null</x:v>
      </x:c>
      <x:c r="P12" s="9" t="str">
        <x:v>CHEMBL3853329</x:v>
      </x:c>
      <x:c r="Q12" s="9" t="str">
        <x:v>J Med Chem</x:v>
      </x:c>
      <x:c r="R12" s="13" t="n">
        <x:v>2016</x:v>
      </x:c>
      <x:c r="S12" s="9" t="str">
        <x:v>{"bei":"12.97","le":"0.26","lle":"1.24","sei":"10.02"}</x:v>
      </x:c>
      <x:c r="T12" s="9" t="str">
        <x:v>null</x:v>
      </x:c>
      <x:c r="U12" s="9" t="str">
        <x:v>CHEMBL3954568</x:v>
      </x:c>
      <x:c r="V12" s="9" t="str">
        <x:v>null</x:v>
      </x:c>
      <x:c r="W12" s="9" t="str">
        <x:v>CHEMBL3954568</x:v>
      </x:c>
      <x:c r="X12" s="11" t="n">
        <x:v>6.01</x:v>
      </x:c>
      <x:c r="Y12" s="13" t="n">
        <x:v>0</x:v>
      </x:c>
      <x:c r="Z12" s="9" t="str">
        <x:v>http://www.openphacts.org/units/Nanomolar</x:v>
      </x:c>
      <x:c r="AA12" s="9" t="str">
        <x:v>2796787</x:v>
      </x:c>
      <x:c r="AB12" s="9" t="str">
        <x:v>=</x:v>
      </x:c>
      <x:c r="AC12" s="9" t="str">
        <x:v>1</x:v>
      </x:c>
      <x:c r="AD12" s="13" t="n">
        <x:v>1</x:v>
      </x:c>
      <x:c r="AE12" s="9" t="str">
        <x:v>=</x:v>
      </x:c>
      <x:c r="AF12" s="9" t="str">
        <x:v>null</x:v>
      </x:c>
      <x:c r="AG12" s="9" t="str">
        <x:v>Ki</x:v>
      </x:c>
      <x:c r="AH12" s="9" t="str">
        <x:v>nM</x:v>
      </x:c>
      <x:c r="AI12" s="9" t="str">
        <x:v>null</x:v>
      </x:c>
      <x:c r="AJ12" s="11" t="n">
        <x:v>977.24</x:v>
      </x:c>
      <x:c r="AK12" s="9" t="str">
        <x:v>CHEMBL217</x:v>
      </x:c>
      <x:c r="AL12" s="9" t="str">
        <x:v>Homo sapiens</x:v>
      </x:c>
      <x:c r="AM12" s="9" t="str">
        <x:v>D(2) dopamine receptor</x:v>
      </x:c>
      <x:c r="AN12" s="9" t="str">
        <x:v>9606</x:v>
      </x:c>
      <x:c r="AO12" s="9" t="str">
        <x:v>null</x:v>
      </x:c>
      <x:c r="AP12" s="9" t="str">
        <x:v>null</x:v>
      </x:c>
      <x:c r="AQ12" s="9" t="str">
        <x:v>pKi</x:v>
      </x:c>
      <x:c r="AR12" s="9" t="str">
        <x:v>null</x:v>
      </x:c>
      <x:c r="AS12" s="9" t="str">
        <x:v>UO_0000065</x:v>
      </x:c>
      <x:c r="AT12" s="9" t="str">
        <x:v>null</x:v>
      </x:c>
      <x:c r="AU12" s="9" t="str">
        <x:v>6.01</x:v>
      </x:c>
      <x:c r="AV12" s="11" t="n">
        <x:v>0.00501</x:v>
      </x:c>
      <x:c r="AW12" s="9" t="str">
        <x:v>exclude</x:v>
      </x:c>
      <x:c r="AX12" s="9" t="str">
        <x:v>multiple_source_records_for_full_parent_identity</x:v>
      </x:c>
      <x:c r="AY12" s="11" t="n">
        <x:v>977.2372209558112</x:v>
      </x:c>
      <x:c r="AZ12" s="9" t="str">
        <x:v>source_reported_pKi</x:v>
      </x:c>
      <x:c r="BA12" s="11" t="n">
        <x:v>6.01</x:v>
      </x:c>
      <x:c r="BB12" s="9" t="str">
        <x:v>bbd50de4d018dd84edd1132e29be4a6288b1afe6b09fdc0525ff1bd782c8c725</x:v>
      </x:c>
      <x:c r="BC12" s="9" t="str">
        <x:v>KLQDZSYTMPJBBU-UWJYYQICSA-N</x:v>
      </x:c>
      <x:c r="BD12" s="9" t="str">
        <x:v>Cc1ncoc1-c1nnc(SCCN2CC[C@]3(C[C@H]3c3ccc(C(F)(F)F)cc3)C2)n1C</x:v>
      </x:c>
      <x:c r="BE12" s="9" t="str">
        <x:v>Cc1ncoc1-c1nnc(SCCN2CCC3(CC3c3ccc(C(F)(F)F)cc3)C2)n1C</x:v>
      </x:c>
      <x:c r="BF12" s="9" t="str">
        <x:v>Cc1ncoc1-c1nnc(SCCN2CC[C@]3(C[C@H]3c3ccc(C(F)(F)F)cc3)C2)n1C</x:v>
      </x:c>
      <x:c r="BG12" s="12" t="n">
        <x:v>-0.0000012350346612066687</x:v>
      </x:c>
      <x:c r="BH12" s="11" t="n">
        <x:v>6.009998764965339</x:v>
      </x:c>
      <x:c r="BI12" s="9" t="str">
        <x:v>c1ccc(C2CC23CCN(CCSc2nnc(-c4cnco4)[nH]2)C3)cc1</x:v>
      </x:c>
      <x:c r="BJ12" s="13" t="n">
        <x:v>2</x:v>
      </x:c>
      <x:c r="BK12" s="11" t="n">
        <x:v>977.24</x:v>
      </x:c>
      <x:c r="BL12" s="12" t="n">
        <x:v>0.0027790441888555506</x:v>
      </x:c>
      <x:c r="BM12" s="9" t="str">
        <x:v>false</x:v>
      </x:c>
    </x:row>
    <x:row r="13" ht="51" customHeight="1">
      <x:c r="A13" s="14" t="str">
        <x:v>null</x:v>
      </x:c>
      <x:c r="B13" s="14" t="str">
        <x:v>null</x:v>
      </x:c>
      <x:c r="C13" s="14" t="str">
        <x:v>16670151</x:v>
      </x:c>
      <x:c r="D13" s="14" t="str">
        <x:v>[]</x:v>
      </x:c>
      <x:c r="E13" s="14" t="str">
        <x:v>CHEMBL3855278</x:v>
      </x:c>
      <x:c r="F13" s="14" t="str">
        <x:v>Displacement of [3H]-spiperone from human dopamine D2 receptor expressed in CHO-K1 cell membranes coexpressing Galpha16 after 120 mins by liquid scintillation counting</x:v>
      </x:c>
      <x:c r="G13" s="14" t="str">
        <x:v>B</x:v>
      </x:c>
      <x:c r="H13" s="14" t="str">
        <x:v>null</x:v>
      </x:c>
      <x:c r="I13" s="14" t="str">
        <x:v>null</x:v>
      </x:c>
      <x:c r="J13" s="14" t="str">
        <x:v>BAO_0000192</x:v>
      </x:c>
      <x:c r="K13" s="14" t="str">
        <x:v>BAO_0000219</x:v>
      </x:c>
      <x:c r="L13" s="14" t="str">
        <x:v>cell-based format</x:v>
      </x:c>
      <x:c r="M13" s="14" t="str">
        <x:v>Cc1ncoc1-c1nnc(SCCCN2CC[C@]3(C[C@H]3c3ccccc3C(F)(F)F)C2)n1C</x:v>
      </x:c>
      <x:c r="N13" s="14" t="str">
        <x:v>null</x:v>
      </x:c>
      <x:c r="O13" s="14" t="str">
        <x:v>null</x:v>
      </x:c>
      <x:c r="P13" s="14" t="str">
        <x:v>CHEMBL3853329</x:v>
      </x:c>
      <x:c r="Q13" s="14" t="str">
        <x:v>J Med Chem</x:v>
      </x:c>
      <x:c r="R13" s="17" t="n">
        <x:v>2016</x:v>
      </x:c>
      <x:c r="S13" s="14" t="str">
        <x:v>{"bei":"14.47","le":"0.29","lle":"1.75","sei":"11.52"}</x:v>
      </x:c>
      <x:c r="T13" s="14" t="str">
        <x:v>null</x:v>
      </x:c>
      <x:c r="U13" s="14" t="str">
        <x:v>CHEMBL3914195</x:v>
      </x:c>
      <x:c r="V13" s="14" t="str">
        <x:v>null</x:v>
      </x:c>
      <x:c r="W13" s="14" t="str">
        <x:v>CHEMBL3914195</x:v>
      </x:c>
      <x:c r="X13" s="15" t="n">
        <x:v>6.91</x:v>
      </x:c>
      <x:c r="Y13" s="17" t="n">
        <x:v>0</x:v>
      </x:c>
      <x:c r="Z13" s="14" t="str">
        <x:v>http://www.openphacts.org/units/Nanomolar</x:v>
      </x:c>
      <x:c r="AA13" s="14" t="str">
        <x:v>2796791</x:v>
      </x:c>
      <x:c r="AB13" s="14" t="str">
        <x:v>=</x:v>
      </x:c>
      <x:c r="AC13" s="14" t="str">
        <x:v>1</x:v>
      </x:c>
      <x:c r="AD13" s="17" t="n">
        <x:v>1</x:v>
      </x:c>
      <x:c r="AE13" s="14" t="str">
        <x:v>=</x:v>
      </x:c>
      <x:c r="AF13" s="14" t="str">
        <x:v>null</x:v>
      </x:c>
      <x:c r="AG13" s="14" t="str">
        <x:v>Ki</x:v>
      </x:c>
      <x:c r="AH13" s="14" t="str">
        <x:v>nM</x:v>
      </x:c>
      <x:c r="AI13" s="14" t="str">
        <x:v>null</x:v>
      </x:c>
      <x:c r="AJ13" s="15" t="n">
        <x:v>123.03</x:v>
      </x:c>
      <x:c r="AK13" s="14" t="str">
        <x:v>CHEMBL217</x:v>
      </x:c>
      <x:c r="AL13" s="14" t="str">
        <x:v>Homo sapiens</x:v>
      </x:c>
      <x:c r="AM13" s="14" t="str">
        <x:v>D(2) dopamine receptor</x:v>
      </x:c>
      <x:c r="AN13" s="14" t="str">
        <x:v>9606</x:v>
      </x:c>
      <x:c r="AO13" s="14" t="str">
        <x:v>null</x:v>
      </x:c>
      <x:c r="AP13" s="14" t="str">
        <x:v>null</x:v>
      </x:c>
      <x:c r="AQ13" s="14" t="str">
        <x:v>pKi</x:v>
      </x:c>
      <x:c r="AR13" s="14" t="str">
        <x:v>null</x:v>
      </x:c>
      <x:c r="AS13" s="14" t="str">
        <x:v>UO_0000065</x:v>
      </x:c>
      <x:c r="AT13" s="14" t="str">
        <x:v>null</x:v>
      </x:c>
      <x:c r="AU13" s="14" t="str">
        <x:v>6.91</x:v>
      </x:c>
      <x:c r="AV13" s="15" t="n">
        <x:v>0.00501</x:v>
      </x:c>
      <x:c r="AW13" s="14" t="str">
        <x:v>exclude</x:v>
      </x:c>
      <x:c r="AX13" s="14" t="str">
        <x:v>multiple_source_records_for_full_parent_identity</x:v>
      </x:c>
      <x:c r="AY13" s="15" t="n">
        <x:v>123.02687708123811</x:v>
      </x:c>
      <x:c r="AZ13" s="14" t="str">
        <x:v>source_reported_pKi</x:v>
      </x:c>
      <x:c r="BA13" s="15" t="n">
        <x:v>6.91</x:v>
      </x:c>
      <x:c r="BB13" s="14" t="str">
        <x:v>6cc8558ed72c30e952e25a4d6337f3a3a0e3af95f919871ea82f7497a0516262</x:v>
      </x:c>
      <x:c r="BC13" s="14" t="str">
        <x:v>RRSUWPYFZSEELD-AVRDEDQJSA-N</x:v>
      </x:c>
      <x:c r="BD13" s="14" t="str">
        <x:v>Cc1ncoc1-c1nnc(SCCCN2CC[C@]3(C[C@H]3c3ccccc3C(F)(F)F)C2)n1C</x:v>
      </x:c>
      <x:c r="BE13" s="14" t="str">
        <x:v>Cc1ncoc1-c1nnc(SCCCN2CCC3(CC3c3ccccc3C(F)(F)F)C2)n1C</x:v>
      </x:c>
      <x:c r="BF13" s="14" t="str">
        <x:v>Cc1ncoc1-c1nnc(SCCCN2CC[C@]3(C[C@H]3c3ccccc3C(F)(F)F)C2)n1C</x:v>
      </x:c>
      <x:c r="BG13" s="16" t="n">
        <x:v>-0.000011024007147142356</x:v>
      </x:c>
      <x:c r="BH13" s="15" t="n">
        <x:v>6.909988975992853</x:v>
      </x:c>
      <x:c r="BI13" s="14" t="str">
        <x:v>c1ccc(C2CC23CCN(CCCSc2nnc(-c4cnco4)[nH]2)C3)cc1</x:v>
      </x:c>
      <x:c r="BJ13" s="17" t="n">
        <x:v>2</x:v>
      </x:c>
      <x:c r="BK13" s="15" t="n">
        <x:v>123.03</x:v>
      </x:c>
      <x:c r="BL13" s="16" t="n">
        <x:v>0.003122918761889082</x:v>
      </x:c>
      <x:c r="BM13" s="14" t="str">
        <x:v>false</x:v>
      </x:c>
    </x:row>
    <x:row r="14" ht="51" customHeight="1">
      <x:c r="A14" s="9" t="str">
        <x:v>null</x:v>
      </x:c>
      <x:c r="B14" s="9" t="str">
        <x:v>null</x:v>
      </x:c>
      <x:c r="C14" s="9" t="str">
        <x:v>16670152</x:v>
      </x:c>
      <x:c r="D14" s="9" t="str">
        <x:v>[]</x:v>
      </x:c>
      <x:c r="E14" s="9" t="str">
        <x:v>CHEMBL3855278</x:v>
      </x:c>
      <x:c r="F14" s="9" t="str">
        <x:v>Displacement of [3H]-spiperone from human dopamine D2 receptor expressed in CHO-K1 cell membranes coexpressing Galpha16 after 120 mins by liquid scintillation counting</x:v>
      </x:c>
      <x:c r="G14" s="9" t="str">
        <x:v>B</x:v>
      </x:c>
      <x:c r="H14" s="9" t="str">
        <x:v>null</x:v>
      </x:c>
      <x:c r="I14" s="9" t="str">
        <x:v>null</x:v>
      </x:c>
      <x:c r="J14" s="9" t="str">
        <x:v>BAO_0000192</x:v>
      </x:c>
      <x:c r="K14" s="9" t="str">
        <x:v>BAO_0000219</x:v>
      </x:c>
      <x:c r="L14" s="9" t="str">
        <x:v>cell-based format</x:v>
      </x:c>
      <x:c r="M14" s="9" t="str">
        <x:v>Cc1ncoc1-c1nnc(SCCCN2CC[C@]3(C[C@H]3c3ccccc3C(F)(F)F)C2)n1C</x:v>
      </x:c>
      <x:c r="N14" s="9" t="str">
        <x:v>null</x:v>
      </x:c>
      <x:c r="O14" s="9" t="str">
        <x:v>null</x:v>
      </x:c>
      <x:c r="P14" s="9" t="str">
        <x:v>CHEMBL3853329</x:v>
      </x:c>
      <x:c r="Q14" s="9" t="str">
        <x:v>J Med Chem</x:v>
      </x:c>
      <x:c r="R14" s="13" t="n">
        <x:v>2016</x:v>
      </x:c>
      <x:c r="S14" s="9" t="str">
        <x:v>{"bei":"12.86","le":"0.25","lle":"0.98","sei":"10.24"}</x:v>
      </x:c>
      <x:c r="T14" s="9" t="str">
        <x:v>null</x:v>
      </x:c>
      <x:c r="U14" s="9" t="str">
        <x:v>CHEMBL3914195</x:v>
      </x:c>
      <x:c r="V14" s="9" t="str">
        <x:v>null</x:v>
      </x:c>
      <x:c r="W14" s="9" t="str">
        <x:v>CHEMBL3914195</x:v>
      </x:c>
      <x:c r="X14" s="11" t="n">
        <x:v>6.14</x:v>
      </x:c>
      <x:c r="Y14" s="13" t="n">
        <x:v>0</x:v>
      </x:c>
      <x:c r="Z14" s="9" t="str">
        <x:v>http://www.openphacts.org/units/Nanomolar</x:v>
      </x:c>
      <x:c r="AA14" s="9" t="str">
        <x:v>2796792</x:v>
      </x:c>
      <x:c r="AB14" s="9" t="str">
        <x:v>=</x:v>
      </x:c>
      <x:c r="AC14" s="9" t="str">
        <x:v>1</x:v>
      </x:c>
      <x:c r="AD14" s="13" t="n">
        <x:v>1</x:v>
      </x:c>
      <x:c r="AE14" s="9" t="str">
        <x:v>=</x:v>
      </x:c>
      <x:c r="AF14" s="9" t="str">
        <x:v>null</x:v>
      </x:c>
      <x:c r="AG14" s="9" t="str">
        <x:v>Ki</x:v>
      </x:c>
      <x:c r="AH14" s="9" t="str">
        <x:v>nM</x:v>
      </x:c>
      <x:c r="AI14" s="9" t="str">
        <x:v>null</x:v>
      </x:c>
      <x:c r="AJ14" s="11" t="n">
        <x:v>724.44</x:v>
      </x:c>
      <x:c r="AK14" s="9" t="str">
        <x:v>CHEMBL217</x:v>
      </x:c>
      <x:c r="AL14" s="9" t="str">
        <x:v>Homo sapiens</x:v>
      </x:c>
      <x:c r="AM14" s="9" t="str">
        <x:v>D(2) dopamine receptor</x:v>
      </x:c>
      <x:c r="AN14" s="9" t="str">
        <x:v>9606</x:v>
      </x:c>
      <x:c r="AO14" s="9" t="str">
        <x:v>null</x:v>
      </x:c>
      <x:c r="AP14" s="9" t="str">
        <x:v>null</x:v>
      </x:c>
      <x:c r="AQ14" s="9" t="str">
        <x:v>pKi</x:v>
      </x:c>
      <x:c r="AR14" s="9" t="str">
        <x:v>null</x:v>
      </x:c>
      <x:c r="AS14" s="9" t="str">
        <x:v>UO_0000065</x:v>
      </x:c>
      <x:c r="AT14" s="9" t="str">
        <x:v>null</x:v>
      </x:c>
      <x:c r="AU14" s="9" t="str">
        <x:v>6.14</x:v>
      </x:c>
      <x:c r="AV14" s="11" t="n">
        <x:v>0.00501</x:v>
      </x:c>
      <x:c r="AW14" s="9" t="str">
        <x:v>exclude</x:v>
      </x:c>
      <x:c r="AX14" s="9" t="str">
        <x:v>multiple_source_records_for_full_parent_identity</x:v>
      </x:c>
      <x:c r="AY14" s="11" t="n">
        <x:v>724.4359600749906</x:v>
      </x:c>
      <x:c r="AZ14" s="9" t="str">
        <x:v>source_reported_pKi</x:v>
      </x:c>
      <x:c r="BA14" s="11" t="n">
        <x:v>6.14</x:v>
      </x:c>
      <x:c r="BB14" s="9" t="str">
        <x:v>6cc8558ed72c30e952e25a4d6337f3a3a0e3af95f919871ea82f7497a0516262</x:v>
      </x:c>
      <x:c r="BC14" s="9" t="str">
        <x:v>RRSUWPYFZSEELD-AVRDEDQJSA-N</x:v>
      </x:c>
      <x:c r="BD14" s="9" t="str">
        <x:v>Cc1ncoc1-c1nnc(SCCCN2CC[C@]3(C[C@H]3c3ccccc3C(F)(F)F)C2)n1C</x:v>
      </x:c>
      <x:c r="BE14" s="9" t="str">
        <x:v>Cc1ncoc1-c1nnc(SCCCN2CCC3(CC3c3ccccc3C(F)(F)F)C2)n1C</x:v>
      </x:c>
      <x:c r="BF14" s="9" t="str">
        <x:v>Cc1ncoc1-c1nnc(SCCCN2CC[C@]3(C[C@H]3c3ccccc3C(F)(F)F)C2)n1C</x:v>
      </x:c>
      <x:c r="BG14" s="12" t="n">
        <x:v>-0.0000024219010974491084</x:v>
      </x:c>
      <x:c r="BH14" s="11" t="n">
        <x:v>6.139997578098902</x:v>
      </x:c>
      <x:c r="BI14" s="9" t="str">
        <x:v>c1ccc(C2CC23CCN(CCCSc2nnc(-c4cnco4)[nH]2)C3)cc1</x:v>
      </x:c>
      <x:c r="BJ14" s="13" t="n">
        <x:v>2</x:v>
      </x:c>
      <x:c r="BK14" s="11" t="n">
        <x:v>724.44</x:v>
      </x:c>
      <x:c r="BL14" s="12" t="n">
        <x:v>0.004039925009465151</x:v>
      </x:c>
      <x:c r="BM14" s="9" t="str">
        <x:v>false</x:v>
      </x:c>
    </x:row>
    <x:row r="15" ht="51" customHeight="1">
      <x:c r="A15" s="14" t="str">
        <x:v>null</x:v>
      </x:c>
      <x:c r="B15" s="14" t="str">
        <x:v>null</x:v>
      </x:c>
      <x:c r="C15" s="14" t="str">
        <x:v>16670155</x:v>
      </x:c>
      <x:c r="D15" s="14" t="str">
        <x:v>[]</x:v>
      </x:c>
      <x:c r="E15" s="14" t="str">
        <x:v>CHEMBL3855278</x:v>
      </x:c>
      <x:c r="F15" s="14" t="str">
        <x:v>Displacement of [3H]-spiperone from human dopamine D2 receptor expressed in CHO-K1 cell membranes coexpressing Galpha16 after 120 mins by liquid scintillation counting</x:v>
      </x:c>
      <x:c r="G15" s="14" t="str">
        <x:v>B</x:v>
      </x:c>
      <x:c r="H15" s="14" t="str">
        <x:v>null</x:v>
      </x:c>
      <x:c r="I15" s="14" t="str">
        <x:v>null</x:v>
      </x:c>
      <x:c r="J15" s="14" t="str">
        <x:v>BAO_0000192</x:v>
      </x:c>
      <x:c r="K15" s="14" t="str">
        <x:v>BAO_0000219</x:v>
      </x:c>
      <x:c r="L15" s="14" t="str">
        <x:v>cell-based format</x:v>
      </x:c>
      <x:c r="M15" s="14" t="str">
        <x:v>Cc1ncoc1-c1nnc(SCCCN2CC[C@]3(C[C@H]3c3ccc(F)cc3)C2)n1C</x:v>
      </x:c>
      <x:c r="N15" s="14" t="str">
        <x:v>null</x:v>
      </x:c>
      <x:c r="O15" s="14" t="str">
        <x:v>null</x:v>
      </x:c>
      <x:c r="P15" s="14" t="str">
        <x:v>CHEMBL3853329</x:v>
      </x:c>
      <x:c r="Q15" s="14" t="str">
        <x:v>J Med Chem</x:v>
      </x:c>
      <x:c r="R15" s="17" t="n">
        <x:v>2016</x:v>
      </x:c>
      <x:c r="S15" s="14" t="str">
        <x:v>{"bei":"14.06","le":"0.27","lle":"1.73","sei":"10.02"}</x:v>
      </x:c>
      <x:c r="T15" s="14" t="str">
        <x:v>null</x:v>
      </x:c>
      <x:c r="U15" s="14" t="str">
        <x:v>CHEMBL3950264</x:v>
      </x:c>
      <x:c r="V15" s="14" t="str">
        <x:v>null</x:v>
      </x:c>
      <x:c r="W15" s="14" t="str">
        <x:v>CHEMBL3950264</x:v>
      </x:c>
      <x:c r="X15" s="15" t="n">
        <x:v>6.01</x:v>
      </x:c>
      <x:c r="Y15" s="17" t="n">
        <x:v>0</x:v>
      </x:c>
      <x:c r="Z15" s="14" t="str">
        <x:v>http://www.openphacts.org/units/Nanomolar</x:v>
      </x:c>
      <x:c r="AA15" s="14" t="str">
        <x:v>2796795</x:v>
      </x:c>
      <x:c r="AB15" s="14" t="str">
        <x:v>=</x:v>
      </x:c>
      <x:c r="AC15" s="14" t="str">
        <x:v>1</x:v>
      </x:c>
      <x:c r="AD15" s="17" t="n">
        <x:v>1</x:v>
      </x:c>
      <x:c r="AE15" s="14" t="str">
        <x:v>=</x:v>
      </x:c>
      <x:c r="AF15" s="14" t="str">
        <x:v>null</x:v>
      </x:c>
      <x:c r="AG15" s="14" t="str">
        <x:v>Ki</x:v>
      </x:c>
      <x:c r="AH15" s="14" t="str">
        <x:v>nM</x:v>
      </x:c>
      <x:c r="AI15" s="14" t="str">
        <x:v>null</x:v>
      </x:c>
      <x:c r="AJ15" s="15" t="n">
        <x:v>977.24</x:v>
      </x:c>
      <x:c r="AK15" s="14" t="str">
        <x:v>CHEMBL217</x:v>
      </x:c>
      <x:c r="AL15" s="14" t="str">
        <x:v>Homo sapiens</x:v>
      </x:c>
      <x:c r="AM15" s="14" t="str">
        <x:v>D(2) dopamine receptor</x:v>
      </x:c>
      <x:c r="AN15" s="14" t="str">
        <x:v>9606</x:v>
      </x:c>
      <x:c r="AO15" s="14" t="str">
        <x:v>null</x:v>
      </x:c>
      <x:c r="AP15" s="14" t="str">
        <x:v>null</x:v>
      </x:c>
      <x:c r="AQ15" s="14" t="str">
        <x:v>pKi</x:v>
      </x:c>
      <x:c r="AR15" s="14" t="str">
        <x:v>null</x:v>
      </x:c>
      <x:c r="AS15" s="14" t="str">
        <x:v>UO_0000065</x:v>
      </x:c>
      <x:c r="AT15" s="14" t="str">
        <x:v>null</x:v>
      </x:c>
      <x:c r="AU15" s="14" t="str">
        <x:v>6.01</x:v>
      </x:c>
      <x:c r="AV15" s="15" t="n">
        <x:v>0.00501</x:v>
      </x:c>
      <x:c r="AW15" s="14" t="str">
        <x:v>exclude</x:v>
      </x:c>
      <x:c r="AX15" s="14" t="str">
        <x:v>multiple_source_records_for_full_parent_identity</x:v>
      </x:c>
      <x:c r="AY15" s="15" t="n">
        <x:v>977.2372209558112</x:v>
      </x:c>
      <x:c r="AZ15" s="14" t="str">
        <x:v>source_reported_pKi</x:v>
      </x:c>
      <x:c r="BA15" s="15" t="n">
        <x:v>6.01</x:v>
      </x:c>
      <x:c r="BB15" s="14" t="str">
        <x:v>11dae94f2537e3de53d4676993b2e8692184d1b1025b7614e70e1fcad4b3efb8</x:v>
      </x:c>
      <x:c r="BC15" s="14" t="str">
        <x:v>XRDPJIJIWYVCKW-AVRDEDQJSA-N</x:v>
      </x:c>
      <x:c r="BD15" s="14" t="str">
        <x:v>Cc1ncoc1-c1nnc(SCCCN2CC[C@]3(C[C@H]3c3ccc(F)cc3)C2)n1C</x:v>
      </x:c>
      <x:c r="BE15" s="14" t="str">
        <x:v>Cc1ncoc1-c1nnc(SCCCN2CCC3(CC3c3ccc(F)cc3)C2)n1C</x:v>
      </x:c>
      <x:c r="BF15" s="14" t="str">
        <x:v>Cc1ncoc1-c1nnc(SCCCN2CC[C@]3(C[C@H]3c3ccc(F)cc3)C2)n1C</x:v>
      </x:c>
      <x:c r="BG15" s="16" t="n">
        <x:v>-0.0000012350346612066687</x:v>
      </x:c>
      <x:c r="BH15" s="15" t="n">
        <x:v>6.009998764965339</x:v>
      </x:c>
      <x:c r="BI15" s="14" t="str">
        <x:v>c1ccc(C2CC23CCN(CCCSc2nnc(-c4cnco4)[nH]2)C3)cc1</x:v>
      </x:c>
      <x:c r="BJ15" s="17" t="n">
        <x:v>2</x:v>
      </x:c>
      <x:c r="BK15" s="15" t="n">
        <x:v>977.24</x:v>
      </x:c>
      <x:c r="BL15" s="16" t="n">
        <x:v>0.0027790441888555506</x:v>
      </x:c>
      <x:c r="BM15" s="14" t="str">
        <x:v>false</x:v>
      </x:c>
    </x:row>
    <x:row r="16" ht="51" customHeight="1">
      <x:c r="A16" s="9" t="str">
        <x:v>null</x:v>
      </x:c>
      <x:c r="B16" s="9" t="str">
        <x:v>null</x:v>
      </x:c>
      <x:c r="C16" s="9" t="str">
        <x:v>16670156</x:v>
      </x:c>
      <x:c r="D16" s="9" t="str">
        <x:v>[]</x:v>
      </x:c>
      <x:c r="E16" s="9" t="str">
        <x:v>CHEMBL3855278</x:v>
      </x:c>
      <x:c r="F16" s="9" t="str">
        <x:v>Displacement of [3H]-spiperone from human dopamine D2 receptor expressed in CHO-K1 cell membranes coexpressing Galpha16 after 120 mins by liquid scintillation counting</x:v>
      </x:c>
      <x:c r="G16" s="9" t="str">
        <x:v>B</x:v>
      </x:c>
      <x:c r="H16" s="9" t="str">
        <x:v>null</x:v>
      </x:c>
      <x:c r="I16" s="9" t="str">
        <x:v>null</x:v>
      </x:c>
      <x:c r="J16" s="9" t="str">
        <x:v>BAO_0000192</x:v>
      </x:c>
      <x:c r="K16" s="9" t="str">
        <x:v>BAO_0000219</x:v>
      </x:c>
      <x:c r="L16" s="9" t="str">
        <x:v>cell-based format</x:v>
      </x:c>
      <x:c r="M16" s="9" t="str">
        <x:v>Cc1ncoc1-c1nnc(SCCCN2CC[C@]3(C[C@H]3c3ccc(F)cc3)C2)n1C</x:v>
      </x:c>
      <x:c r="N16" s="9" t="str">
        <x:v>null</x:v>
      </x:c>
      <x:c r="O16" s="9" t="str">
        <x:v>null</x:v>
      </x:c>
      <x:c r="P16" s="9" t="str">
        <x:v>CHEMBL3853329</x:v>
      </x:c>
      <x:c r="Q16" s="9" t="str">
        <x:v>J Med Chem</x:v>
      </x:c>
      <x:c r="R16" s="13" t="n">
        <x:v>2016</x:v>
      </x:c>
      <x:c r="S16" s="9" t="str">
        <x:v>{"bei":"13.94","le":"0.27","lle":"1.68","sei":"9.94"}</x:v>
      </x:c>
      <x:c r="T16" s="9" t="str">
        <x:v>null</x:v>
      </x:c>
      <x:c r="U16" s="9" t="str">
        <x:v>CHEMBL3950264</x:v>
      </x:c>
      <x:c r="V16" s="9" t="str">
        <x:v>null</x:v>
      </x:c>
      <x:c r="W16" s="9" t="str">
        <x:v>CHEMBL3950264</x:v>
      </x:c>
      <x:c r="X16" s="11" t="n">
        <x:v>5.96</x:v>
      </x:c>
      <x:c r="Y16" s="13" t="n">
        <x:v>0</x:v>
      </x:c>
      <x:c r="Z16" s="9" t="str">
        <x:v>http://www.openphacts.org/units/Nanomolar</x:v>
      </x:c>
      <x:c r="AA16" s="9" t="str">
        <x:v>2796796</x:v>
      </x:c>
      <x:c r="AB16" s="9" t="str">
        <x:v>=</x:v>
      </x:c>
      <x:c r="AC16" s="9" t="str">
        <x:v>1</x:v>
      </x:c>
      <x:c r="AD16" s="13" t="n">
        <x:v>1</x:v>
      </x:c>
      <x:c r="AE16" s="9" t="str">
        <x:v>=</x:v>
      </x:c>
      <x:c r="AF16" s="9" t="str">
        <x:v>null</x:v>
      </x:c>
      <x:c r="AG16" s="9" t="str">
        <x:v>Ki</x:v>
      </x:c>
      <x:c r="AH16" s="9" t="str">
        <x:v>nM</x:v>
      </x:c>
      <x:c r="AI16" s="9" t="str">
        <x:v>null</x:v>
      </x:c>
      <x:c r="AJ16" s="11" t="n">
        <x:v>1096.48</x:v>
      </x:c>
      <x:c r="AK16" s="9" t="str">
        <x:v>CHEMBL217</x:v>
      </x:c>
      <x:c r="AL16" s="9" t="str">
        <x:v>Homo sapiens</x:v>
      </x:c>
      <x:c r="AM16" s="9" t="str">
        <x:v>D(2) dopamine receptor</x:v>
      </x:c>
      <x:c r="AN16" s="9" t="str">
        <x:v>9606</x:v>
      </x:c>
      <x:c r="AO16" s="9" t="str">
        <x:v>null</x:v>
      </x:c>
      <x:c r="AP16" s="9" t="str">
        <x:v>null</x:v>
      </x:c>
      <x:c r="AQ16" s="9" t="str">
        <x:v>pKi</x:v>
      </x:c>
      <x:c r="AR16" s="9" t="str">
        <x:v>null</x:v>
      </x:c>
      <x:c r="AS16" s="9" t="str">
        <x:v>UO_0000065</x:v>
      </x:c>
      <x:c r="AT16" s="9" t="str">
        <x:v>null</x:v>
      </x:c>
      <x:c r="AU16" s="9" t="str">
        <x:v>5.96</x:v>
      </x:c>
      <x:c r="AV16" s="11" t="n">
        <x:v>0.00501</x:v>
      </x:c>
      <x:c r="AW16" s="9" t="str">
        <x:v>exclude</x:v>
      </x:c>
      <x:c r="AX16" s="9" t="str">
        <x:v>multiple_source_records_for_full_parent_identity</x:v>
      </x:c>
      <x:c r="AY16" s="11" t="n">
        <x:v>1096.4781961431852</x:v>
      </x:c>
      <x:c r="AZ16" s="9" t="str">
        <x:v>source_reported_pKi</x:v>
      </x:c>
      <x:c r="BA16" s="11" t="n">
        <x:v>5.96</x:v>
      </x:c>
      <x:c r="BB16" s="9" t="str">
        <x:v>11dae94f2537e3de53d4676993b2e8692184d1b1025b7614e70e1fcad4b3efb8</x:v>
      </x:c>
      <x:c r="BC16" s="9" t="str">
        <x:v>XRDPJIJIWYVCKW-AVRDEDQJSA-N</x:v>
      </x:c>
      <x:c r="BD16" s="9" t="str">
        <x:v>Cc1ncoc1-c1nnc(SCCCN2CC[C@]3(C[C@H]3c3ccc(F)cc3)C2)n1C</x:v>
      </x:c>
      <x:c r="BE16" s="9" t="str">
        <x:v>Cc1ncoc1-c1nnc(SCCCN2CCC3(CC3c3ccc(F)cc3)C2)n1C</x:v>
      </x:c>
      <x:c r="BF16" s="9" t="str">
        <x:v>Cc1ncoc1-c1nnc(SCCCN2CC[C@]3(C[C@H]3c3ccc(F)cc3)C2)n1C</x:v>
      </x:c>
      <x:c r="BG16" s="12" t="n">
        <x:v>-7.144733196184916e-7</x:v>
      </x:c>
      <x:c r="BH16" s="11" t="n">
        <x:v>5.95999928552668</x:v>
      </x:c>
      <x:c r="BI16" s="9" t="str">
        <x:v>c1ccc(C2CC23CCN(CCCSc2nnc(-c4cnco4)[nH]2)C3)cc1</x:v>
      </x:c>
      <x:c r="BJ16" s="13" t="n">
        <x:v>2</x:v>
      </x:c>
      <x:c r="BK16" s="11" t="n">
        <x:v>1096.48</x:v>
      </x:c>
      <x:c r="BL16" s="12" t="n">
        <x:v>0.0018038568148313061</x:v>
      </x:c>
      <x:c r="BM16" s="9" t="str">
        <x:v>false</x:v>
      </x:c>
    </x:row>
    <x:row r="17" ht="51" customHeight="1">
      <x:c r="A17" s="14" t="str">
        <x:v>null</x:v>
      </x:c>
      <x:c r="B17" s="14" t="str">
        <x:v>null</x:v>
      </x:c>
      <x:c r="C17" s="14" t="str">
        <x:v>16670158</x:v>
      </x:c>
      <x:c r="D17" s="14" t="str">
        <x:v>[]</x:v>
      </x:c>
      <x:c r="E17" s="14" t="str">
        <x:v>CHEMBL3855278</x:v>
      </x:c>
      <x:c r="F17" s="14" t="str">
        <x:v>Displacement of [3H]-spiperone from human dopamine D2 receptor expressed in CHO-K1 cell membranes coexpressing Galpha16 after 120 mins by liquid scintillation counting</x:v>
      </x:c>
      <x:c r="G17" s="14" t="str">
        <x:v>B</x:v>
      </x:c>
      <x:c r="H17" s="14" t="str">
        <x:v>null</x:v>
      </x:c>
      <x:c r="I17" s="14" t="str">
        <x:v>null</x:v>
      </x:c>
      <x:c r="J17" s="14" t="str">
        <x:v>BAO_0000192</x:v>
      </x:c>
      <x:c r="K17" s="14" t="str">
        <x:v>BAO_0000219</x:v>
      </x:c>
      <x:c r="L17" s="14" t="str">
        <x:v>cell-based format</x:v>
      </x:c>
      <x:c r="M17" s="14" t="str">
        <x:v>Cc1ncoc1-c1nnc(SCCCN2CC[C@]3(C[C@@H]3c3ccc(F)cc3)C2)n1C</x:v>
      </x:c>
      <x:c r="N17" s="14" t="str">
        <x:v>null</x:v>
      </x:c>
      <x:c r="O17" s="14" t="str">
        <x:v>null</x:v>
      </x:c>
      <x:c r="P17" s="14" t="str">
        <x:v>CHEMBL3853329</x:v>
      </x:c>
      <x:c r="Q17" s="14" t="str">
        <x:v>J Med Chem</x:v>
      </x:c>
      <x:c r="R17" s="17" t="n">
        <x:v>2016</x:v>
      </x:c>
      <x:c r="S17" s="14" t="str">
        <x:v>{"bei":"14.90","le":"0.29","lle":"2.09","sei":"10.62"}</x:v>
      </x:c>
      <x:c r="T17" s="14" t="str">
        <x:v>null</x:v>
      </x:c>
      <x:c r="U17" s="14" t="str">
        <x:v>CHEMBL3922143</x:v>
      </x:c>
      <x:c r="V17" s="14" t="str">
        <x:v>null</x:v>
      </x:c>
      <x:c r="W17" s="14" t="str">
        <x:v>CHEMBL3922143</x:v>
      </x:c>
      <x:c r="X17" s="15" t="n">
        <x:v>6.37</x:v>
      </x:c>
      <x:c r="Y17" s="17" t="n">
        <x:v>0</x:v>
      </x:c>
      <x:c r="Z17" s="14" t="str">
        <x:v>http://www.openphacts.org/units/Nanomolar</x:v>
      </x:c>
      <x:c r="AA17" s="14" t="str">
        <x:v>2796798</x:v>
      </x:c>
      <x:c r="AB17" s="14" t="str">
        <x:v>=</x:v>
      </x:c>
      <x:c r="AC17" s="14" t="str">
        <x:v>1</x:v>
      </x:c>
      <x:c r="AD17" s="17" t="n">
        <x:v>1</x:v>
      </x:c>
      <x:c r="AE17" s="14" t="str">
        <x:v>=</x:v>
      </x:c>
      <x:c r="AF17" s="14" t="str">
        <x:v>null</x:v>
      </x:c>
      <x:c r="AG17" s="14" t="str">
        <x:v>Ki</x:v>
      </x:c>
      <x:c r="AH17" s="14" t="str">
        <x:v>nM</x:v>
      </x:c>
      <x:c r="AI17" s="14" t="str">
        <x:v>null</x:v>
      </x:c>
      <x:c r="AJ17" s="15" t="n">
        <x:v>426.58</x:v>
      </x:c>
      <x:c r="AK17" s="14" t="str">
        <x:v>CHEMBL217</x:v>
      </x:c>
      <x:c r="AL17" s="14" t="str">
        <x:v>Homo sapiens</x:v>
      </x:c>
      <x:c r="AM17" s="14" t="str">
        <x:v>D(2) dopamine receptor</x:v>
      </x:c>
      <x:c r="AN17" s="14" t="str">
        <x:v>9606</x:v>
      </x:c>
      <x:c r="AO17" s="14" t="str">
        <x:v>null</x:v>
      </x:c>
      <x:c r="AP17" s="14" t="str">
        <x:v>null</x:v>
      </x:c>
      <x:c r="AQ17" s="14" t="str">
        <x:v>pKi</x:v>
      </x:c>
      <x:c r="AR17" s="14" t="str">
        <x:v>null</x:v>
      </x:c>
      <x:c r="AS17" s="14" t="str">
        <x:v>UO_0000065</x:v>
      </x:c>
      <x:c r="AT17" s="14" t="str">
        <x:v>null</x:v>
      </x:c>
      <x:c r="AU17" s="14" t="str">
        <x:v>6.37</x:v>
      </x:c>
      <x:c r="AV17" s="15" t="n">
        <x:v>0.00501</x:v>
      </x:c>
      <x:c r="AW17" s="14" t="str">
        <x:v>exclude</x:v>
      </x:c>
      <x:c r="AX17" s="14" t="str">
        <x:v>multiple_source_records_for_full_parent_identity</x:v>
      </x:c>
      <x:c r="AY17" s="15" t="n">
        <x:v>426.57951880159254</x:v>
      </x:c>
      <x:c r="AZ17" s="14" t="str">
        <x:v>source_reported_pKi</x:v>
      </x:c>
      <x:c r="BA17" s="15" t="n">
        <x:v>6.37</x:v>
      </x:c>
      <x:c r="BB17" s="14" t="str">
        <x:v>11dae94f2537e3de53d4676993b2e8692184d1b1025b7614e70e1fcad4b3efb8</x:v>
      </x:c>
      <x:c r="BC17" s="14" t="str">
        <x:v>XRDPJIJIWYVCKW-GCJKJVERSA-N</x:v>
      </x:c>
      <x:c r="BD17" s="14" t="str">
        <x:v>Cc1ncoc1-c1nnc(SCCCN2CC[C@]3(C[C@@H]3c3ccc(F)cc3)C2)n1C</x:v>
      </x:c>
      <x:c r="BE17" s="14" t="str">
        <x:v>Cc1ncoc1-c1nnc(SCCCN2CCC3(CC3c3ccc(F)cc3)C2)n1C</x:v>
      </x:c>
      <x:c r="BF17" s="14" t="str">
        <x:v>Cc1ncoc1-c1nnc(SCCCN2CC[C@]3(C[C@@H]3c3ccc(F)cc3)C2)n1C</x:v>
      </x:c>
      <x:c r="BG17" s="16" t="n">
        <x:v>-4.899009118375375e-7</x:v>
      </x:c>
      <x:c r="BH17" s="15" t="n">
        <x:v>6.369999510099088</x:v>
      </x:c>
      <x:c r="BI17" s="14" t="str">
        <x:v>c1ccc(C2CC23CCN(CCCSc2nnc(-c4cnco4)[nH]2)C3)cc1</x:v>
      </x:c>
      <x:c r="BJ17" s="17" t="n">
        <x:v>2</x:v>
      </x:c>
      <x:c r="BK17" s="15" t="n">
        <x:v>426.58</x:v>
      </x:c>
      <x:c r="BL17" s="16" t="n">
        <x:v>0.0004811984074422071</x:v>
      </x:c>
      <x:c r="BM17" s="14" t="str">
        <x:v>false</x:v>
      </x:c>
    </x:row>
    <x:row r="18" ht="51" customHeight="1">
      <x:c r="A18" s="9" t="str">
        <x:v>null</x:v>
      </x:c>
      <x:c r="B18" s="9" t="str">
        <x:v>null</x:v>
      </x:c>
      <x:c r="C18" s="9" t="str">
        <x:v>16670159</x:v>
      </x:c>
      <x:c r="D18" s="9" t="str">
        <x:v>[]</x:v>
      </x:c>
      <x:c r="E18" s="9" t="str">
        <x:v>CHEMBL3855278</x:v>
      </x:c>
      <x:c r="F18" s="9" t="str">
        <x:v>Displacement of [3H]-spiperone from human dopamine D2 receptor expressed in CHO-K1 cell membranes coexpressing Galpha16 after 120 mins by liquid scintillation counting</x:v>
      </x:c>
      <x:c r="G18" s="9" t="str">
        <x:v>B</x:v>
      </x:c>
      <x:c r="H18" s="9" t="str">
        <x:v>null</x:v>
      </x:c>
      <x:c r="I18" s="9" t="str">
        <x:v>null</x:v>
      </x:c>
      <x:c r="J18" s="9" t="str">
        <x:v>BAO_0000192</x:v>
      </x:c>
      <x:c r="K18" s="9" t="str">
        <x:v>BAO_0000219</x:v>
      </x:c>
      <x:c r="L18" s="9" t="str">
        <x:v>cell-based format</x:v>
      </x:c>
      <x:c r="M18" s="9" t="str">
        <x:v>Cc1ncoc1-c1nnc(SCCCN2CC[C@]3(C[C@@H]3c3ccc(F)cc3)C2)n1C</x:v>
      </x:c>
      <x:c r="N18" s="9" t="str">
        <x:v>null</x:v>
      </x:c>
      <x:c r="O18" s="9" t="str">
        <x:v>null</x:v>
      </x:c>
      <x:c r="P18" s="9" t="str">
        <x:v>CHEMBL3853329</x:v>
      </x:c>
      <x:c r="Q18" s="9" t="str">
        <x:v>J Med Chem</x:v>
      </x:c>
      <x:c r="R18" s="13" t="n">
        <x:v>2016</x:v>
      </x:c>
      <x:c r="S18" s="9" t="str">
        <x:v>{"bei":"11.91","le":"0.23","lle":"0.81","sei":"8.49"}</x:v>
      </x:c>
      <x:c r="T18" s="9" t="str">
        <x:v>null</x:v>
      </x:c>
      <x:c r="U18" s="9" t="str">
        <x:v>CHEMBL3922143</x:v>
      </x:c>
      <x:c r="V18" s="9" t="str">
        <x:v>null</x:v>
      </x:c>
      <x:c r="W18" s="9" t="str">
        <x:v>CHEMBL3922143</x:v>
      </x:c>
      <x:c r="X18" s="11" t="n">
        <x:v>5.09</x:v>
      </x:c>
      <x:c r="Y18" s="13" t="n">
        <x:v>0</x:v>
      </x:c>
      <x:c r="Z18" s="9" t="str">
        <x:v>http://www.openphacts.org/units/Nanomolar</x:v>
      </x:c>
      <x:c r="AA18" s="9" t="str">
        <x:v>2796799</x:v>
      </x:c>
      <x:c r="AB18" s="9" t="str">
        <x:v>=</x:v>
      </x:c>
      <x:c r="AC18" s="9" t="str">
        <x:v>1</x:v>
      </x:c>
      <x:c r="AD18" s="13" t="n">
        <x:v>1</x:v>
      </x:c>
      <x:c r="AE18" s="9" t="str">
        <x:v>=</x:v>
      </x:c>
      <x:c r="AF18" s="9" t="str">
        <x:v>null</x:v>
      </x:c>
      <x:c r="AG18" s="9" t="str">
        <x:v>Ki</x:v>
      </x:c>
      <x:c r="AH18" s="9" t="str">
        <x:v>nM</x:v>
      </x:c>
      <x:c r="AI18" s="9" t="str">
        <x:v>null</x:v>
      </x:c>
      <x:c r="AJ18" s="11" t="n">
        <x:v>8128.31</x:v>
      </x:c>
      <x:c r="AK18" s="9" t="str">
        <x:v>CHEMBL217</x:v>
      </x:c>
      <x:c r="AL18" s="9" t="str">
        <x:v>Homo sapiens</x:v>
      </x:c>
      <x:c r="AM18" s="9" t="str">
        <x:v>D(2) dopamine receptor</x:v>
      </x:c>
      <x:c r="AN18" s="9" t="str">
        <x:v>9606</x:v>
      </x:c>
      <x:c r="AO18" s="9" t="str">
        <x:v>null</x:v>
      </x:c>
      <x:c r="AP18" s="9" t="str">
        <x:v>null</x:v>
      </x:c>
      <x:c r="AQ18" s="9" t="str">
        <x:v>pKi</x:v>
      </x:c>
      <x:c r="AR18" s="9" t="str">
        <x:v>null</x:v>
      </x:c>
      <x:c r="AS18" s="9" t="str">
        <x:v>UO_0000065</x:v>
      </x:c>
      <x:c r="AT18" s="9" t="str">
        <x:v>null</x:v>
      </x:c>
      <x:c r="AU18" s="9" t="str">
        <x:v>5.09</x:v>
      </x:c>
      <x:c r="AV18" s="11" t="n">
        <x:v>0.008128305161640995</x:v>
      </x:c>
      <x:c r="AW18" s="9" t="str">
        <x:v>exclude</x:v>
      </x:c>
      <x:c r="AX18" s="9" t="str">
        <x:v>multiple_source_records_for_full_parent_identity</x:v>
      </x:c>
      <x:c r="AY18" s="11" t="n">
        <x:v>8128.305161640995</x:v>
      </x:c>
      <x:c r="AZ18" s="9" t="str">
        <x:v>source_reported_pKi</x:v>
      </x:c>
      <x:c r="BA18" s="11" t="n">
        <x:v>5.09</x:v>
      </x:c>
      <x:c r="BB18" s="9" t="str">
        <x:v>11dae94f2537e3de53d4676993b2e8692184d1b1025b7614e70e1fcad4b3efb8</x:v>
      </x:c>
      <x:c r="BC18" s="9" t="str">
        <x:v>XRDPJIJIWYVCKW-GCJKJVERSA-N</x:v>
      </x:c>
      <x:c r="BD18" s="9" t="str">
        <x:v>Cc1ncoc1-c1nnc(SCCCN2CC[C@]3(C[C@@H]3c3ccc(F)cc3)C2)n1C</x:v>
      </x:c>
      <x:c r="BE18" s="9" t="str">
        <x:v>Cc1ncoc1-c1nnc(SCCCN2CCC3(CC3c3ccc(F)cc3)C2)n1C</x:v>
      </x:c>
      <x:c r="BF18" s="9" t="str">
        <x:v>Cc1ncoc1-c1nnc(SCCCN2CC[C@]3(C[C@@H]3c3ccc(F)cc3)C2)n1C</x:v>
      </x:c>
      <x:c r="BG18" s="12" t="n">
        <x:v>-2.5851293106171624e-7</x:v>
      </x:c>
      <x:c r="BH18" s="11" t="n">
        <x:v>5.089999741487069</x:v>
      </x:c>
      <x:c r="BI18" s="9" t="str">
        <x:v>c1ccc(C2CC23CCN(CCCSc2nnc(-c4cnco4)[nH]2)C3)cc1</x:v>
      </x:c>
      <x:c r="BJ18" s="13" t="n">
        <x:v>2</x:v>
      </x:c>
      <x:c r="BK18" s="11" t="n">
        <x:v>8128.31</x:v>
      </x:c>
      <x:c r="BL18" s="12" t="n">
        <x:v>0.0048383590055891545</x:v>
      </x:c>
      <x:c r="BM18" s="9" t="str">
        <x:v>false</x:v>
      </x:c>
    </x:row>
    <x:row r="19" ht="51" customHeight="1">
      <x:c r="A19" s="14" t="str">
        <x:v>null</x:v>
      </x:c>
      <x:c r="B19" s="14" t="str">
        <x:v>null</x:v>
      </x:c>
      <x:c r="C19" s="14" t="str">
        <x:v>16670161</x:v>
      </x:c>
      <x:c r="D19" s="14" t="str">
        <x:v>[]</x:v>
      </x:c>
      <x:c r="E19" s="14" t="str">
        <x:v>CHEMBL3855278</x:v>
      </x:c>
      <x:c r="F19" s="14" t="str">
        <x:v>Displacement of [3H]-spiperone from human dopamine D2 receptor expressed in CHO-K1 cell membranes coexpressing Galpha16 after 120 mins by liquid scintillation counting</x:v>
      </x:c>
      <x:c r="G19" s="14" t="str">
        <x:v>B</x:v>
      </x:c>
      <x:c r="H19" s="14" t="str">
        <x:v>null</x:v>
      </x:c>
      <x:c r="I19" s="14" t="str">
        <x:v>null</x:v>
      </x:c>
      <x:c r="J19" s="14" t="str">
        <x:v>BAO_0000192</x:v>
      </x:c>
      <x:c r="K19" s="14" t="str">
        <x:v>BAO_0000219</x:v>
      </x:c>
      <x:c r="L19" s="14" t="str">
        <x:v>cell-based format</x:v>
      </x:c>
      <x:c r="M19" s="14" t="str">
        <x:v>Cc1ncoc1-c1nnc(SCCCN2CC[C@]3(C[C@H]3c3ccc(F)cc3F)C2)n1C</x:v>
      </x:c>
      <x:c r="N19" s="14" t="str">
        <x:v>null</x:v>
      </x:c>
      <x:c r="O19" s="14" t="str">
        <x:v>null</x:v>
      </x:c>
      <x:c r="P19" s="14" t="str">
        <x:v>CHEMBL3853329</x:v>
      </x:c>
      <x:c r="Q19" s="14" t="str">
        <x:v>J Med Chem</x:v>
      </x:c>
      <x:c r="R19" s="17" t="n">
        <x:v>2016</x:v>
      </x:c>
      <x:c r="S19" s="14" t="str">
        <x:v>{"bei":"14.07","le":"0.28","lle":"1.85","sei":"10.45"}</x:v>
      </x:c>
      <x:c r="T19" s="14" t="str">
        <x:v>null</x:v>
      </x:c>
      <x:c r="U19" s="14" t="str">
        <x:v>CHEMBL3908548</x:v>
      </x:c>
      <x:c r="V19" s="14" t="str">
        <x:v>null</x:v>
      </x:c>
      <x:c r="W19" s="14" t="str">
        <x:v>CHEMBL3908548</x:v>
      </x:c>
      <x:c r="X19" s="15" t="n">
        <x:v>6.27</x:v>
      </x:c>
      <x:c r="Y19" s="17" t="n">
        <x:v>0</x:v>
      </x:c>
      <x:c r="Z19" s="14" t="str">
        <x:v>http://www.openphacts.org/units/Nanomolar</x:v>
      </x:c>
      <x:c r="AA19" s="14" t="str">
        <x:v>2796801</x:v>
      </x:c>
      <x:c r="AB19" s="14" t="str">
        <x:v>=</x:v>
      </x:c>
      <x:c r="AC19" s="14" t="str">
        <x:v>1</x:v>
      </x:c>
      <x:c r="AD19" s="17" t="n">
        <x:v>1</x:v>
      </x:c>
      <x:c r="AE19" s="14" t="str">
        <x:v>=</x:v>
      </x:c>
      <x:c r="AF19" s="14" t="str">
        <x:v>null</x:v>
      </x:c>
      <x:c r="AG19" s="14" t="str">
        <x:v>Ki</x:v>
      </x:c>
      <x:c r="AH19" s="14" t="str">
        <x:v>nM</x:v>
      </x:c>
      <x:c r="AI19" s="14" t="str">
        <x:v>null</x:v>
      </x:c>
      <x:c r="AJ19" s="15" t="n">
        <x:v>537.03</x:v>
      </x:c>
      <x:c r="AK19" s="14" t="str">
        <x:v>CHEMBL217</x:v>
      </x:c>
      <x:c r="AL19" s="14" t="str">
        <x:v>Homo sapiens</x:v>
      </x:c>
      <x:c r="AM19" s="14" t="str">
        <x:v>D(2) dopamine receptor</x:v>
      </x:c>
      <x:c r="AN19" s="14" t="str">
        <x:v>9606</x:v>
      </x:c>
      <x:c r="AO19" s="14" t="str">
        <x:v>null</x:v>
      </x:c>
      <x:c r="AP19" s="14" t="str">
        <x:v>null</x:v>
      </x:c>
      <x:c r="AQ19" s="14" t="str">
        <x:v>pKi</x:v>
      </x:c>
      <x:c r="AR19" s="14" t="str">
        <x:v>null</x:v>
      </x:c>
      <x:c r="AS19" s="14" t="str">
        <x:v>UO_0000065</x:v>
      </x:c>
      <x:c r="AT19" s="14" t="str">
        <x:v>null</x:v>
      </x:c>
      <x:c r="AU19" s="14" t="str">
        <x:v>6.27</x:v>
      </x:c>
      <x:c r="AV19" s="15" t="n">
        <x:v>0.00501</x:v>
      </x:c>
      <x:c r="AW19" s="14" t="str">
        <x:v>exclude</x:v>
      </x:c>
      <x:c r="AX19" s="14" t="str">
        <x:v>multiple_source_records_for_full_parent_identity</x:v>
      </x:c>
      <x:c r="AY19" s="15" t="n">
        <x:v>537.0317963702532</x:v>
      </x:c>
      <x:c r="AZ19" s="14" t="str">
        <x:v>source_reported_pKi</x:v>
      </x:c>
      <x:c r="BA19" s="15" t="n">
        <x:v>6.27</x:v>
      </x:c>
      <x:c r="BB19" s="14" t="str">
        <x:v>c9bb72c84834730b0cbc7844a15d094f61b850161fa051c0501826f0896ec0e8</x:v>
      </x:c>
      <x:c r="BC19" s="14" t="str">
        <x:v>XIHOJUYAGODVFH-JTSKRJEESA-N</x:v>
      </x:c>
      <x:c r="BD19" s="14" t="str">
        <x:v>Cc1ncoc1-c1nnc(SCCCN2CC[C@]3(C[C@H]3c3ccc(F)cc3F)C2)n1C</x:v>
      </x:c>
      <x:c r="BE19" s="14" t="str">
        <x:v>Cc1ncoc1-c1nnc(SCCCN2CCC3(CC3c3ccc(F)cc3F)C2)n1C</x:v>
      </x:c>
      <x:c r="BF19" s="14" t="str">
        <x:v>Cc1ncoc1-c1nnc(SCCCN2CC[C@]3(C[C@H]3c3ccc(F)cc3F)C2)n1C</x:v>
      </x:c>
      <x:c r="BG19" s="16" t="n">
        <x:v>0.000001452716578143054</x:v>
      </x:c>
      <x:c r="BH19" s="15" t="n">
        <x:v>6.270001452716578</x:v>
      </x:c>
      <x:c r="BI19" s="14" t="str">
        <x:v>c1ccc(C2CC23CCN(CCCSc2nnc(-c4cnco4)[nH]2)C3)cc1</x:v>
      </x:c>
      <x:c r="BJ19" s="17" t="n">
        <x:v>2</x:v>
      </x:c>
      <x:c r="BK19" s="15" t="n">
        <x:v>537.03</x:v>
      </x:c>
      <x:c r="BL19" s="16" t="n">
        <x:v>-0.001796370253259738</x:v>
      </x:c>
      <x:c r="BM19" s="14" t="str">
        <x:v>false</x:v>
      </x:c>
    </x:row>
    <x:row r="20" ht="51" customHeight="1">
      <x:c r="A20" s="9" t="str">
        <x:v>null</x:v>
      </x:c>
      <x:c r="B20" s="9" t="str">
        <x:v>null</x:v>
      </x:c>
      <x:c r="C20" s="9" t="str">
        <x:v>16670162</x:v>
      </x:c>
      <x:c r="D20" s="9" t="str">
        <x:v>[]</x:v>
      </x:c>
      <x:c r="E20" s="9" t="str">
        <x:v>CHEMBL3855278</x:v>
      </x:c>
      <x:c r="F20" s="9" t="str">
        <x:v>Displacement of [3H]-spiperone from human dopamine D2 receptor expressed in CHO-K1 cell membranes coexpressing Galpha16 after 120 mins by liquid scintillation counting</x:v>
      </x:c>
      <x:c r="G20" s="9" t="str">
        <x:v>B</x:v>
      </x:c>
      <x:c r="H20" s="9" t="str">
        <x:v>null</x:v>
      </x:c>
      <x:c r="I20" s="9" t="str">
        <x:v>null</x:v>
      </x:c>
      <x:c r="J20" s="9" t="str">
        <x:v>BAO_0000192</x:v>
      </x:c>
      <x:c r="K20" s="9" t="str">
        <x:v>BAO_0000219</x:v>
      </x:c>
      <x:c r="L20" s="9" t="str">
        <x:v>cell-based format</x:v>
      </x:c>
      <x:c r="M20" s="9" t="str">
        <x:v>Cc1ncoc1-c1nnc(SCCCN2CC[C@]3(C[C@H]3c3ccc(F)cc3F)C2)n1C</x:v>
      </x:c>
      <x:c r="N20" s="9" t="str">
        <x:v>null</x:v>
      </x:c>
      <x:c r="O20" s="9" t="str">
        <x:v>null</x:v>
      </x:c>
      <x:c r="P20" s="9" t="str">
        <x:v>CHEMBL3853329</x:v>
      </x:c>
      <x:c r="Q20" s="9" t="str">
        <x:v>J Med Chem</x:v>
      </x:c>
      <x:c r="R20" s="13" t="n">
        <x:v>2016</x:v>
      </x:c>
      <x:c r="S20" s="9" t="str">
        <x:v>{"bei":"13.85","le":"0.27","lle":"1.75","sei":"10.29"}</x:v>
      </x:c>
      <x:c r="T20" s="9" t="str">
        <x:v>null</x:v>
      </x:c>
      <x:c r="U20" s="9" t="str">
        <x:v>CHEMBL3908548</x:v>
      </x:c>
      <x:c r="V20" s="9" t="str">
        <x:v>null</x:v>
      </x:c>
      <x:c r="W20" s="9" t="str">
        <x:v>CHEMBL3908548</x:v>
      </x:c>
      <x:c r="X20" s="11" t="n">
        <x:v>6.17</x:v>
      </x:c>
      <x:c r="Y20" s="13" t="n">
        <x:v>0</x:v>
      </x:c>
      <x:c r="Z20" s="9" t="str">
        <x:v>http://www.openphacts.org/units/Nanomolar</x:v>
      </x:c>
      <x:c r="AA20" s="9" t="str">
        <x:v>2796802</x:v>
      </x:c>
      <x:c r="AB20" s="9" t="str">
        <x:v>=</x:v>
      </x:c>
      <x:c r="AC20" s="9" t="str">
        <x:v>1</x:v>
      </x:c>
      <x:c r="AD20" s="13" t="n">
        <x:v>1</x:v>
      </x:c>
      <x:c r="AE20" s="9" t="str">
        <x:v>=</x:v>
      </x:c>
      <x:c r="AF20" s="9" t="str">
        <x:v>null</x:v>
      </x:c>
      <x:c r="AG20" s="9" t="str">
        <x:v>Ki</x:v>
      </x:c>
      <x:c r="AH20" s="9" t="str">
        <x:v>nM</x:v>
      </x:c>
      <x:c r="AI20" s="9" t="str">
        <x:v>null</x:v>
      </x:c>
      <x:c r="AJ20" s="11" t="n">
        <x:v>676.08</x:v>
      </x:c>
      <x:c r="AK20" s="9" t="str">
        <x:v>CHEMBL217</x:v>
      </x:c>
      <x:c r="AL20" s="9" t="str">
        <x:v>Homo sapiens</x:v>
      </x:c>
      <x:c r="AM20" s="9" t="str">
        <x:v>D(2) dopamine receptor</x:v>
      </x:c>
      <x:c r="AN20" s="9" t="str">
        <x:v>9606</x:v>
      </x:c>
      <x:c r="AO20" s="9" t="str">
        <x:v>null</x:v>
      </x:c>
      <x:c r="AP20" s="9" t="str">
        <x:v>null</x:v>
      </x:c>
      <x:c r="AQ20" s="9" t="str">
        <x:v>pKi</x:v>
      </x:c>
      <x:c r="AR20" s="9" t="str">
        <x:v>null</x:v>
      </x:c>
      <x:c r="AS20" s="9" t="str">
        <x:v>UO_0000065</x:v>
      </x:c>
      <x:c r="AT20" s="9" t="str">
        <x:v>null</x:v>
      </x:c>
      <x:c r="AU20" s="9" t="str">
        <x:v>6.17</x:v>
      </x:c>
      <x:c r="AV20" s="11" t="n">
        <x:v>0.00501</x:v>
      </x:c>
      <x:c r="AW20" s="9" t="str">
        <x:v>exclude</x:v>
      </x:c>
      <x:c r="AX20" s="9" t="str">
        <x:v>multiple_source_records_for_full_parent_identity</x:v>
      </x:c>
      <x:c r="AY20" s="11" t="n">
        <x:v>676.0829753919819</x:v>
      </x:c>
      <x:c r="AZ20" s="9" t="str">
        <x:v>source_reported_pKi</x:v>
      </x:c>
      <x:c r="BA20" s="11" t="n">
        <x:v>6.17</x:v>
      </x:c>
      <x:c r="BB20" s="9" t="str">
        <x:v>c9bb72c84834730b0cbc7844a15d094f61b850161fa051c0501826f0896ec0e8</x:v>
      </x:c>
      <x:c r="BC20" s="9" t="str">
        <x:v>XIHOJUYAGODVFH-JTSKRJEESA-N</x:v>
      </x:c>
      <x:c r="BD20" s="9" t="str">
        <x:v>Cc1ncoc1-c1nnc(SCCCN2CC[C@]3(C[C@H]3c3ccc(F)cc3F)C2)n1C</x:v>
      </x:c>
      <x:c r="BE20" s="9" t="str">
        <x:v>Cc1ncoc1-c1nnc(SCCCN2CCC3(CC3c3ccc(F)cc3F)C2)n1C</x:v>
      </x:c>
      <x:c r="BF20" s="9" t="str">
        <x:v>Cc1ncoc1-c1nnc(SCCCN2CC[C@]3(C[C@H]3c3ccc(F)cc3F)C2)n1C</x:v>
      </x:c>
      <x:c r="BG20" s="12" t="n">
        <x:v>0.0000019113026201722505</x:v>
      </x:c>
      <x:c r="BH20" s="11" t="n">
        <x:v>6.17000191130262</x:v>
      </x:c>
      <x:c r="BI20" s="9" t="str">
        <x:v>c1ccc(C2CC23CCN(CCCSc2nnc(-c4cnco4)[nH]2)C3)cc1</x:v>
      </x:c>
      <x:c r="BJ20" s="13" t="n">
        <x:v>2</x:v>
      </x:c>
      <x:c r="BK20" s="11" t="n">
        <x:v>676.08</x:v>
      </x:c>
      <x:c r="BL20" s="12" t="n">
        <x:v>-0.0029753919818631402</x:v>
      </x:c>
      <x:c r="BM20" s="9" t="str">
        <x:v>false</x:v>
      </x:c>
    </x:row>
    <x:row r="21" ht="51" customHeight="1">
      <x:c r="A21" s="14" t="str">
        <x:v>null</x:v>
      </x:c>
      <x:c r="B21" s="14" t="str">
        <x:v>null</x:v>
      </x:c>
      <x:c r="C21" s="14" t="str">
        <x:v>16670164</x:v>
      </x:c>
      <x:c r="D21" s="14" t="str">
        <x:v>[]</x:v>
      </x:c>
      <x:c r="E21" s="14" t="str">
        <x:v>CHEMBL3855278</x:v>
      </x:c>
      <x:c r="F21" s="14" t="str">
        <x:v>Displacement of [3H]-spiperone from human dopamine D2 receptor expressed in CHO-K1 cell membranes coexpressing Galpha16 after 120 mins by liquid scintillation counting</x:v>
      </x:c>
      <x:c r="G21" s="14" t="str">
        <x:v>B</x:v>
      </x:c>
      <x:c r="H21" s="14" t="str">
        <x:v>null</x:v>
      </x:c>
      <x:c r="I21" s="14" t="str">
        <x:v>null</x:v>
      </x:c>
      <x:c r="J21" s="14" t="str">
        <x:v>BAO_0000192</x:v>
      </x:c>
      <x:c r="K21" s="14" t="str">
        <x:v>BAO_0000219</x:v>
      </x:c>
      <x:c r="L21" s="14" t="str">
        <x:v>cell-based format</x:v>
      </x:c>
      <x:c r="M21" s="14" t="str">
        <x:v>Cc1ncoc1-c1nnc(SCCCN2CC[C@]3(C[C@@H]3c3ccc(F)cc3F)C2)n1C</x:v>
      </x:c>
      <x:c r="N21" s="14" t="str">
        <x:v>null</x:v>
      </x:c>
      <x:c r="O21" s="14" t="str">
        <x:v>null</x:v>
      </x:c>
      <x:c r="P21" s="14" t="str">
        <x:v>CHEMBL3853329</x:v>
      </x:c>
      <x:c r="Q21" s="14" t="str">
        <x:v>J Med Chem</x:v>
      </x:c>
      <x:c r="R21" s="17" t="n">
        <x:v>2016</x:v>
      </x:c>
      <x:c r="S21" s="14" t="str">
        <x:v>{"bei":"14.66","le":"0.29","lle":"2.11","sei":"10.89"}</x:v>
      </x:c>
      <x:c r="T21" s="14" t="str">
        <x:v>null</x:v>
      </x:c>
      <x:c r="U21" s="14" t="str">
        <x:v>CHEMBL3917887</x:v>
      </x:c>
      <x:c r="V21" s="14" t="str">
        <x:v>null</x:v>
      </x:c>
      <x:c r="W21" s="14" t="str">
        <x:v>CHEMBL3917887</x:v>
      </x:c>
      <x:c r="X21" s="15" t="n">
        <x:v>6.53</x:v>
      </x:c>
      <x:c r="Y21" s="17" t="n">
        <x:v>0</x:v>
      </x:c>
      <x:c r="Z21" s="14" t="str">
        <x:v>http://www.openphacts.org/units/Nanomolar</x:v>
      </x:c>
      <x:c r="AA21" s="14" t="str">
        <x:v>2796804</x:v>
      </x:c>
      <x:c r="AB21" s="14" t="str">
        <x:v>=</x:v>
      </x:c>
      <x:c r="AC21" s="14" t="str">
        <x:v>1</x:v>
      </x:c>
      <x:c r="AD21" s="17" t="n">
        <x:v>1</x:v>
      </x:c>
      <x:c r="AE21" s="14" t="str">
        <x:v>=</x:v>
      </x:c>
      <x:c r="AF21" s="14" t="str">
        <x:v>null</x:v>
      </x:c>
      <x:c r="AG21" s="14" t="str">
        <x:v>Ki</x:v>
      </x:c>
      <x:c r="AH21" s="14" t="str">
        <x:v>nM</x:v>
      </x:c>
      <x:c r="AI21" s="14" t="str">
        <x:v>null</x:v>
      </x:c>
      <x:c r="AJ21" s="15" t="n">
        <x:v>295.12</x:v>
      </x:c>
      <x:c r="AK21" s="14" t="str">
        <x:v>CHEMBL217</x:v>
      </x:c>
      <x:c r="AL21" s="14" t="str">
        <x:v>Homo sapiens</x:v>
      </x:c>
      <x:c r="AM21" s="14" t="str">
        <x:v>D(2) dopamine receptor</x:v>
      </x:c>
      <x:c r="AN21" s="14" t="str">
        <x:v>9606</x:v>
      </x:c>
      <x:c r="AO21" s="14" t="str">
        <x:v>null</x:v>
      </x:c>
      <x:c r="AP21" s="14" t="str">
        <x:v>null</x:v>
      </x:c>
      <x:c r="AQ21" s="14" t="str">
        <x:v>pKi</x:v>
      </x:c>
      <x:c r="AR21" s="14" t="str">
        <x:v>null</x:v>
      </x:c>
      <x:c r="AS21" s="14" t="str">
        <x:v>UO_0000065</x:v>
      </x:c>
      <x:c r="AT21" s="14" t="str">
        <x:v>null</x:v>
      </x:c>
      <x:c r="AU21" s="14" t="str">
        <x:v>6.53</x:v>
      </x:c>
      <x:c r="AV21" s="15" t="n">
        <x:v>0.00501</x:v>
      </x:c>
      <x:c r="AW21" s="14" t="str">
        <x:v>exclude</x:v>
      </x:c>
      <x:c r="AX21" s="14" t="str">
        <x:v>multiple_source_records_for_full_parent_identity</x:v>
      </x:c>
      <x:c r="AY21" s="15" t="n">
        <x:v>295.1209226666384</x:v>
      </x:c>
      <x:c r="AZ21" s="14" t="str">
        <x:v>source_reported_pKi</x:v>
      </x:c>
      <x:c r="BA21" s="15" t="n">
        <x:v>6.53</x:v>
      </x:c>
      <x:c r="BB21" s="14" t="str">
        <x:v>c9bb72c84834730b0cbc7844a15d094f61b850161fa051c0501826f0896ec0e8</x:v>
      </x:c>
      <x:c r="BC21" s="14" t="str">
        <x:v>XIHOJUYAGODVFH-VGSWGCGISA-N</x:v>
      </x:c>
      <x:c r="BD21" s="14" t="str">
        <x:v>Cc1ncoc1-c1nnc(SCCCN2CC[C@]3(C[C@@H]3c3ccc(F)cc3F)C2)n1C</x:v>
      </x:c>
      <x:c r="BE21" s="14" t="str">
        <x:v>Cc1ncoc1-c1nnc(SCCCN2CCC3(CC3c3ccc(F)cc3F)C2)n1C</x:v>
      </x:c>
      <x:c r="BF21" s="14" t="str">
        <x:v>Cc1ncoc1-c1nnc(SCCCN2CC[C@]3(C[C@@H]3c3ccc(F)cc3F)C2)n1C</x:v>
      </x:c>
      <x:c r="BG21" s="16" t="n">
        <x:v>0.0000013577812527643118</x:v>
      </x:c>
      <x:c r="BH21" s="15" t="n">
        <x:v>6.530001357781253</x:v>
      </x:c>
      <x:c r="BI21" s="14" t="str">
        <x:v>c1ccc(C2CC23CCN(CCCSc2nnc(-c4cnco4)[nH]2)C3)cc1</x:v>
      </x:c>
      <x:c r="BJ21" s="17" t="n">
        <x:v>2</x:v>
      </x:c>
      <x:c r="BK21" s="15" t="n">
        <x:v>295.12</x:v>
      </x:c>
      <x:c r="BL21" s="16" t="n">
        <x:v>-0.0009226666384165583</x:v>
      </x:c>
      <x:c r="BM21" s="14" t="str">
        <x:v>false</x:v>
      </x:c>
    </x:row>
    <x:row r="22" ht="81" customHeight="1">
      <x:c r="A22" s="9" t="str">
        <x:v>null</x:v>
      </x:c>
      <x:c r="B22" s="9" t="str">
        <x:v>Not Determined</x:v>
      </x:c>
      <x:c r="C22" s="9" t="str">
        <x:v>16670165</x:v>
      </x:c>
      <x:c r="D22" s="9" t="str">
        <x:v>[]</x:v>
      </x:c>
      <x:c r="E22" s="9" t="str">
        <x:v>CHEMBL3855278</x:v>
      </x:c>
      <x:c r="F22" s="9" t="str">
        <x:v>Displacement of [3H]-spiperone from human dopamine D2 receptor expressed in CHO-K1 cell membranes coexpressing Galpha16 after 120 mins by liquid scintillation counting</x:v>
      </x:c>
      <x:c r="G22" s="9" t="str">
        <x:v>B</x:v>
      </x:c>
      <x:c r="H22" s="9" t="str">
        <x:v>null</x:v>
      </x:c>
      <x:c r="I22" s="9" t="str">
        <x:v>null</x:v>
      </x:c>
      <x:c r="J22" s="9" t="str">
        <x:v>BAO_0000179</x:v>
      </x:c>
      <x:c r="K22" s="9" t="str">
        <x:v>BAO_0000219</x:v>
      </x:c>
      <x:c r="L22" s="9" t="str">
        <x:v>cell-based format</x:v>
      </x:c>
      <x:c r="M22" s="9" t="str">
        <x:v>Cc1ncoc1-c1nnc(SCCCN2CC[C@]3(C[C@@H]3c3ccc(F)cc3F)C2)n1C</x:v>
      </x:c>
      <x:c r="N22" s="9" t="str">
        <x:v>null</x:v>
      </x:c>
      <x:c r="O22" s="9" t="str">
        <x:v>null</x:v>
      </x:c>
      <x:c r="P22" s="9" t="str">
        <x:v>CHEMBL3853329</x:v>
      </x:c>
      <x:c r="Q22" s="9" t="str">
        <x:v>J Med Chem</x:v>
      </x:c>
      <x:c r="R22" s="13" t="n">
        <x:v>2016</x:v>
      </x:c>
      <x:c r="S22" s="9" t="str">
        <x:v>null</x:v>
      </x:c>
      <x:c r="T22" s="9" t="str">
        <x:v>null</x:v>
      </x:c>
      <x:c r="U22" s="9" t="str">
        <x:v>CHEMBL3917887</x:v>
      </x:c>
      <x:c r="V22" s="9" t="str">
        <x:v>null</x:v>
      </x:c>
      <x:c r="W22" s="9" t="str">
        <x:v>CHEMBL3917887</x:v>
      </x:c>
      <x:c r="X22" s="11" t="str">
        <x:v>null</x:v>
      </x:c>
      <x:c r="Y22" s="13" t="n">
        <x:v>0</x:v>
      </x:c>
      <x:c r="Z22" s="9" t="str">
        <x:v>null</x:v>
      </x:c>
      <x:c r="AA22" s="9" t="str">
        <x:v>2796805</x:v>
      </x:c>
      <x:c r="AB22" s="9" t="str">
        <x:v>null</x:v>
      </x:c>
      <x:c r="AC22" s="9" t="str">
        <x:v>1</x:v>
      </x:c>
      <x:c r="AD22" s="13" t="n">
        <x:v>0</x:v>
      </x:c>
      <x:c r="AE22" s="9" t="str">
        <x:v>null</x:v>
      </x:c>
      <x:c r="AF22" s="9" t="str">
        <x:v>null</x:v>
      </x:c>
      <x:c r="AG22" s="9" t="str">
        <x:v>pKi</x:v>
      </x:c>
      <x:c r="AH22" s="9" t="str">
        <x:v>null</x:v>
      </x:c>
      <x:c r="AI22" s="9" t="str">
        <x:v>null</x:v>
      </x:c>
      <x:c r="AJ22" s="11" t="str">
        <x:v>null</x:v>
      </x:c>
      <x:c r="AK22" s="9" t="str">
        <x:v>CHEMBL217</x:v>
      </x:c>
      <x:c r="AL22" s="9" t="str">
        <x:v>Homo sapiens</x:v>
      </x:c>
      <x:c r="AM22" s="9" t="str">
        <x:v>D(2) dopamine receptor</x:v>
      </x:c>
      <x:c r="AN22" s="9" t="str">
        <x:v>9606</x:v>
      </x:c>
      <x:c r="AO22" s="9" t="str">
        <x:v>null</x:v>
      </x:c>
      <x:c r="AP22" s="9" t="str">
        <x:v>null</x:v>
      </x:c>
      <x:c r="AQ22" s="9" t="str">
        <x:v>pKi</x:v>
      </x:c>
      <x:c r="AR22" s="9" t="str">
        <x:v>null</x:v>
      </x:c>
      <x:c r="AS22" s="9" t="str">
        <x:v>null</x:v>
      </x:c>
      <x:c r="AT22" s="9" t="str">
        <x:v>null</x:v>
      </x:c>
      <x:c r="AU22" s="9" t="str">
        <x:v>null</x:v>
      </x:c>
      <x:c r="AV22" s="11" t="str">
        <x:v>null</x:v>
      </x:c>
      <x:c r="AW22" s="9" t="str">
        <x:v>exclude</x:v>
      </x:c>
      <x:c r="AX22" s="9" t="str">
        <x:v>nonexact_or_missing_original_relation;nonexact_or_missing_standard_relation;standard_endpoint_or_unit_not_Ki_nM;activity_comment_requires_review;missing_or_nonfinite_original_value;missing_or_nonpositive_standard_value;multiple_source_records_for_full_parent_identity</x:v>
      </x:c>
      <x:c r="AY22" s="11" t="str">
        <x:v>null</x:v>
      </x:c>
      <x:c r="AZ22" s="9" t="str">
        <x:v>null</x:v>
      </x:c>
      <x:c r="BA22" s="11" t="str">
        <x:v>null</x:v>
      </x:c>
      <x:c r="BB22" s="9" t="str">
        <x:v>c9bb72c84834730b0cbc7844a15d094f61b850161fa051c0501826f0896ec0e8</x:v>
      </x:c>
      <x:c r="BC22" s="9" t="str">
        <x:v>XIHOJUYAGODVFH-VGSWGCGISA-N</x:v>
      </x:c>
      <x:c r="BD22" s="9" t="str">
        <x:v>Cc1ncoc1-c1nnc(SCCCN2CC[C@]3(C[C@@H]3c3ccc(F)cc3F)C2)n1C</x:v>
      </x:c>
      <x:c r="BE22" s="9" t="str">
        <x:v>Cc1ncoc1-c1nnc(SCCCN2CCC3(CC3c3ccc(F)cc3F)C2)n1C</x:v>
      </x:c>
      <x:c r="BF22" s="9" t="str">
        <x:v>Cc1ncoc1-c1nnc(SCCCN2CC[C@]3(C[C@@H]3c3ccc(F)cc3F)C2)n1C</x:v>
      </x:c>
      <x:c r="BG22" s="12" t="str">
        <x:v>null</x:v>
      </x:c>
      <x:c r="BH22" s="11" t="str">
        <x:v>null</x:v>
      </x:c>
      <x:c r="BI22" s="9" t="str">
        <x:v>c1ccc(C2CC23CCN(CCCSc2nnc(-c4cnco4)[nH]2)C3)cc1</x:v>
      </x:c>
      <x:c r="BJ22" s="13" t="n">
        <x:v>2</x:v>
      </x:c>
      <x:c r="BK22" s="11" t="str">
        <x:v>null</x:v>
      </x:c>
      <x:c r="BL22" s="12" t="str">
        <x:v>null</x:v>
      </x:c>
      <x:c r="BM22" s="9" t="str">
        <x:v>false</x:v>
      </x:c>
    </x:row>
    <x:row r="23" ht="51" customHeight="1">
      <x:c r="A23" s="14" t="str">
        <x:v>null</x:v>
      </x:c>
      <x:c r="B23" s="14" t="str">
        <x:v>null</x:v>
      </x:c>
      <x:c r="C23" s="14" t="str">
        <x:v>16670167</x:v>
      </x:c>
      <x:c r="D23" s="14" t="str">
        <x:v>[]</x:v>
      </x:c>
      <x:c r="E23" s="14" t="str">
        <x:v>CHEMBL3855278</x:v>
      </x:c>
      <x:c r="F23" s="14" t="str">
        <x:v>Displacement of [3H]-spiperone from human dopamine D2 receptor expressed in CHO-K1 cell membranes coexpressing Galpha16 after 120 mins by liquid scintillation counting</x:v>
      </x:c>
      <x:c r="G23" s="14" t="str">
        <x:v>B</x:v>
      </x:c>
      <x:c r="H23" s="14" t="str">
        <x:v>null</x:v>
      </x:c>
      <x:c r="I23" s="14" t="str">
        <x:v>null</x:v>
      </x:c>
      <x:c r="J23" s="14" t="str">
        <x:v>BAO_0000192</x:v>
      </x:c>
      <x:c r="K23" s="14" t="str">
        <x:v>BAO_0000219</x:v>
      </x:c>
      <x:c r="L23" s="14" t="str">
        <x:v>cell-based format</x:v>
      </x:c>
      <x:c r="M23" s="14" t="str">
        <x:v>Cc1ncoc1-c1nnc(SCCCN2CC[C@]3(C[C@H]3c3ccc(C(F)(F)F)cc3F)C2)n1C</x:v>
      </x:c>
      <x:c r="N23" s="14" t="str">
        <x:v>null</x:v>
      </x:c>
      <x:c r="O23" s="14" t="str">
        <x:v>null</x:v>
      </x:c>
      <x:c r="P23" s="14" t="str">
        <x:v>CHEMBL3853329</x:v>
      </x:c>
      <x:c r="Q23" s="14" t="str">
        <x:v>J Med Chem</x:v>
      </x:c>
      <x:c r="R23" s="17" t="n">
        <x:v>2016</x:v>
      </x:c>
      <x:c r="S23" s="14" t="str">
        <x:v>{"bei":"13.12","le":"0.26","lle":"1.20","sei":"10.84"}</x:v>
      </x:c>
      <x:c r="T23" s="14" t="str">
        <x:v>null</x:v>
      </x:c>
      <x:c r="U23" s="14" t="str">
        <x:v>CHEMBL3935776</x:v>
      </x:c>
      <x:c r="V23" s="14" t="str">
        <x:v>null</x:v>
      </x:c>
      <x:c r="W23" s="14" t="str">
        <x:v>CHEMBL3935776</x:v>
      </x:c>
      <x:c r="X23" s="15" t="n">
        <x:v>6.5</x:v>
      </x:c>
      <x:c r="Y23" s="17" t="n">
        <x:v>0</x:v>
      </x:c>
      <x:c r="Z23" s="14" t="str">
        <x:v>http://www.openphacts.org/units/Nanomolar</x:v>
      </x:c>
      <x:c r="AA23" s="14" t="str">
        <x:v>2796807</x:v>
      </x:c>
      <x:c r="AB23" s="14" t="str">
        <x:v>=</x:v>
      </x:c>
      <x:c r="AC23" s="14" t="str">
        <x:v>1</x:v>
      </x:c>
      <x:c r="AD23" s="17" t="n">
        <x:v>1</x:v>
      </x:c>
      <x:c r="AE23" s="14" t="str">
        <x:v>=</x:v>
      </x:c>
      <x:c r="AF23" s="14" t="str">
        <x:v>null</x:v>
      </x:c>
      <x:c r="AG23" s="14" t="str">
        <x:v>Ki</x:v>
      </x:c>
      <x:c r="AH23" s="14" t="str">
        <x:v>nM</x:v>
      </x:c>
      <x:c r="AI23" s="14" t="str">
        <x:v>null</x:v>
      </x:c>
      <x:c r="AJ23" s="15" t="n">
        <x:v>316.23</x:v>
      </x:c>
      <x:c r="AK23" s="14" t="str">
        <x:v>CHEMBL217</x:v>
      </x:c>
      <x:c r="AL23" s="14" t="str">
        <x:v>Homo sapiens</x:v>
      </x:c>
      <x:c r="AM23" s="14" t="str">
        <x:v>D(2) dopamine receptor</x:v>
      </x:c>
      <x:c r="AN23" s="14" t="str">
        <x:v>9606</x:v>
      </x:c>
      <x:c r="AO23" s="14" t="str">
        <x:v>null</x:v>
      </x:c>
      <x:c r="AP23" s="14" t="str">
        <x:v>null</x:v>
      </x:c>
      <x:c r="AQ23" s="14" t="str">
        <x:v>pKi</x:v>
      </x:c>
      <x:c r="AR23" s="14" t="str">
        <x:v>null</x:v>
      </x:c>
      <x:c r="AS23" s="14" t="str">
        <x:v>UO_0000065</x:v>
      </x:c>
      <x:c r="AT23" s="14" t="str">
        <x:v>null</x:v>
      </x:c>
      <x:c r="AU23" s="14" t="str">
        <x:v>6.5</x:v>
      </x:c>
      <x:c r="AV23" s="15" t="n">
        <x:v>0.00501</x:v>
      </x:c>
      <x:c r="AW23" s="14" t="str">
        <x:v>exclude</x:v>
      </x:c>
      <x:c r="AX23" s="14" t="str">
        <x:v>multiple_source_records_for_full_parent_identity</x:v>
      </x:c>
      <x:c r="AY23" s="15" t="n">
        <x:v>316.22776601683796</x:v>
      </x:c>
      <x:c r="AZ23" s="14" t="str">
        <x:v>source_reported_pKi</x:v>
      </x:c>
      <x:c r="BA23" s="15" t="n">
        <x:v>6.5</x:v>
      </x:c>
      <x:c r="BB23" s="14" t="str">
        <x:v>3a87350678a10d266285c519cd6d008e1adf4761974c26280d14b6f7333b44bd</x:v>
      </x:c>
      <x:c r="BC23" s="14" t="str">
        <x:v>ZIQDGXNDXRMRPM-JTSKRJEESA-N</x:v>
      </x:c>
      <x:c r="BD23" s="14" t="str">
        <x:v>Cc1ncoc1-c1nnc(SCCCN2CC[C@]3(C[C@H]3c3ccc(C(F)(F)F)cc3F)C2)n1C</x:v>
      </x:c>
      <x:c r="BE23" s="14" t="str">
        <x:v>Cc1ncoc1-c1nnc(SCCCN2CCC3(CC3c3ccc(C(F)(F)F)cc3F)C2)n1C</x:v>
      </x:c>
      <x:c r="BF23" s="14" t="str">
        <x:v>Cc1ncoc1-c1nnc(SCCCN2CC[C@]3(C[C@H]3c3ccc(C(F)(F)F)cc3F)C2)n1C</x:v>
      </x:c>
      <x:c r="BG23" s="16" t="n">
        <x:v>-0.0000030680516935888136</x:v>
      </x:c>
      <x:c r="BH23" s="15" t="n">
        <x:v>6.499996931948306</x:v>
      </x:c>
      <x:c r="BI23" s="14" t="str">
        <x:v>c1ccc(C2CC23CCN(CCCSc2nnc(-c4cnco4)[nH]2)C3)cc1</x:v>
      </x:c>
      <x:c r="BJ23" s="17" t="n">
        <x:v>2</x:v>
      </x:c>
      <x:c r="BK23" s="15" t="n">
        <x:v>316.23</x:v>
      </x:c>
      <x:c r="BL23" s="16" t="n">
        <x:v>0.0022339831620570294</x:v>
      </x:c>
      <x:c r="BM23" s="14" t="str">
        <x:v>false</x:v>
      </x:c>
    </x:row>
    <x:row r="24" ht="51" customHeight="1">
      <x:c r="A24" s="9" t="str">
        <x:v>null</x:v>
      </x:c>
      <x:c r="B24" s="9" t="str">
        <x:v>null</x:v>
      </x:c>
      <x:c r="C24" s="9" t="str">
        <x:v>16670168</x:v>
      </x:c>
      <x:c r="D24" s="9" t="str">
        <x:v>[]</x:v>
      </x:c>
      <x:c r="E24" s="9" t="str">
        <x:v>CHEMBL3855278</x:v>
      </x:c>
      <x:c r="F24" s="9" t="str">
        <x:v>Displacement of [3H]-spiperone from human dopamine D2 receptor expressed in CHO-K1 cell membranes coexpressing Galpha16 after 120 mins by liquid scintillation counting</x:v>
      </x:c>
      <x:c r="G24" s="9" t="str">
        <x:v>B</x:v>
      </x:c>
      <x:c r="H24" s="9" t="str">
        <x:v>null</x:v>
      </x:c>
      <x:c r="I24" s="9" t="str">
        <x:v>null</x:v>
      </x:c>
      <x:c r="J24" s="9" t="str">
        <x:v>BAO_0000192</x:v>
      </x:c>
      <x:c r="K24" s="9" t="str">
        <x:v>BAO_0000219</x:v>
      </x:c>
      <x:c r="L24" s="9" t="str">
        <x:v>cell-based format</x:v>
      </x:c>
      <x:c r="M24" s="9" t="str">
        <x:v>Cc1ncoc1-c1nnc(SCCCN2CC[C@]3(C[C@H]3c3ccc(C(F)(F)F)cc3F)C2)n1C</x:v>
      </x:c>
      <x:c r="N24" s="9" t="str">
        <x:v>null</x:v>
      </x:c>
      <x:c r="O24" s="9" t="str">
        <x:v>null</x:v>
      </x:c>
      <x:c r="P24" s="9" t="str">
        <x:v>CHEMBL3853329</x:v>
      </x:c>
      <x:c r="Q24" s="9" t="str">
        <x:v>J Med Chem</x:v>
      </x:c>
      <x:c r="R24" s="13" t="n">
        <x:v>2016</x:v>
      </x:c>
      <x:c r="S24" s="9" t="str">
        <x:v>{"bei":"13.14","le":"0.26","lle":"1.21","sei":"10.85"}</x:v>
      </x:c>
      <x:c r="T24" s="9" t="str">
        <x:v>null</x:v>
      </x:c>
      <x:c r="U24" s="9" t="str">
        <x:v>CHEMBL3935776</x:v>
      </x:c>
      <x:c r="V24" s="9" t="str">
        <x:v>null</x:v>
      </x:c>
      <x:c r="W24" s="9" t="str">
        <x:v>CHEMBL3935776</x:v>
      </x:c>
      <x:c r="X24" s="11" t="n">
        <x:v>6.51</x:v>
      </x:c>
      <x:c r="Y24" s="13" t="n">
        <x:v>0</x:v>
      </x:c>
      <x:c r="Z24" s="9" t="str">
        <x:v>http://www.openphacts.org/units/Nanomolar</x:v>
      </x:c>
      <x:c r="AA24" s="9" t="str">
        <x:v>2796808</x:v>
      </x:c>
      <x:c r="AB24" s="9" t="str">
        <x:v>=</x:v>
      </x:c>
      <x:c r="AC24" s="9" t="str">
        <x:v>1</x:v>
      </x:c>
      <x:c r="AD24" s="13" t="n">
        <x:v>1</x:v>
      </x:c>
      <x:c r="AE24" s="9" t="str">
        <x:v>=</x:v>
      </x:c>
      <x:c r="AF24" s="9" t="str">
        <x:v>null</x:v>
      </x:c>
      <x:c r="AG24" s="9" t="str">
        <x:v>Ki</x:v>
      </x:c>
      <x:c r="AH24" s="9" t="str">
        <x:v>nM</x:v>
      </x:c>
      <x:c r="AI24" s="9" t="str">
        <x:v>null</x:v>
      </x:c>
      <x:c r="AJ24" s="11" t="n">
        <x:v>309.03</x:v>
      </x:c>
      <x:c r="AK24" s="9" t="str">
        <x:v>CHEMBL217</x:v>
      </x:c>
      <x:c r="AL24" s="9" t="str">
        <x:v>Homo sapiens</x:v>
      </x:c>
      <x:c r="AM24" s="9" t="str">
        <x:v>D(2) dopamine receptor</x:v>
      </x:c>
      <x:c r="AN24" s="9" t="str">
        <x:v>9606</x:v>
      </x:c>
      <x:c r="AO24" s="9" t="str">
        <x:v>null</x:v>
      </x:c>
      <x:c r="AP24" s="9" t="str">
        <x:v>null</x:v>
      </x:c>
      <x:c r="AQ24" s="9" t="str">
        <x:v>pKi</x:v>
      </x:c>
      <x:c r="AR24" s="9" t="str">
        <x:v>null</x:v>
      </x:c>
      <x:c r="AS24" s="9" t="str">
        <x:v>UO_0000065</x:v>
      </x:c>
      <x:c r="AT24" s="9" t="str">
        <x:v>null</x:v>
      </x:c>
      <x:c r="AU24" s="9" t="str">
        <x:v>6.51</x:v>
      </x:c>
      <x:c r="AV24" s="11" t="n">
        <x:v>0.00501</x:v>
      </x:c>
      <x:c r="AW24" s="9" t="str">
        <x:v>exclude</x:v>
      </x:c>
      <x:c r="AX24" s="9" t="str">
        <x:v>multiple_source_records_for_full_parent_identity</x:v>
      </x:c>
      <x:c r="AY24" s="11" t="n">
        <x:v>309.0295432513592</x:v>
      </x:c>
      <x:c r="AZ24" s="9" t="str">
        <x:v>source_reported_pKi</x:v>
      </x:c>
      <x:c r="BA24" s="11" t="n">
        <x:v>6.51</x:v>
      </x:c>
      <x:c r="BB24" s="9" t="str">
        <x:v>3a87350678a10d266285c519cd6d008e1adf4761974c26280d14b6f7333b44bd</x:v>
      </x:c>
      <x:c r="BC24" s="9" t="str">
        <x:v>ZIQDGXNDXRMRPM-JTSKRJEESA-N</x:v>
      </x:c>
      <x:c r="BD24" s="9" t="str">
        <x:v>Cc1ncoc1-c1nnc(SCCCN2CC[C@]3(C[C@H]3c3ccc(C(F)(F)F)cc3F)C2)n1C</x:v>
      </x:c>
      <x:c r="BE24" s="9" t="str">
        <x:v>Cc1ncoc1-c1nnc(SCCCN2CCC3(CC3c3ccc(C(F)(F)F)cc3F)C2)n1C</x:v>
      </x:c>
      <x:c r="BF24" s="9" t="str">
        <x:v>Cc1ncoc1-c1nnc(SCCCN2CC[C@]3(C[C@H]3c3ccc(C(F)(F)F)cc3F)C2)n1C</x:v>
      </x:c>
      <x:c r="BG24" s="12" t="n">
        <x:v>-6.418909519467775e-7</x:v>
      </x:c>
      <x:c r="BH24" s="11" t="n">
        <x:v>6.509999358109048</x:v>
      </x:c>
      <x:c r="BI24" s="9" t="str">
        <x:v>c1ccc(C2CC23CCN(CCCSc2nnc(-c4cnco4)[nH]2)C3)cc1</x:v>
      </x:c>
      <x:c r="BJ24" s="13" t="n">
        <x:v>2</x:v>
      </x:c>
      <x:c r="BK24" s="11" t="n">
        <x:v>309.03</x:v>
      </x:c>
      <x:c r="BL24" s="12" t="n">
        <x:v>0.0004567486407722754</x:v>
      </x:c>
      <x:c r="BM24" s="9" t="str">
        <x:v>false</x:v>
      </x:c>
    </x:row>
    <x:row r="25" ht="51" customHeight="1">
      <x:c r="A25" s="14" t="str">
        <x:v>null</x:v>
      </x:c>
      <x:c r="B25" s="14" t="str">
        <x:v>null</x:v>
      </x:c>
      <x:c r="C25" s="14" t="str">
        <x:v>16670170</x:v>
      </x:c>
      <x:c r="D25" s="14" t="str">
        <x:v>[]</x:v>
      </x:c>
      <x:c r="E25" s="14" t="str">
        <x:v>CHEMBL3855278</x:v>
      </x:c>
      <x:c r="F25" s="14" t="str">
        <x:v>Displacement of [3H]-spiperone from human dopamine D2 receptor expressed in CHO-K1 cell membranes coexpressing Galpha16 after 120 mins by liquid scintillation counting</x:v>
      </x:c>
      <x:c r="G25" s="14" t="str">
        <x:v>B</x:v>
      </x:c>
      <x:c r="H25" s="14" t="str">
        <x:v>null</x:v>
      </x:c>
      <x:c r="I25" s="14" t="str">
        <x:v>null</x:v>
      </x:c>
      <x:c r="J25" s="14" t="str">
        <x:v>BAO_0000192</x:v>
      </x:c>
      <x:c r="K25" s="14" t="str">
        <x:v>BAO_0000219</x:v>
      </x:c>
      <x:c r="L25" s="14" t="str">
        <x:v>cell-based format</x:v>
      </x:c>
      <x:c r="M25" s="14" t="str">
        <x:v>Cc1ncoc1-c1nnc(SCCCN2CC[C@]3(C[C@@H]3c3ccc(C(F)(F)F)cc3F)C2)n1C</x:v>
      </x:c>
      <x:c r="N25" s="14" t="str">
        <x:v>null</x:v>
      </x:c>
      <x:c r="O25" s="14" t="str">
        <x:v>null</x:v>
      </x:c>
      <x:c r="P25" s="14" t="str">
        <x:v>CHEMBL3853329</x:v>
      </x:c>
      <x:c r="Q25" s="14" t="str">
        <x:v>J Med Chem</x:v>
      </x:c>
      <x:c r="R25" s="17" t="n">
        <x:v>2016</x:v>
      </x:c>
      <x:c r="S25" s="14" t="str">
        <x:v>{"bei":"13.08","le":"0.26","lle":"1.18","sei":"10.80"}</x:v>
      </x:c>
      <x:c r="T25" s="14" t="str">
        <x:v>null</x:v>
      </x:c>
      <x:c r="U25" s="14" t="str">
        <x:v>CHEMBL3927895</x:v>
      </x:c>
      <x:c r="V25" s="14" t="str">
        <x:v>null</x:v>
      </x:c>
      <x:c r="W25" s="14" t="str">
        <x:v>CHEMBL3927895</x:v>
      </x:c>
      <x:c r="X25" s="15" t="n">
        <x:v>6.48</x:v>
      </x:c>
      <x:c r="Y25" s="17" t="n">
        <x:v>0</x:v>
      </x:c>
      <x:c r="Z25" s="14" t="str">
        <x:v>http://www.openphacts.org/units/Nanomolar</x:v>
      </x:c>
      <x:c r="AA25" s="14" t="str">
        <x:v>2796810</x:v>
      </x:c>
      <x:c r="AB25" s="14" t="str">
        <x:v>=</x:v>
      </x:c>
      <x:c r="AC25" s="14" t="str">
        <x:v>1</x:v>
      </x:c>
      <x:c r="AD25" s="17" t="n">
        <x:v>1</x:v>
      </x:c>
      <x:c r="AE25" s="14" t="str">
        <x:v>=</x:v>
      </x:c>
      <x:c r="AF25" s="14" t="str">
        <x:v>null</x:v>
      </x:c>
      <x:c r="AG25" s="14" t="str">
        <x:v>Ki</x:v>
      </x:c>
      <x:c r="AH25" s="14" t="str">
        <x:v>nM</x:v>
      </x:c>
      <x:c r="AI25" s="14" t="str">
        <x:v>null</x:v>
      </x:c>
      <x:c r="AJ25" s="15" t="n">
        <x:v>331.13</x:v>
      </x:c>
      <x:c r="AK25" s="14" t="str">
        <x:v>CHEMBL217</x:v>
      </x:c>
      <x:c r="AL25" s="14" t="str">
        <x:v>Homo sapiens</x:v>
      </x:c>
      <x:c r="AM25" s="14" t="str">
        <x:v>D(2) dopamine receptor</x:v>
      </x:c>
      <x:c r="AN25" s="14" t="str">
        <x:v>9606</x:v>
      </x:c>
      <x:c r="AO25" s="14" t="str">
        <x:v>null</x:v>
      </x:c>
      <x:c r="AP25" s="14" t="str">
        <x:v>null</x:v>
      </x:c>
      <x:c r="AQ25" s="14" t="str">
        <x:v>pKi</x:v>
      </x:c>
      <x:c r="AR25" s="14" t="str">
        <x:v>null</x:v>
      </x:c>
      <x:c r="AS25" s="14" t="str">
        <x:v>UO_0000065</x:v>
      </x:c>
      <x:c r="AT25" s="14" t="str">
        <x:v>null</x:v>
      </x:c>
      <x:c r="AU25" s="14" t="str">
        <x:v>6.48</x:v>
      </x:c>
      <x:c r="AV25" s="15" t="n">
        <x:v>0.00501</x:v>
      </x:c>
      <x:c r="AW25" s="14" t="str">
        <x:v>exclude</x:v>
      </x:c>
      <x:c r="AX25" s="14" t="str">
        <x:v>multiple_source_records_for_full_parent_identity</x:v>
      </x:c>
      <x:c r="AY25" s="15" t="n">
        <x:v>331.13112148259074</x:v>
      </x:c>
      <x:c r="AZ25" s="14" t="str">
        <x:v>source_reported_pKi</x:v>
      </x:c>
      <x:c r="BA25" s="15" t="n">
        <x:v>6.48</x:v>
      </x:c>
      <x:c r="BB25" s="14" t="str">
        <x:v>3a87350678a10d266285c519cd6d008e1adf4761974c26280d14b6f7333b44bd</x:v>
      </x:c>
      <x:c r="BC25" s="14" t="str">
        <x:v>ZIQDGXNDXRMRPM-VGSWGCGISA-N</x:v>
      </x:c>
      <x:c r="BD25" s="14" t="str">
        <x:v>Cc1ncoc1-c1nnc(SCCCN2CC[C@]3(C[C@@H]3c3ccc(C(F)(F)F)cc3F)C2)n1C</x:v>
      </x:c>
      <x:c r="BE25" s="14" t="str">
        <x:v>Cc1ncoc1-c1nnc(SCCCN2CCC3(CC3c3ccc(C(F)(F)F)cc3F)C2)n1C</x:v>
      </x:c>
      <x:c r="BF25" s="14" t="str">
        <x:v>Cc1ncoc1-c1nnc(SCCCN2CC[C@]3(C[C@@H]3c3ccc(C(F)(F)F)cc3F)C2)n1C</x:v>
      </x:c>
      <x:c r="BG25" s="16" t="n">
        <x:v>0.0000014708811519881237</x:v>
      </x:c>
      <x:c r="BH25" s="15" t="n">
        <x:v>6.480001470881152</x:v>
      </x:c>
      <x:c r="BI25" s="14" t="str">
        <x:v>c1ccc(C2CC23CCN(CCCSc2nnc(-c4cnco4)[nH]2)C3)cc1</x:v>
      </x:c>
      <x:c r="BJ25" s="17" t="n">
        <x:v>2</x:v>
      </x:c>
      <x:c r="BK25" s="15" t="n">
        <x:v>331.13</x:v>
      </x:c>
      <x:c r="BL25" s="16" t="n">
        <x:v>-0.0011214825907472914</x:v>
      </x:c>
      <x:c r="BM25" s="14" t="str">
        <x:v>false</x:v>
      </x:c>
    </x:row>
    <x:row r="26" ht="51" customHeight="1">
      <x:c r="A26" s="9" t="str">
        <x:v>null</x:v>
      </x:c>
      <x:c r="B26" s="9" t="str">
        <x:v>null</x:v>
      </x:c>
      <x:c r="C26" s="9" t="str">
        <x:v>16670171</x:v>
      </x:c>
      <x:c r="D26" s="9" t="str">
        <x:v>[]</x:v>
      </x:c>
      <x:c r="E26" s="9" t="str">
        <x:v>CHEMBL3855278</x:v>
      </x:c>
      <x:c r="F26" s="9" t="str">
        <x:v>Displacement of [3H]-spiperone from human dopamine D2 receptor expressed in CHO-K1 cell membranes coexpressing Galpha16 after 120 mins by liquid scintillation counting</x:v>
      </x:c>
      <x:c r="G26" s="9" t="str">
        <x:v>B</x:v>
      </x:c>
      <x:c r="H26" s="9" t="str">
        <x:v>null</x:v>
      </x:c>
      <x:c r="I26" s="9" t="str">
        <x:v>null</x:v>
      </x:c>
      <x:c r="J26" s="9" t="str">
        <x:v>BAO_0000192</x:v>
      </x:c>
      <x:c r="K26" s="9" t="str">
        <x:v>BAO_0000219</x:v>
      </x:c>
      <x:c r="L26" s="9" t="str">
        <x:v>cell-based format</x:v>
      </x:c>
      <x:c r="M26" s="9" t="str">
        <x:v>Cc1ncoc1-c1nnc(SCCCN2CC[C@]3(C[C@@H]3c3ccc(C(F)(F)F)cc3F)C2)n1C</x:v>
      </x:c>
      <x:c r="N26" s="9" t="str">
        <x:v>null</x:v>
      </x:c>
      <x:c r="O26" s="9" t="str">
        <x:v>null</x:v>
      </x:c>
      <x:c r="P26" s="9" t="str">
        <x:v>CHEMBL3853329</x:v>
      </x:c>
      <x:c r="Q26" s="9" t="str">
        <x:v>J Med Chem</x:v>
      </x:c>
      <x:c r="R26" s="13" t="n">
        <x:v>2016</x:v>
      </x:c>
      <x:c r="S26" s="9" t="str">
        <x:v>{"bei":"10.82","le":"0.22","lle":"0.06","sei":"8.94"}</x:v>
      </x:c>
      <x:c r="T26" s="9" t="str">
        <x:v>null</x:v>
      </x:c>
      <x:c r="U26" s="9" t="str">
        <x:v>CHEMBL3927895</x:v>
      </x:c>
      <x:c r="V26" s="9" t="str">
        <x:v>null</x:v>
      </x:c>
      <x:c r="W26" s="9" t="str">
        <x:v>CHEMBL3927895</x:v>
      </x:c>
      <x:c r="X26" s="11" t="n">
        <x:v>5.36</x:v>
      </x:c>
      <x:c r="Y26" s="13" t="n">
        <x:v>0</x:v>
      </x:c>
      <x:c r="Z26" s="9" t="str">
        <x:v>http://www.openphacts.org/units/Nanomolar</x:v>
      </x:c>
      <x:c r="AA26" s="9" t="str">
        <x:v>2796811</x:v>
      </x:c>
      <x:c r="AB26" s="9" t="str">
        <x:v>=</x:v>
      </x:c>
      <x:c r="AC26" s="9" t="str">
        <x:v>1</x:v>
      </x:c>
      <x:c r="AD26" s="13" t="n">
        <x:v>1</x:v>
      </x:c>
      <x:c r="AE26" s="9" t="str">
        <x:v>=</x:v>
      </x:c>
      <x:c r="AF26" s="9" t="str">
        <x:v>null</x:v>
      </x:c>
      <x:c r="AG26" s="9" t="str">
        <x:v>Ki</x:v>
      </x:c>
      <x:c r="AH26" s="9" t="str">
        <x:v>nM</x:v>
      </x:c>
      <x:c r="AI26" s="9" t="str">
        <x:v>null</x:v>
      </x:c>
      <x:c r="AJ26" s="11" t="n">
        <x:v>4365.16</x:v>
      </x:c>
      <x:c r="AK26" s="9" t="str">
        <x:v>CHEMBL217</x:v>
      </x:c>
      <x:c r="AL26" s="9" t="str">
        <x:v>Homo sapiens</x:v>
      </x:c>
      <x:c r="AM26" s="9" t="str">
        <x:v>D(2) dopamine receptor</x:v>
      </x:c>
      <x:c r="AN26" s="9" t="str">
        <x:v>9606</x:v>
      </x:c>
      <x:c r="AO26" s="9" t="str">
        <x:v>null</x:v>
      </x:c>
      <x:c r="AP26" s="9" t="str">
        <x:v>null</x:v>
      </x:c>
      <x:c r="AQ26" s="9" t="str">
        <x:v>pKi</x:v>
      </x:c>
      <x:c r="AR26" s="9" t="str">
        <x:v>null</x:v>
      </x:c>
      <x:c r="AS26" s="9" t="str">
        <x:v>UO_0000065</x:v>
      </x:c>
      <x:c r="AT26" s="9" t="str">
        <x:v>null</x:v>
      </x:c>
      <x:c r="AU26" s="9" t="str">
        <x:v>5.36</x:v>
      </x:c>
      <x:c r="AV26" s="11" t="n">
        <x:v>0.00501</x:v>
      </x:c>
      <x:c r="AW26" s="9" t="str">
        <x:v>exclude</x:v>
      </x:c>
      <x:c r="AX26" s="9" t="str">
        <x:v>multiple_source_records_for_full_parent_identity</x:v>
      </x:c>
      <x:c r="AY26" s="11" t="n">
        <x:v>4365.158322401657</x:v>
      </x:c>
      <x:c r="AZ26" s="9" t="str">
        <x:v>source_reported_pKi</x:v>
      </x:c>
      <x:c r="BA26" s="11" t="n">
        <x:v>5.36</x:v>
      </x:c>
      <x:c r="BB26" s="9" t="str">
        <x:v>3a87350678a10d266285c519cd6d008e1adf4761974c26280d14b6f7333b44bd</x:v>
      </x:c>
      <x:c r="BC26" s="9" t="str">
        <x:v>ZIQDGXNDXRMRPM-VGSWGCGISA-N</x:v>
      </x:c>
      <x:c r="BD26" s="9" t="str">
        <x:v>Cc1ncoc1-c1nnc(SCCCN2CC[C@]3(C[C@@H]3c3ccc(C(F)(F)F)cc3F)C2)n1C</x:v>
      </x:c>
      <x:c r="BE26" s="9" t="str">
        <x:v>Cc1ncoc1-c1nnc(SCCCN2CCC3(CC3c3ccc(C(F)(F)F)cc3F)C2)n1C</x:v>
      </x:c>
      <x:c r="BF26" s="9" t="str">
        <x:v>Cc1ncoc1-c1nnc(SCCCN2CC[C@]3(C[C@@H]3c3ccc(C(F)(F)F)cc3F)C2)n1C</x:v>
      </x:c>
      <x:c r="BG26" s="12" t="n">
        <x:v>-1.6690610227243496e-7</x:v>
      </x:c>
      <x:c r="BH26" s="11" t="n">
        <x:v>5.359999833093898</x:v>
      </x:c>
      <x:c r="BI26" s="9" t="str">
        <x:v>c1ccc(C2CC23CCN(CCCSc2nnc(-c4cnco4)[nH]2)C3)cc1</x:v>
      </x:c>
      <x:c r="BJ26" s="13" t="n">
        <x:v>2</x:v>
      </x:c>
      <x:c r="BK26" s="11" t="n">
        <x:v>4365.16</x:v>
      </x:c>
      <x:c r="BL26" s="12" t="n">
        <x:v>0.0016775983431216446</x:v>
      </x:c>
      <x:c r="BM26" s="9" t="str">
        <x:v>false</x:v>
      </x:c>
    </x:row>
    <x:row r="27" ht="51" customHeight="1">
      <x:c r="A27" s="14" t="str">
        <x:v>null</x:v>
      </x:c>
      <x:c r="B27" s="14" t="str">
        <x:v>null</x:v>
      </x:c>
      <x:c r="C27" s="14" t="str">
        <x:v>16670718</x:v>
      </x:c>
      <x:c r="D27" s="14" t="str">
        <x:v>[]</x:v>
      </x:c>
      <x:c r="E27" s="14" t="str">
        <x:v>CHEMBL3855278</x:v>
      </x:c>
      <x:c r="F27" s="14" t="str">
        <x:v>Displacement of [3H]-spiperone from human dopamine D2 receptor expressed in CHO-K1 cell membranes coexpressing Galpha16 after 120 mins by liquid scintillation counting</x:v>
      </x:c>
      <x:c r="G27" s="14" t="str">
        <x:v>B</x:v>
      </x:c>
      <x:c r="H27" s="14" t="str">
        <x:v>null</x:v>
      </x:c>
      <x:c r="I27" s="14" t="str">
        <x:v>null</x:v>
      </x:c>
      <x:c r="J27" s="14" t="str">
        <x:v>BAO_0000192</x:v>
      </x:c>
      <x:c r="K27" s="14" t="str">
        <x:v>BAO_0000219</x:v>
      </x:c>
      <x:c r="L27" s="14" t="str">
        <x:v>cell-based format</x:v>
      </x:c>
      <x:c r="M27" s="14" t="str">
        <x:v>Cn1c(SCCCN2CC[C@]3(C[C@@H]3c3ccc(C(F)(F)F)cc3)C2)nnc1C1=CCC(=O)N=C1</x:v>
      </x:c>
      <x:c r="N27" s="14" t="str">
        <x:v>null</x:v>
      </x:c>
      <x:c r="O27" s="14" t="str">
        <x:v>null</x:v>
      </x:c>
      <x:c r="P27" s="14" t="str">
        <x:v>CHEMBL3853329</x:v>
      </x:c>
      <x:c r="Q27" s="14" t="str">
        <x:v>J Med Chem</x:v>
      </x:c>
      <x:c r="R27" s="17" t="n">
        <x:v>2016</x:v>
      </x:c>
      <x:c r="S27" s="14" t="str">
        <x:v>{"bei":"13.22","le":"0.26","lle":"1.89","sei":"10.21"}</x:v>
      </x:c>
      <x:c r="T27" s="14" t="str">
        <x:v>null</x:v>
      </x:c>
      <x:c r="U27" s="14" t="str">
        <x:v>CHEMBL3964512</x:v>
      </x:c>
      <x:c r="V27" s="14" t="str">
        <x:v>null</x:v>
      </x:c>
      <x:c r="W27" s="14" t="str">
        <x:v>CHEMBL3964512</x:v>
      </x:c>
      <x:c r="X27" s="15" t="n">
        <x:v>6.47</x:v>
      </x:c>
      <x:c r="Y27" s="17" t="n">
        <x:v>0</x:v>
      </x:c>
      <x:c r="Z27" s="14" t="str">
        <x:v>http://www.openphacts.org/units/Nanomolar</x:v>
      </x:c>
      <x:c r="AA27" s="14" t="str">
        <x:v>2796869</x:v>
      </x:c>
      <x:c r="AB27" s="14" t="str">
        <x:v>=</x:v>
      </x:c>
      <x:c r="AC27" s="14" t="str">
        <x:v>1</x:v>
      </x:c>
      <x:c r="AD27" s="17" t="n">
        <x:v>1</x:v>
      </x:c>
      <x:c r="AE27" s="14" t="str">
        <x:v>=</x:v>
      </x:c>
      <x:c r="AF27" s="14" t="str">
        <x:v>null</x:v>
      </x:c>
      <x:c r="AG27" s="14" t="str">
        <x:v>Ki</x:v>
      </x:c>
      <x:c r="AH27" s="14" t="str">
        <x:v>nM</x:v>
      </x:c>
      <x:c r="AI27" s="14" t="str">
        <x:v>null</x:v>
      </x:c>
      <x:c r="AJ27" s="15" t="n">
        <x:v>338.84</x:v>
      </x:c>
      <x:c r="AK27" s="14" t="str">
        <x:v>CHEMBL217</x:v>
      </x:c>
      <x:c r="AL27" s="14" t="str">
        <x:v>Homo sapiens</x:v>
      </x:c>
      <x:c r="AM27" s="14" t="str">
        <x:v>D(2) dopamine receptor</x:v>
      </x:c>
      <x:c r="AN27" s="14" t="str">
        <x:v>9606</x:v>
      </x:c>
      <x:c r="AO27" s="14" t="str">
        <x:v>null</x:v>
      </x:c>
      <x:c r="AP27" s="14" t="str">
        <x:v>null</x:v>
      </x:c>
      <x:c r="AQ27" s="14" t="str">
        <x:v>pKi</x:v>
      </x:c>
      <x:c r="AR27" s="14" t="str">
        <x:v>null</x:v>
      </x:c>
      <x:c r="AS27" s="14" t="str">
        <x:v>UO_0000065</x:v>
      </x:c>
      <x:c r="AT27" s="14" t="str">
        <x:v>null</x:v>
      </x:c>
      <x:c r="AU27" s="14" t="str">
        <x:v>6.47</x:v>
      </x:c>
      <x:c r="AV27" s="15" t="n">
        <x:v>0.00501</x:v>
      </x:c>
      <x:c r="AW27" s="14" t="str">
        <x:v>exclude</x:v>
      </x:c>
      <x:c r="AX27" s="14" t="str">
        <x:v>multiple_source_records_for_full_parent_identity</x:v>
      </x:c>
      <x:c r="AY27" s="15" t="n">
        <x:v>338.84415613920277</x:v>
      </x:c>
      <x:c r="AZ27" s="14" t="str">
        <x:v>source_reported_pKi</x:v>
      </x:c>
      <x:c r="BA27" s="15" t="n">
        <x:v>6.47</x:v>
      </x:c>
      <x:c r="BB27" s="14" t="str">
        <x:v>3842ebb3cf37ce196c93845abc423a242d3dbf45e54e8f51bb9a54a8765b2b26</x:v>
      </x:c>
      <x:c r="BC27" s="14" t="str">
        <x:v>XJTVRXYTOLNCDQ-XXBNENTESA-N</x:v>
      </x:c>
      <x:c r="BD27" s="14" t="str">
        <x:v>Cn1c(SCCCN2CC[C@]3(C[C@@H]3c3ccc(C(F)(F)F)cc3)C2)nnc1C1=CCC(=O)N=C1</x:v>
      </x:c>
      <x:c r="BE27" s="14" t="str">
        <x:v>Cn1c(SCCCN2CCC3(CC3c3ccc(C(F)(F)F)cc3)C2)nnc1C1=CCC(=O)N=C1</x:v>
      </x:c>
      <x:c r="BF27" s="14" t="str">
        <x:v>Cn1c(SCCCN2CC[C@]3(C[C@@H]3c3ccc(C(F)(F)F)cc3)C2)nnc1C1=CCC(=O)N=C1</x:v>
      </x:c>
      <x:c r="BG27" s="16" t="n">
        <x:v>0.000005326930858196022</x:v>
      </x:c>
      <x:c r="BH27" s="15" t="n">
        <x:v>6.470005326930858</x:v>
      </x:c>
      <x:c r="BI27" s="14" t="str">
        <x:v>O=C1CC=C(c2nnc(SCCCN3CCC4(CC4c4ccccc4)C3)[nH]2)C=N1</x:v>
      </x:c>
      <x:c r="BJ27" s="17" t="n">
        <x:v>2</x:v>
      </x:c>
      <x:c r="BK27" s="15" t="n">
        <x:v>338.84</x:v>
      </x:c>
      <x:c r="BL27" s="16" t="n">
        <x:v>-0.0041561392027915645</x:v>
      </x:c>
      <x:c r="BM27" s="14" t="str">
        <x:v>false</x:v>
      </x:c>
    </x:row>
    <x:row r="28" ht="51" customHeight="1">
      <x:c r="A28" s="9" t="str">
        <x:v>null</x:v>
      </x:c>
      <x:c r="B28" s="9" t="str">
        <x:v>null</x:v>
      </x:c>
      <x:c r="C28" s="9" t="str">
        <x:v>16670811</x:v>
      </x:c>
      <x:c r="D28" s="9" t="str">
        <x:v>[]</x:v>
      </x:c>
      <x:c r="E28" s="9" t="str">
        <x:v>CHEMBL3855278</x:v>
      </x:c>
      <x:c r="F28" s="9" t="str">
        <x:v>Displacement of [3H]-spiperone from human dopamine D2 receptor expressed in CHO-K1 cell membranes coexpressing Galpha16 after 120 mins by liquid scintillation counting</x:v>
      </x:c>
      <x:c r="G28" s="9" t="str">
        <x:v>B</x:v>
      </x:c>
      <x:c r="H28" s="9" t="str">
        <x:v>null</x:v>
      </x:c>
      <x:c r="I28" s="9" t="str">
        <x:v>null</x:v>
      </x:c>
      <x:c r="J28" s="9" t="str">
        <x:v>BAO_0000192</x:v>
      </x:c>
      <x:c r="K28" s="9" t="str">
        <x:v>BAO_0000219</x:v>
      </x:c>
      <x:c r="L28" s="9" t="str">
        <x:v>cell-based format</x:v>
      </x:c>
      <x:c r="M28" s="9" t="str">
        <x:v>Cn1c(SCCCN2CC[C@]3(C[C@@H]3c3ccc(C(F)(F)F)cc3)C2)nnc1C1=CCC(=O)N=C1</x:v>
      </x:c>
      <x:c r="N28" s="9" t="str">
        <x:v>null</x:v>
      </x:c>
      <x:c r="O28" s="9" t="str">
        <x:v>null</x:v>
      </x:c>
      <x:c r="P28" s="9" t="str">
        <x:v>CHEMBL3853329</x:v>
      </x:c>
      <x:c r="Q28" s="9" t="str">
        <x:v>J Med Chem</x:v>
      </x:c>
      <x:c r="R28" s="13" t="n">
        <x:v>2016</x:v>
      </x:c>
      <x:c r="S28" s="9" t="str">
        <x:v>{"bei":"12.50","le":"0.25","lle":"1.54","sei":"9.66"}</x:v>
      </x:c>
      <x:c r="T28" s="9" t="str">
        <x:v>null</x:v>
      </x:c>
      <x:c r="U28" s="9" t="str">
        <x:v>CHEMBL3964512</x:v>
      </x:c>
      <x:c r="V28" s="9" t="str">
        <x:v>null</x:v>
      </x:c>
      <x:c r="W28" s="9" t="str">
        <x:v>CHEMBL3964512</x:v>
      </x:c>
      <x:c r="X28" s="11" t="n">
        <x:v>6.12</x:v>
      </x:c>
      <x:c r="Y28" s="13" t="n">
        <x:v>0</x:v>
      </x:c>
      <x:c r="Z28" s="9" t="str">
        <x:v>http://www.openphacts.org/units/Nanomolar</x:v>
      </x:c>
      <x:c r="AA28" s="9" t="str">
        <x:v>2796868</x:v>
      </x:c>
      <x:c r="AB28" s="9" t="str">
        <x:v>=</x:v>
      </x:c>
      <x:c r="AC28" s="9" t="str">
        <x:v>1</x:v>
      </x:c>
      <x:c r="AD28" s="13" t="n">
        <x:v>1</x:v>
      </x:c>
      <x:c r="AE28" s="9" t="str">
        <x:v>=</x:v>
      </x:c>
      <x:c r="AF28" s="9" t="str">
        <x:v>null</x:v>
      </x:c>
      <x:c r="AG28" s="9" t="str">
        <x:v>Ki</x:v>
      </x:c>
      <x:c r="AH28" s="9" t="str">
        <x:v>nM</x:v>
      </x:c>
      <x:c r="AI28" s="9" t="str">
        <x:v>null</x:v>
      </x:c>
      <x:c r="AJ28" s="11" t="n">
        <x:v>758.58</x:v>
      </x:c>
      <x:c r="AK28" s="9" t="str">
        <x:v>CHEMBL217</x:v>
      </x:c>
      <x:c r="AL28" s="9" t="str">
        <x:v>Homo sapiens</x:v>
      </x:c>
      <x:c r="AM28" s="9" t="str">
        <x:v>D(2) dopamine receptor</x:v>
      </x:c>
      <x:c r="AN28" s="9" t="str">
        <x:v>9606</x:v>
      </x:c>
      <x:c r="AO28" s="9" t="str">
        <x:v>null</x:v>
      </x:c>
      <x:c r="AP28" s="9" t="str">
        <x:v>null</x:v>
      </x:c>
      <x:c r="AQ28" s="9" t="str">
        <x:v>pKi</x:v>
      </x:c>
      <x:c r="AR28" s="9" t="str">
        <x:v>null</x:v>
      </x:c>
      <x:c r="AS28" s="9" t="str">
        <x:v>UO_0000065</x:v>
      </x:c>
      <x:c r="AT28" s="9" t="str">
        <x:v>null</x:v>
      </x:c>
      <x:c r="AU28" s="9" t="str">
        <x:v>6.12</x:v>
      </x:c>
      <x:c r="AV28" s="11" t="n">
        <x:v>0.00501</x:v>
      </x:c>
      <x:c r="AW28" s="9" t="str">
        <x:v>exclude</x:v>
      </x:c>
      <x:c r="AX28" s="9" t="str">
        <x:v>multiple_source_records_for_full_parent_identity</x:v>
      </x:c>
      <x:c r="AY28" s="11" t="n">
        <x:v>758.5775750291835</x:v>
      </x:c>
      <x:c r="AZ28" s="9" t="str">
        <x:v>source_reported_pKi</x:v>
      </x:c>
      <x:c r="BA28" s="11" t="n">
        <x:v>6.12</x:v>
      </x:c>
      <x:c r="BB28" s="9" t="str">
        <x:v>3842ebb3cf37ce196c93845abc423a242d3dbf45e54e8f51bb9a54a8765b2b26</x:v>
      </x:c>
      <x:c r="BC28" s="9" t="str">
        <x:v>XJTVRXYTOLNCDQ-XXBNENTESA-N</x:v>
      </x:c>
      <x:c r="BD28" s="9" t="str">
        <x:v>Cn1c(SCCCN2CC[C@]3(C[C@@H]3c3ccc(C(F)(F)F)cc3)C2)nnc1C1=CCC(=O)N=C1</x:v>
      </x:c>
      <x:c r="BE28" s="9" t="str">
        <x:v>Cn1c(SCCCN2CCC3(CC3c3ccc(C(F)(F)F)cc3)C2)nnc1C1=CCC(=O)N=C1</x:v>
      </x:c>
      <x:c r="BF28" s="9" t="str">
        <x:v>Cn1c(SCCCN2CC[C@]3(C[C@@H]3c3ccc(C(F)(F)F)cc3)C2)nnc1C1=CCC(=O)N=C1</x:v>
      </x:c>
      <x:c r="BG28" s="12" t="n">
        <x:v>-0.0000013883217695465078</x:v>
      </x:c>
      <x:c r="BH28" s="11" t="n">
        <x:v>6.119998611678231</x:v>
      </x:c>
      <x:c r="BI28" s="9" t="str">
        <x:v>O=C1CC=C(c2nnc(SCCCN3CCC4(CC4c4ccccc4)C3)[nH]2)C=N1</x:v>
      </x:c>
      <x:c r="BJ28" s="13" t="n">
        <x:v>2</x:v>
      </x:c>
      <x:c r="BK28" s="11" t="n">
        <x:v>758.58</x:v>
      </x:c>
      <x:c r="BL28" s="12" t="n">
        <x:v>0.002424970816491623</x:v>
      </x:c>
      <x:c r="BM28" s="9" t="str">
        <x:v>false</x:v>
      </x:c>
    </x:row>
  </x:sheetData>
  <x:pageMargins left="0.7" right="0.7" top="0.75" bottom="0.75" header="0.3" footer="0.3"/>
  <x:tableParts count="1">
    <x:tablePart xmlns:r="http://schemas.openxmlformats.org/officeDocument/2006/relationships" r:id="R1a6258765f38479a"/>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8" hidden="0" customWidth="1"/>
    <x:col min="3" max="3" width="17" hidden="0" customWidth="1"/>
    <x:col min="4" max="4" width="21" hidden="0" customWidth="1"/>
    <x:col min="5" max="5" width="17" hidden="0" customWidth="1"/>
    <x:col min="6" max="6" width="66" hidden="0" customWidth="1"/>
    <x:col min="7" max="7" width="17" hidden="0" customWidth="1"/>
    <x:col min="8" max="8" width="25" hidden="0" customWidth="1"/>
    <x:col min="9" max="9" width="24" hidden="0" customWidth="1"/>
    <x:col min="10" max="10" width="17" hidden="0" customWidth="1"/>
    <x:col min="11" max="11" width="17" hidden="0" customWidth="1"/>
    <x:col min="12" max="12" width="19" hidden="0" customWidth="1"/>
    <x:col min="13" max="13" width="66" hidden="0" customWidth="1"/>
    <x:col min="14" max="14" width="23" hidden="0" customWidth="1"/>
    <x:col min="15" max="15" width="27" hidden="0" customWidth="1"/>
    <x:col min="16" max="16" width="20" hidden="0" customWidth="1"/>
    <x:col min="17" max="17" width="18" hidden="0" customWidth="1"/>
    <x:col min="18" max="18" width="20" hidden="0" customWidth="1"/>
    <x:col min="19" max="19" width="56" hidden="0" customWidth="1"/>
    <x:col min="20" max="20" width="17" hidden="0" customWidth="1"/>
    <x:col min="21" max="21" width="20" hidden="0" customWidth="1"/>
    <x:col min="22" max="22" width="20" hidden="0" customWidth="1"/>
    <x:col min="23" max="23" width="27" hidden="0" customWidth="1"/>
    <x:col min="24" max="24" width="20" hidden="0" customWidth="1"/>
    <x:col min="25" max="25" width="21" hidden="0" customWidth="1"/>
    <x:col min="26" max="26" width="43" hidden="0" customWidth="1"/>
    <x:col min="27" max="27" width="17" hidden="0" customWidth="1"/>
    <x:col min="28" max="28" width="17" hidden="0" customWidth="1"/>
    <x:col min="29" max="29" width="17" hidden="0" customWidth="1"/>
    <x:col min="30" max="30" width="20" hidden="0" customWidth="1"/>
    <x:col min="31" max="31" width="19" hidden="0" customWidth="1"/>
    <x:col min="32" max="32" width="21" hidden="0" customWidth="1"/>
    <x:col min="33" max="33" width="17" hidden="0" customWidth="1"/>
    <x:col min="34" max="34" width="17" hidden="0" customWidth="1"/>
    <x:col min="35" max="35" width="22" hidden="0" customWidth="1"/>
    <x:col min="36" max="36" width="20" hidden="0" customWidth="1"/>
    <x:col min="37" max="37" width="18" hidden="0" customWidth="1"/>
    <x:col min="38" max="38" width="17" hidden="0" customWidth="1"/>
    <x:col min="39" max="39" width="24"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31" hidden="0" customWidth="1"/>
    <x:col min="49" max="49" width="17" hidden="0" customWidth="1"/>
    <x:col min="50" max="50" width="66" hidden="0" customWidth="1"/>
    <x:col min="51" max="51" width="36" hidden="0" customWidth="1"/>
    <x:col min="52" max="52" width="21" hidden="0" customWidth="1"/>
    <x:col min="53" max="53" width="20" hidden="0" customWidth="1"/>
    <x:col min="54" max="54" width="66" hidden="0" customWidth="1"/>
    <x:col min="55" max="55" width="29" hidden="0" customWidth="1"/>
    <x:col min="56" max="56" width="66" hidden="0" customWidth="1"/>
    <x:col min="57" max="57" width="61" hidden="0" customWidth="1"/>
    <x:col min="58" max="58" width="66" hidden="0" customWidth="1"/>
    <x:col min="59" max="59" width="34" hidden="0" customWidth="1"/>
    <x:col min="60" max="60" width="21" hidden="0" customWidth="1"/>
    <x:col min="61" max="61" width="53" hidden="0" customWidth="1"/>
    <x:col min="62" max="62" width="36" hidden="0" customWidth="1"/>
    <x:col min="63" max="63" width="22" hidden="0" customWidth="1"/>
    <x:col min="64" max="64" width="36" hidden="0" customWidth="1"/>
    <x:col min="65" max="65" width="36" hidden="0" customWidth="1"/>
  </x:cols>
  <x:sheetData>
    <x:row r="1" ht="48" customHeight="1">
      <x:c r="A1" s="6" t="str">
        <x:v>action_type</x:v>
      </x:c>
      <x:c r="B1" s="6" t="str">
        <x:v>activity_comment</x:v>
      </x:c>
      <x:c r="C1" s="6" t="str">
        <x:v>activity_id</x:v>
      </x:c>
      <x:c r="D1" s="6" t="str">
        <x:v>activity_properties</x:v>
      </x:c>
      <x:c r="E1" s="6" t="str">
        <x:v>assay_chembl_id</x:v>
      </x:c>
      <x:c r="F1" s="6" t="str">
        <x:v>assay_description</x:v>
      </x:c>
      <x:c r="G1" s="6" t="str">
        <x:v>assay_type</x:v>
      </x:c>
      <x:c r="H1" s="6" t="str">
        <x:v>assay_variant_accession</x:v>
      </x:c>
      <x:c r="I1" s="6" t="str">
        <x:v>assay_variant_mutation</x:v>
      </x:c>
      <x:c r="J1" s="6" t="str">
        <x:v>bao_endpoint</x:v>
      </x:c>
      <x:c r="K1" s="6" t="str">
        <x:v>bao_format</x:v>
      </x:c>
      <x:c r="L1" s="6" t="str">
        <x:v>bao_label</x:v>
      </x:c>
      <x:c r="M1" s="6" t="str">
        <x:v>canonical_smiles</x:v>
      </x:c>
      <x:c r="N1" s="6" t="str">
        <x:v>data_validity_comment</x:v>
      </x:c>
      <x:c r="O1" s="6" t="str">
        <x:v>data_validity_description</x:v>
      </x:c>
      <x:c r="P1" s="6" t="str">
        <x:v>document_chembl_id</x:v>
      </x:c>
      <x:c r="Q1" s="6" t="str">
        <x:v>document_journal</x:v>
      </x:c>
      <x:c r="R1" s="6" t="str">
        <x:v>document_year</x:v>
      </x:c>
      <x:c r="S1" s="6" t="str">
        <x:v>ligand_efficiency</x:v>
      </x:c>
      <x:c r="T1" s="6" t="str">
        <x:v>modality</x:v>
      </x:c>
      <x:c r="U1" s="6" t="str">
        <x:v>molecule_chembl_id</x:v>
      </x:c>
      <x:c r="V1" s="6" t="str">
        <x:v>molecule_pref_name</x:v>
      </x:c>
      <x:c r="W1" s="6" t="str">
        <x:v>parent_molecule_chembl_id</x:v>
      </x:c>
      <x:c r="X1" s="6" t="str">
        <x:v>pchembl_value</x:v>
      </x:c>
      <x:c r="Y1" s="6" t="str">
        <x:v>potential_duplicate</x:v>
      </x:c>
      <x:c r="Z1" s="6" t="str">
        <x:v>qudt_units</x:v>
      </x:c>
      <x:c r="AA1" s="6" t="str">
        <x:v>record_id</x:v>
      </x:c>
      <x:c r="AB1" s="6" t="str">
        <x:v>relation</x:v>
      </x:c>
      <x:c r="AC1" s="6" t="str">
        <x:v>src_id</x:v>
      </x:c>
      <x:c r="AD1" s="6" t="str">
        <x:v>standard_flag</x:v>
      </x:c>
      <x:c r="AE1" s="6" t="str">
        <x:v>standard_relation</x:v>
      </x:c>
      <x:c r="AF1" s="6" t="str">
        <x:v>standard_text_value</x:v>
      </x:c>
      <x:c r="AG1" s="6" t="str">
        <x:v>standard_type</x:v>
      </x:c>
      <x:c r="AH1" s="6" t="str">
        <x:v>standard_units</x:v>
      </x:c>
      <x:c r="AI1" s="6" t="str">
        <x:v>standard_upper_value</x:v>
      </x:c>
      <x:c r="AJ1" s="6" t="str">
        <x:v>standard_value</x:v>
      </x:c>
      <x:c r="AK1" s="6" t="str">
        <x:v>target_chembl_id</x:v>
      </x:c>
      <x:c r="AL1" s="6" t="str">
        <x:v>target_organism</x:v>
      </x:c>
      <x:c r="AM1" s="6" t="str">
        <x:v>target_pref_name</x:v>
      </x:c>
      <x:c r="AN1" s="6" t="str">
        <x:v>target_tax_id</x:v>
      </x:c>
      <x:c r="AO1" s="6" t="str">
        <x:v>text_value</x:v>
      </x:c>
      <x:c r="AP1" s="6" t="str">
        <x:v>toid</x:v>
      </x:c>
      <x:c r="AQ1" s="6" t="str">
        <x:v>type</x:v>
      </x:c>
      <x:c r="AR1" s="6" t="str">
        <x:v>units</x:v>
      </x:c>
      <x:c r="AS1" s="6" t="str">
        <x:v>uo_units</x:v>
      </x:c>
      <x:c r="AT1" s="6" t="str">
        <x:v>upper_value</x:v>
      </x:c>
      <x:c r="AU1" s="6" t="str">
        <x:v>value</x:v>
      </x:c>
      <x:c r="AV1" s="6" t="str">
        <x:v>audit_conversion_tolerance_nM</x:v>
      </x:c>
      <x:c r="AW1" s="6" t="str">
        <x:v>audit_decision</x:v>
      </x:c>
      <x:c r="AX1" s="6" t="str">
        <x:v>audit_exclusion_reasons</x:v>
      </x:c>
      <x:c r="AY1" s="6" t="str">
        <x:v>audit_expected_Ki_nM_from_original</x:v>
      </x:c>
      <x:c r="AZ1" s="6" t="str">
        <x:v>audit_label_origin</x:v>
      </x:c>
      <x:c r="BA1" s="6" t="str">
        <x:v>audit_pKi</x:v>
      </x:c>
      <x:c r="BB1" s="6" t="str">
        <x:v>audit_parent_connectivity_key</x:v>
      </x:c>
      <x:c r="BC1" s="6" t="str">
        <x:v>audit_parent_inchikey</x:v>
      </x:c>
      <x:c r="BD1" s="6" t="str">
        <x:v>audit_parent_isomeric_smiles</x:v>
      </x:c>
      <x:c r="BE1" s="6" t="str">
        <x:v>audit_parent_nonisomeric_smiles</x:v>
      </x:c>
      <x:c r="BF1" s="6" t="str">
        <x:v>audit_parent_smiles</x:v>
      </x:c>
      <x:c r="BG1" s="6" t="str">
        <x:v>audit_roundtrip_minus_source_pKi</x:v>
      </x:c>
      <x:c r="BH1" s="6" t="str">
        <x:v>audit_roundtrip_pKi</x:v>
      </x:c>
      <x:c r="BI1" s="6" t="str">
        <x:v>audit_scaffold_smiles</x:v>
      </x:c>
      <x:c r="BJ1" s="6" t="str">
        <x:v>audit_source_records_for_full_identity</x:v>
      </x:c>
      <x:c r="BK1" s="6" t="str">
        <x:v>audit_standard_Ki_nM</x:v>
      </x:c>
      <x:c r="BL1" s="6" t="str">
        <x:v>audit_standard_Ki_nM_minus_original_conversion</x:v>
      </x:c>
      <x:c r="BM1" s="6" t="str">
        <x:v>audit_structure_changed_from_source</x:v>
      </x:c>
    </x:row>
    <x:row r="2" ht="51" customHeight="1">
      <x:c r="A2" s="9" t="str">
        <x:v>null</x:v>
      </x:c>
      <x:c r="B2" s="9" t="str">
        <x:v>null</x:v>
      </x:c>
      <x:c r="C2" s="9" t="str">
        <x:v>16670134</x:v>
      </x:c>
      <x:c r="D2" s="9" t="str">
        <x:v>[]</x:v>
      </x:c>
      <x:c r="E2" s="9" t="str">
        <x:v>CHEMBL3855278</x:v>
      </x:c>
      <x:c r="F2" s="9" t="str">
        <x:v>Displacement of [3H]-spiperone from human dopamine D2 receptor expressed in CHO-K1 cell membranes coexpressing Galpha16 after 120 mins by liquid scintillation counting</x:v>
      </x:c>
      <x:c r="G2" s="9" t="str">
        <x:v>B</x:v>
      </x:c>
      <x:c r="H2" s="9" t="str">
        <x:v>null</x:v>
      </x:c>
      <x:c r="I2" s="9" t="str">
        <x:v>null</x:v>
      </x:c>
      <x:c r="J2" s="9" t="str">
        <x:v>BAO_0000192</x:v>
      </x:c>
      <x:c r="K2" s="9" t="str">
        <x:v>BAO_0000219</x:v>
      </x:c>
      <x:c r="L2" s="9" t="str">
        <x:v>cell-based format</x:v>
      </x:c>
      <x:c r="M2" s="9" t="str">
        <x:v>Cc1ncoc1-c1nnc(SCCCN2CC[C@]3(C[C@H]3c3ccccc3)C2)n1C</x:v>
      </x:c>
      <x:c r="N2" s="9" t="str">
        <x:v>null</x:v>
      </x:c>
      <x:c r="O2" s="9" t="str">
        <x:v>null</x:v>
      </x:c>
      <x:c r="P2" s="9" t="str">
        <x:v>CHEMBL3853329</x:v>
      </x:c>
      <x:c r="Q2" s="9" t="str">
        <x:v>J Med Chem</x:v>
      </x:c>
      <x:c r="R2" s="13" t="n">
        <x:v>2016</x:v>
      </x:c>
      <x:c r="S2" s="9" t="str">
        <x:v>{"bei":"14.65","le":"0.28","lle":"1.86","sei":"10.00"}</x:v>
      </x:c>
      <x:c r="T2" s="9" t="str">
        <x:v>null</x:v>
      </x:c>
      <x:c r="U2" s="9" t="str">
        <x:v>CHEMBL3958494</x:v>
      </x:c>
      <x:c r="V2" s="9" t="str">
        <x:v>null</x:v>
      </x:c>
      <x:c r="W2" s="9" t="str">
        <x:v>CHEMBL3958494</x:v>
      </x:c>
      <x:c r="X2" s="11" t="n">
        <x:v>6</x:v>
      </x:c>
      <x:c r="Y2" s="13" t="n">
        <x:v>0</x:v>
      </x:c>
      <x:c r="Z2" s="9" t="str">
        <x:v>http://www.openphacts.org/units/Nanomolar</x:v>
      </x:c>
      <x:c r="AA2" s="9" t="str">
        <x:v>2796774</x:v>
      </x:c>
      <x:c r="AB2" s="9" t="str">
        <x:v>=</x:v>
      </x:c>
      <x:c r="AC2" s="9" t="str">
        <x:v>1</x:v>
      </x:c>
      <x:c r="AD2" s="13" t="n">
        <x:v>1</x:v>
      </x:c>
      <x:c r="AE2" s="9" t="str">
        <x:v>=</x:v>
      </x:c>
      <x:c r="AF2" s="9" t="str">
        <x:v>null</x:v>
      </x:c>
      <x:c r="AG2" s="9" t="str">
        <x:v>Ki</x:v>
      </x:c>
      <x:c r="AH2" s="9" t="str">
        <x:v>nM</x:v>
      </x:c>
      <x:c r="AI2" s="9" t="str">
        <x:v>null</x:v>
      </x:c>
      <x:c r="AJ2" s="11" t="n">
        <x:v>1000</x:v>
      </x:c>
      <x:c r="AK2" s="9" t="str">
        <x:v>CHEMBL217</x:v>
      </x:c>
      <x:c r="AL2" s="9" t="str">
        <x:v>Homo sapiens</x:v>
      </x:c>
      <x:c r="AM2" s="9" t="str">
        <x:v>D(2) dopamine receptor</x:v>
      </x:c>
      <x:c r="AN2" s="9" t="str">
        <x:v>9606</x:v>
      </x:c>
      <x:c r="AO2" s="9" t="str">
        <x:v>null</x:v>
      </x:c>
      <x:c r="AP2" s="9" t="str">
        <x:v>null</x:v>
      </x:c>
      <x:c r="AQ2" s="9" t="str">
        <x:v>pKi</x:v>
      </x:c>
      <x:c r="AR2" s="9" t="str">
        <x:v>null</x:v>
      </x:c>
      <x:c r="AS2" s="9" t="str">
        <x:v>UO_0000065</x:v>
      </x:c>
      <x:c r="AT2" s="9" t="str">
        <x:v>null</x:v>
      </x:c>
      <x:c r="AU2" s="9" t="str">
        <x:v>6.0</x:v>
      </x:c>
      <x:c r="AV2" s="11" t="n">
        <x:v>0.00501</x:v>
      </x:c>
      <x:c r="AW2" s="9" t="str">
        <x:v>exclude</x:v>
      </x:c>
      <x:c r="AX2" s="9" t="str">
        <x:v>multiple_source_records_for_full_parent_identity</x:v>
      </x:c>
      <x:c r="AY2" s="11" t="n">
        <x:v>1000</x:v>
      </x:c>
      <x:c r="AZ2" s="9" t="str">
        <x:v>source_reported_pKi</x:v>
      </x:c>
      <x:c r="BA2" s="11" t="n">
        <x:v>6</x:v>
      </x:c>
      <x:c r="BB2" s="9" t="str">
        <x:v>5f5097a99ca905252039130a837b04ee6e5d355221accf984a4fc65edd2b7538</x:v>
      </x:c>
      <x:c r="BC2" s="9" t="str">
        <x:v>AAPXNHMQKBDDJN-AVRDEDQJSA-N</x:v>
      </x:c>
      <x:c r="BD2" s="9" t="str">
        <x:v>Cc1ncoc1-c1nnc(SCCCN2CC[C@]3(C[C@H]3c3ccccc3)C2)n1C</x:v>
      </x:c>
      <x:c r="BE2" s="9" t="str">
        <x:v>Cc1ncoc1-c1nnc(SCCCN2CCC3(CC3c3ccccc3)C2)n1C</x:v>
      </x:c>
      <x:c r="BF2" s="9" t="str">
        <x:v>Cc1ncoc1-c1nnc(SCCCN2CC[C@]3(C[C@H]3c3ccccc3)C2)n1C</x:v>
      </x:c>
      <x:c r="BG2" s="12" t="n">
        <x:v>0</x:v>
      </x:c>
      <x:c r="BH2" s="11" t="n">
        <x:v>6</x:v>
      </x:c>
      <x:c r="BI2" s="9" t="str">
        <x:v>c1ccc(C2CC23CCN(CCCSc2nnc(-c4cnco4)[nH]2)C3)cc1</x:v>
      </x:c>
      <x:c r="BJ2" s="13" t="n">
        <x:v>2</x:v>
      </x:c>
      <x:c r="BK2" s="11" t="n">
        <x:v>1000</x:v>
      </x:c>
      <x:c r="BL2" s="12" t="n">
        <x:v>0</x:v>
      </x:c>
      <x:c r="BM2" s="9" t="str">
        <x:v>false</x:v>
      </x:c>
    </x:row>
    <x:row r="3" ht="51" customHeight="1">
      <x:c r="A3" s="14" t="str">
        <x:v>null</x:v>
      </x:c>
      <x:c r="B3" s="14" t="str">
        <x:v>null</x:v>
      </x:c>
      <x:c r="C3" s="14" t="str">
        <x:v>16670135</x:v>
      </x:c>
      <x:c r="D3" s="14" t="str">
        <x:v>[]</x:v>
      </x:c>
      <x:c r="E3" s="14" t="str">
        <x:v>CHEMBL3855278</x:v>
      </x:c>
      <x:c r="F3" s="14" t="str">
        <x:v>Displacement of [3H]-spiperone from human dopamine D2 receptor expressed in CHO-K1 cell membranes coexpressing Galpha16 after 120 mins by liquid scintillation counting</x:v>
      </x:c>
      <x:c r="G3" s="14" t="str">
        <x:v>B</x:v>
      </x:c>
      <x:c r="H3" s="14" t="str">
        <x:v>null</x:v>
      </x:c>
      <x:c r="I3" s="14" t="str">
        <x:v>null</x:v>
      </x:c>
      <x:c r="J3" s="14" t="str">
        <x:v>BAO_0000192</x:v>
      </x:c>
      <x:c r="K3" s="14" t="str">
        <x:v>BAO_0000219</x:v>
      </x:c>
      <x:c r="L3" s="14" t="str">
        <x:v>cell-based format</x:v>
      </x:c>
      <x:c r="M3" s="14" t="str">
        <x:v>Cc1ncoc1-c1nnc(SCCCN2CC[C@]3(C[C@H]3c3ccccc3)C2)n1C</x:v>
      </x:c>
      <x:c r="N3" s="14" t="str">
        <x:v>null</x:v>
      </x:c>
      <x:c r="O3" s="14" t="str">
        <x:v>null</x:v>
      </x:c>
      <x:c r="P3" s="14" t="str">
        <x:v>CHEMBL3853329</x:v>
      </x:c>
      <x:c r="Q3" s="14" t="str">
        <x:v>J Med Chem</x:v>
      </x:c>
      <x:c r="R3" s="17" t="n">
        <x:v>2016</x:v>
      </x:c>
      <x:c r="S3" s="14" t="str">
        <x:v>{"bei":"15.36","le":"0.30","lle":"2.15","sei":"10.49"}</x:v>
      </x:c>
      <x:c r="T3" s="14" t="str">
        <x:v>null</x:v>
      </x:c>
      <x:c r="U3" s="14" t="str">
        <x:v>CHEMBL3958494</x:v>
      </x:c>
      <x:c r="V3" s="14" t="str">
        <x:v>null</x:v>
      </x:c>
      <x:c r="W3" s="14" t="str">
        <x:v>CHEMBL3958494</x:v>
      </x:c>
      <x:c r="X3" s="15" t="n">
        <x:v>6.29</x:v>
      </x:c>
      <x:c r="Y3" s="17" t="n">
        <x:v>0</x:v>
      </x:c>
      <x:c r="Z3" s="14" t="str">
        <x:v>http://www.openphacts.org/units/Nanomolar</x:v>
      </x:c>
      <x:c r="AA3" s="14" t="str">
        <x:v>2796775</x:v>
      </x:c>
      <x:c r="AB3" s="14" t="str">
        <x:v>=</x:v>
      </x:c>
      <x:c r="AC3" s="14" t="str">
        <x:v>1</x:v>
      </x:c>
      <x:c r="AD3" s="17" t="n">
        <x:v>1</x:v>
      </x:c>
      <x:c r="AE3" s="14" t="str">
        <x:v>=</x:v>
      </x:c>
      <x:c r="AF3" s="14" t="str">
        <x:v>null</x:v>
      </x:c>
      <x:c r="AG3" s="14" t="str">
        <x:v>Ki</x:v>
      </x:c>
      <x:c r="AH3" s="14" t="str">
        <x:v>nM</x:v>
      </x:c>
      <x:c r="AI3" s="14" t="str">
        <x:v>null</x:v>
      </x:c>
      <x:c r="AJ3" s="15" t="n">
        <x:v>512.86</x:v>
      </x:c>
      <x:c r="AK3" s="14" t="str">
        <x:v>CHEMBL217</x:v>
      </x:c>
      <x:c r="AL3" s="14" t="str">
        <x:v>Homo sapiens</x:v>
      </x:c>
      <x:c r="AM3" s="14" t="str">
        <x:v>D(2) dopamine receptor</x:v>
      </x:c>
      <x:c r="AN3" s="14" t="str">
        <x:v>9606</x:v>
      </x:c>
      <x:c r="AO3" s="14" t="str">
        <x:v>null</x:v>
      </x:c>
      <x:c r="AP3" s="14" t="str">
        <x:v>null</x:v>
      </x:c>
      <x:c r="AQ3" s="14" t="str">
        <x:v>pKi</x:v>
      </x:c>
      <x:c r="AR3" s="14" t="str">
        <x:v>null</x:v>
      </x:c>
      <x:c r="AS3" s="14" t="str">
        <x:v>UO_0000065</x:v>
      </x:c>
      <x:c r="AT3" s="14" t="str">
        <x:v>null</x:v>
      </x:c>
      <x:c r="AU3" s="14" t="str">
        <x:v>6.29</x:v>
      </x:c>
      <x:c r="AV3" s="15" t="n">
        <x:v>0.00501</x:v>
      </x:c>
      <x:c r="AW3" s="14" t="str">
        <x:v>exclude</x:v>
      </x:c>
      <x:c r="AX3" s="14" t="str">
        <x:v>multiple_source_records_for_full_parent_identity</x:v>
      </x:c>
      <x:c r="AY3" s="15" t="n">
        <x:v>512.8613839913648</x:v>
      </x:c>
      <x:c r="AZ3" s="14" t="str">
        <x:v>source_reported_pKi</x:v>
      </x:c>
      <x:c r="BA3" s="15" t="n">
        <x:v>6.29</x:v>
      </x:c>
      <x:c r="BB3" s="14" t="str">
        <x:v>5f5097a99ca905252039130a837b04ee6e5d355221accf984a4fc65edd2b7538</x:v>
      </x:c>
      <x:c r="BC3" s="14" t="str">
        <x:v>AAPXNHMQKBDDJN-AVRDEDQJSA-N</x:v>
      </x:c>
      <x:c r="BD3" s="14" t="str">
        <x:v>Cc1ncoc1-c1nnc(SCCCN2CC[C@]3(C[C@H]3c3ccccc3)C2)n1C</x:v>
      </x:c>
      <x:c r="BE3" s="14" t="str">
        <x:v>Cc1ncoc1-c1nnc(SCCCN2CCC3(CC3c3ccccc3)C2)n1C</x:v>
      </x:c>
      <x:c r="BF3" s="14" t="str">
        <x:v>Cc1ncoc1-c1nnc(SCCCN2CC[C@]3(C[C@H]3c3ccccc3)C2)n1C</x:v>
      </x:c>
      <x:c r="BG3" s="16" t="n">
        <x:v>0.0000011719748114202844</x:v>
      </x:c>
      <x:c r="BH3" s="15" t="n">
        <x:v>6.2900011719748115</x:v>
      </x:c>
      <x:c r="BI3" s="14" t="str">
        <x:v>c1ccc(C2CC23CCN(CCCSc2nnc(-c4cnco4)[nH]2)C3)cc1</x:v>
      </x:c>
      <x:c r="BJ3" s="17" t="n">
        <x:v>2</x:v>
      </x:c>
      <x:c r="BK3" s="15" t="n">
        <x:v>512.86</x:v>
      </x:c>
      <x:c r="BL3" s="16" t="n">
        <x:v>-0.001383991364832582</x:v>
      </x:c>
      <x:c r="BM3" s="14" t="str">
        <x:v>false</x:v>
      </x:c>
    </x:row>
    <x:row r="4" ht="51" customHeight="1">
      <x:c r="A4" s="9" t="str">
        <x:v>null</x:v>
      </x:c>
      <x:c r="B4" s="9" t="str">
        <x:v>null</x:v>
      </x:c>
      <x:c r="C4" s="9" t="str">
        <x:v>16670137</x:v>
      </x:c>
      <x:c r="D4" s="9" t="str">
        <x:v>[]</x:v>
      </x:c>
      <x:c r="E4" s="9" t="str">
        <x:v>CHEMBL3855278</x:v>
      </x:c>
      <x:c r="F4" s="9" t="str">
        <x:v>Displacement of [3H]-spiperone from human dopamine D2 receptor expressed in CHO-K1 cell membranes coexpressing Galpha16 after 120 mins by liquid scintillation counting</x:v>
      </x:c>
      <x:c r="G4" s="9" t="str">
        <x:v>B</x:v>
      </x:c>
      <x:c r="H4" s="9" t="str">
        <x:v>null</x:v>
      </x:c>
      <x:c r="I4" s="9" t="str">
        <x:v>null</x:v>
      </x:c>
      <x:c r="J4" s="9" t="str">
        <x:v>BAO_0000192</x:v>
      </x:c>
      <x:c r="K4" s="9" t="str">
        <x:v>BAO_0000219</x:v>
      </x:c>
      <x:c r="L4" s="9" t="str">
        <x:v>cell-based format</x:v>
      </x:c>
      <x:c r="M4" s="9" t="str">
        <x:v>Cc1ncoc1-c1nnc(SCCCN2CC[C@]3(C[C@@H]3c3ccccc3)C2)n1C</x:v>
      </x:c>
      <x:c r="N4" s="9" t="str">
        <x:v>null</x:v>
      </x:c>
      <x:c r="O4" s="9" t="str">
        <x:v>null</x:v>
      </x:c>
      <x:c r="P4" s="9" t="str">
        <x:v>CHEMBL3853329</x:v>
      </x:c>
      <x:c r="Q4" s="9" t="str">
        <x:v>J Med Chem</x:v>
      </x:c>
      <x:c r="R4" s="13" t="n">
        <x:v>2016</x:v>
      </x:c>
      <x:c r="S4" s="9" t="str">
        <x:v>{"bei":"14.72","le":"0.28","lle":"1.89","sei":"10.05"}</x:v>
      </x:c>
      <x:c r="T4" s="9" t="str">
        <x:v>null</x:v>
      </x:c>
      <x:c r="U4" s="9" t="str">
        <x:v>CHEMBL3913062</x:v>
      </x:c>
      <x:c r="V4" s="9" t="str">
        <x:v>null</x:v>
      </x:c>
      <x:c r="W4" s="9" t="str">
        <x:v>CHEMBL3913062</x:v>
      </x:c>
      <x:c r="X4" s="11" t="n">
        <x:v>6.03</x:v>
      </x:c>
      <x:c r="Y4" s="13" t="n">
        <x:v>0</x:v>
      </x:c>
      <x:c r="Z4" s="9" t="str">
        <x:v>http://www.openphacts.org/units/Nanomolar</x:v>
      </x:c>
      <x:c r="AA4" s="9" t="str">
        <x:v>2796777</x:v>
      </x:c>
      <x:c r="AB4" s="9" t="str">
        <x:v>=</x:v>
      </x:c>
      <x:c r="AC4" s="9" t="str">
        <x:v>1</x:v>
      </x:c>
      <x:c r="AD4" s="13" t="n">
        <x:v>1</x:v>
      </x:c>
      <x:c r="AE4" s="9" t="str">
        <x:v>=</x:v>
      </x:c>
      <x:c r="AF4" s="9" t="str">
        <x:v>null</x:v>
      </x:c>
      <x:c r="AG4" s="9" t="str">
        <x:v>Ki</x:v>
      </x:c>
      <x:c r="AH4" s="9" t="str">
        <x:v>nM</x:v>
      </x:c>
      <x:c r="AI4" s="9" t="str">
        <x:v>null</x:v>
      </x:c>
      <x:c r="AJ4" s="11" t="n">
        <x:v>933.25</x:v>
      </x:c>
      <x:c r="AK4" s="9" t="str">
        <x:v>CHEMBL217</x:v>
      </x:c>
      <x:c r="AL4" s="9" t="str">
        <x:v>Homo sapiens</x:v>
      </x:c>
      <x:c r="AM4" s="9" t="str">
        <x:v>D(2) dopamine receptor</x:v>
      </x:c>
      <x:c r="AN4" s="9" t="str">
        <x:v>9606</x:v>
      </x:c>
      <x:c r="AO4" s="9" t="str">
        <x:v>null</x:v>
      </x:c>
      <x:c r="AP4" s="9" t="str">
        <x:v>null</x:v>
      </x:c>
      <x:c r="AQ4" s="9" t="str">
        <x:v>pKi</x:v>
      </x:c>
      <x:c r="AR4" s="9" t="str">
        <x:v>null</x:v>
      </x:c>
      <x:c r="AS4" s="9" t="str">
        <x:v>UO_0000065</x:v>
      </x:c>
      <x:c r="AT4" s="9" t="str">
        <x:v>null</x:v>
      </x:c>
      <x:c r="AU4" s="9" t="str">
        <x:v>6.03</x:v>
      </x:c>
      <x:c r="AV4" s="11" t="n">
        <x:v>0.00501</x:v>
      </x:c>
      <x:c r="AW4" s="9" t="str">
        <x:v>exclude</x:v>
      </x:c>
      <x:c r="AX4" s="9" t="str">
        <x:v>multiple_source_records_for_full_parent_identity</x:v>
      </x:c>
      <x:c r="AY4" s="11" t="n">
        <x:v>933.2543007969905</x:v>
      </x:c>
      <x:c r="AZ4" s="9" t="str">
        <x:v>source_reported_pKi</x:v>
      </x:c>
      <x:c r="BA4" s="11" t="n">
        <x:v>6.03</x:v>
      </x:c>
      <x:c r="BB4" s="9" t="str">
        <x:v>5f5097a99ca905252039130a837b04ee6e5d355221accf984a4fc65edd2b7538</x:v>
      </x:c>
      <x:c r="BC4" s="9" t="str">
        <x:v>AAPXNHMQKBDDJN-GCJKJVERSA-N</x:v>
      </x:c>
      <x:c r="BD4" s="9" t="str">
        <x:v>Cc1ncoc1-c1nnc(SCCCN2CC[C@]3(C[C@@H]3c3ccccc3)C2)n1C</x:v>
      </x:c>
      <x:c r="BE4" s="9" t="str">
        <x:v>Cc1ncoc1-c1nnc(SCCCN2CCC3(CC3c3ccccc3)C2)n1C</x:v>
      </x:c>
      <x:c r="BF4" s="9" t="str">
        <x:v>Cc1ncoc1-c1nnc(SCCCN2CC[C@]3(C[C@@H]3c3ccccc3)C2)n1C</x:v>
      </x:c>
      <x:c r="BG4" s="12" t="n">
        <x:v>0.0000020014016577363236</x:v>
      </x:c>
      <x:c r="BH4" s="11" t="n">
        <x:v>6.030002001401658</x:v>
      </x:c>
      <x:c r="BI4" s="9" t="str">
        <x:v>c1ccc(C2CC23CCN(CCCSc2nnc(-c4cnco4)[nH]2)C3)cc1</x:v>
      </x:c>
      <x:c r="BJ4" s="13" t="n">
        <x:v>2</x:v>
      </x:c>
      <x:c r="BK4" s="11" t="n">
        <x:v>933.25</x:v>
      </x:c>
      <x:c r="BL4" s="12" t="n">
        <x:v>-0.004300796990492017</x:v>
      </x:c>
      <x:c r="BM4" s="9" t="str">
        <x:v>false</x:v>
      </x:c>
    </x:row>
    <x:row r="5" ht="51" customHeight="1">
      <x:c r="A5" s="14" t="str">
        <x:v>null</x:v>
      </x:c>
      <x:c r="B5" s="14" t="str">
        <x:v>null</x:v>
      </x:c>
      <x:c r="C5" s="14" t="str">
        <x:v>16670138</x:v>
      </x:c>
      <x:c r="D5" s="14" t="str">
        <x:v>[]</x:v>
      </x:c>
      <x:c r="E5" s="14" t="str">
        <x:v>CHEMBL3855278</x:v>
      </x:c>
      <x:c r="F5" s="14" t="str">
        <x:v>Displacement of [3H]-spiperone from human dopamine D2 receptor expressed in CHO-K1 cell membranes coexpressing Galpha16 after 120 mins by liquid scintillation counting</x:v>
      </x:c>
      <x:c r="G5" s="14" t="str">
        <x:v>B</x:v>
      </x:c>
      <x:c r="H5" s="14" t="str">
        <x:v>null</x:v>
      </x:c>
      <x:c r="I5" s="14" t="str">
        <x:v>null</x:v>
      </x:c>
      <x:c r="J5" s="14" t="str">
        <x:v>BAO_0000192</x:v>
      </x:c>
      <x:c r="K5" s="14" t="str">
        <x:v>BAO_0000219</x:v>
      </x:c>
      <x:c r="L5" s="14" t="str">
        <x:v>cell-based format</x:v>
      </x:c>
      <x:c r="M5" s="14" t="str">
        <x:v>Cc1ncoc1-c1nnc(SCCCN2CC[C@]3(C[C@@H]3c3ccccc3)C2)n1C</x:v>
      </x:c>
      <x:c r="N5" s="14" t="str">
        <x:v>null</x:v>
      </x:c>
      <x:c r="O5" s="14" t="str">
        <x:v>null</x:v>
      </x:c>
      <x:c r="P5" s="14" t="str">
        <x:v>CHEMBL3853329</x:v>
      </x:c>
      <x:c r="Q5" s="14" t="str">
        <x:v>J Med Chem</x:v>
      </x:c>
      <x:c r="R5" s="17" t="n">
        <x:v>2016</x:v>
      </x:c>
      <x:c r="S5" s="14" t="str">
        <x:v>{"bei":"11.65","le":"0.22","lle":"0.63","sei":"7.95"}</x:v>
      </x:c>
      <x:c r="T5" s="14" t="str">
        <x:v>null</x:v>
      </x:c>
      <x:c r="U5" s="14" t="str">
        <x:v>CHEMBL3913062</x:v>
      </x:c>
      <x:c r="V5" s="14" t="str">
        <x:v>null</x:v>
      </x:c>
      <x:c r="W5" s="14" t="str">
        <x:v>CHEMBL3913062</x:v>
      </x:c>
      <x:c r="X5" s="15" t="n">
        <x:v>4.77</x:v>
      </x:c>
      <x:c r="Y5" s="17" t="n">
        <x:v>0</x:v>
      </x:c>
      <x:c r="Z5" s="14" t="str">
        <x:v>http://www.openphacts.org/units/Nanomolar</x:v>
      </x:c>
      <x:c r="AA5" s="14" t="str">
        <x:v>2796778</x:v>
      </x:c>
      <x:c r="AB5" s="14" t="str">
        <x:v>=</x:v>
      </x:c>
      <x:c r="AC5" s="14" t="str">
        <x:v>1</x:v>
      </x:c>
      <x:c r="AD5" s="17" t="n">
        <x:v>1</x:v>
      </x:c>
      <x:c r="AE5" s="14" t="str">
        <x:v>=</x:v>
      </x:c>
      <x:c r="AF5" s="14" t="str">
        <x:v>null</x:v>
      </x:c>
      <x:c r="AG5" s="14" t="str">
        <x:v>Ki</x:v>
      </x:c>
      <x:c r="AH5" s="14" t="str">
        <x:v>nM</x:v>
      </x:c>
      <x:c r="AI5" s="14" t="str">
        <x:v>null</x:v>
      </x:c>
      <x:c r="AJ5" s="15" t="n">
        <x:v>16982.44</x:v>
      </x:c>
      <x:c r="AK5" s="14" t="str">
        <x:v>CHEMBL217</x:v>
      </x:c>
      <x:c r="AL5" s="14" t="str">
        <x:v>Homo sapiens</x:v>
      </x:c>
      <x:c r="AM5" s="14" t="str">
        <x:v>D(2) dopamine receptor</x:v>
      </x:c>
      <x:c r="AN5" s="14" t="str">
        <x:v>9606</x:v>
      </x:c>
      <x:c r="AO5" s="14" t="str">
        <x:v>null</x:v>
      </x:c>
      <x:c r="AP5" s="14" t="str">
        <x:v>null</x:v>
      </x:c>
      <x:c r="AQ5" s="14" t="str">
        <x:v>pKi</x:v>
      </x:c>
      <x:c r="AR5" s="14" t="str">
        <x:v>null</x:v>
      </x:c>
      <x:c r="AS5" s="14" t="str">
        <x:v>UO_0000065</x:v>
      </x:c>
      <x:c r="AT5" s="14" t="str">
        <x:v>null</x:v>
      </x:c>
      <x:c r="AU5" s="14" t="str">
        <x:v>4.77</x:v>
      </x:c>
      <x:c r="AV5" s="15" t="n">
        <x:v>0.01698243652461746</x:v>
      </x:c>
      <x:c r="AW5" s="14" t="str">
        <x:v>exclude</x:v>
      </x:c>
      <x:c r="AX5" s="14" t="str">
        <x:v>multiple_source_records_for_full_parent_identity</x:v>
      </x:c>
      <x:c r="AY5" s="15" t="n">
        <x:v>16982.43652461746</x:v>
      </x:c>
      <x:c r="AZ5" s="14" t="str">
        <x:v>source_reported_pKi</x:v>
      </x:c>
      <x:c r="BA5" s="15" t="n">
        <x:v>4.77</x:v>
      </x:c>
      <x:c r="BB5" s="14" t="str">
        <x:v>5f5097a99ca905252039130a837b04ee6e5d355221accf984a4fc65edd2b7538</x:v>
      </x:c>
      <x:c r="BC5" s="14" t="str">
        <x:v>AAPXNHMQKBDDJN-GCJKJVERSA-N</x:v>
      </x:c>
      <x:c r="BD5" s="14" t="str">
        <x:v>Cc1ncoc1-c1nnc(SCCCN2CC[C@]3(C[C@@H]3c3ccccc3)C2)n1C</x:v>
      </x:c>
      <x:c r="BE5" s="14" t="str">
        <x:v>Cc1ncoc1-c1nnc(SCCCN2CCC3(CC3c3ccccc3)C2)n1C</x:v>
      </x:c>
      <x:c r="BF5" s="14" t="str">
        <x:v>Cc1ncoc1-c1nnc(SCCCN2CC[C@]3(C[C@@H]3c3ccccc3)C2)n1C</x:v>
      </x:c>
      <x:c r="BG5" s="16" t="n">
        <x:v>-8.88764875028869e-8</x:v>
      </x:c>
      <x:c r="BH5" s="15" t="n">
        <x:v>4.769999911123512</x:v>
      </x:c>
      <x:c r="BI5" s="14" t="str">
        <x:v>c1ccc(C2CC23CCN(CCCSc2nnc(-c4cnco4)[nH]2)C3)cc1</x:v>
      </x:c>
      <x:c r="BJ5" s="17" t="n">
        <x:v>2</x:v>
      </x:c>
      <x:c r="BK5" s="15" t="n">
        <x:v>16982.44</x:v>
      </x:c>
      <x:c r="BL5" s="16" t="n">
        <x:v>0.0034753825384541415</x:v>
      </x:c>
      <x:c r="BM5" s="14" t="str">
        <x:v>false</x:v>
      </x:c>
    </x:row>
    <x:row r="6" ht="51" customHeight="1">
      <x:c r="A6" s="9" t="str">
        <x:v>null</x:v>
      </x:c>
      <x:c r="B6" s="9" t="str">
        <x:v>null</x:v>
      </x:c>
      <x:c r="C6" s="9" t="str">
        <x:v>16670140</x:v>
      </x:c>
      <x:c r="D6" s="9" t="str">
        <x:v>[]</x:v>
      </x:c>
      <x:c r="E6" s="9" t="str">
        <x:v>CHEMBL3855278</x:v>
      </x:c>
      <x:c r="F6" s="9" t="str">
        <x:v>Displacement of [3H]-spiperone from human dopamine D2 receptor expressed in CHO-K1 cell membranes coexpressing Galpha16 after 120 mins by liquid scintillation counting</x:v>
      </x:c>
      <x:c r="G6" s="9" t="str">
        <x:v>B</x:v>
      </x:c>
      <x:c r="H6" s="9" t="str">
        <x:v>null</x:v>
      </x:c>
      <x:c r="I6" s="9" t="str">
        <x:v>null</x:v>
      </x:c>
      <x:c r="J6" s="9" t="str">
        <x:v>BAO_0000192</x:v>
      </x:c>
      <x:c r="K6" s="9" t="str">
        <x:v>BAO_0000219</x:v>
      </x:c>
      <x:c r="L6" s="9" t="str">
        <x:v>cell-based format</x:v>
      </x:c>
      <x:c r="M6" s="9" t="str">
        <x:v>Cc1ncoc1-c1nnc(SCCCN2CC[C@]3(C[C@H]3c3ccc(C(F)(F)F)cc3)C2)n1C</x:v>
      </x:c>
      <x:c r="N6" s="9" t="str">
        <x:v>null</x:v>
      </x:c>
      <x:c r="O6" s="9" t="str">
        <x:v>null</x:v>
      </x:c>
      <x:c r="P6" s="9" t="str">
        <x:v>CHEMBL3853329</x:v>
      </x:c>
      <x:c r="Q6" s="9" t="str">
        <x:v>J Med Chem</x:v>
      </x:c>
      <x:c r="R6" s="13" t="n">
        <x:v>2016</x:v>
      </x:c>
      <x:c r="S6" s="9" t="str">
        <x:v>{"bei":"12.94","le":"0.26","lle":"1.02","sei":"10.30"}</x:v>
      </x:c>
      <x:c r="T6" s="9" t="str">
        <x:v>null</x:v>
      </x:c>
      <x:c r="U6" s="9" t="str">
        <x:v>CHEMBL3913607</x:v>
      </x:c>
      <x:c r="V6" s="9" t="str">
        <x:v>null</x:v>
      </x:c>
      <x:c r="W6" s="9" t="str">
        <x:v>CHEMBL3913607</x:v>
      </x:c>
      <x:c r="X6" s="11" t="n">
        <x:v>6.18</x:v>
      </x:c>
      <x:c r="Y6" s="13" t="n">
        <x:v>0</x:v>
      </x:c>
      <x:c r="Z6" s="9" t="str">
        <x:v>http://www.openphacts.org/units/Nanomolar</x:v>
      </x:c>
      <x:c r="AA6" s="9" t="str">
        <x:v>2796780</x:v>
      </x:c>
      <x:c r="AB6" s="9" t="str">
        <x:v>=</x:v>
      </x:c>
      <x:c r="AC6" s="9" t="str">
        <x:v>1</x:v>
      </x:c>
      <x:c r="AD6" s="13" t="n">
        <x:v>1</x:v>
      </x:c>
      <x:c r="AE6" s="9" t="str">
        <x:v>=</x:v>
      </x:c>
      <x:c r="AF6" s="9" t="str">
        <x:v>null</x:v>
      </x:c>
      <x:c r="AG6" s="9" t="str">
        <x:v>Ki</x:v>
      </x:c>
      <x:c r="AH6" s="9" t="str">
        <x:v>nM</x:v>
      </x:c>
      <x:c r="AI6" s="9" t="str">
        <x:v>null</x:v>
      </x:c>
      <x:c r="AJ6" s="11" t="n">
        <x:v>660.69</x:v>
      </x:c>
      <x:c r="AK6" s="9" t="str">
        <x:v>CHEMBL217</x:v>
      </x:c>
      <x:c r="AL6" s="9" t="str">
        <x:v>Homo sapiens</x:v>
      </x:c>
      <x:c r="AM6" s="9" t="str">
        <x:v>D(2) dopamine receptor</x:v>
      </x:c>
      <x:c r="AN6" s="9" t="str">
        <x:v>9606</x:v>
      </x:c>
      <x:c r="AO6" s="9" t="str">
        <x:v>null</x:v>
      </x:c>
      <x:c r="AP6" s="9" t="str">
        <x:v>null</x:v>
      </x:c>
      <x:c r="AQ6" s="9" t="str">
        <x:v>pKi</x:v>
      </x:c>
      <x:c r="AR6" s="9" t="str">
        <x:v>null</x:v>
      </x:c>
      <x:c r="AS6" s="9" t="str">
        <x:v>UO_0000065</x:v>
      </x:c>
      <x:c r="AT6" s="9" t="str">
        <x:v>null</x:v>
      </x:c>
      <x:c r="AU6" s="9" t="str">
        <x:v>6.18</x:v>
      </x:c>
      <x:c r="AV6" s="11" t="n">
        <x:v>0.00501</x:v>
      </x:c>
      <x:c r="AW6" s="9" t="str">
        <x:v>exclude</x:v>
      </x:c>
      <x:c r="AX6" s="9" t="str">
        <x:v>multiple_source_records_for_full_parent_identity</x:v>
      </x:c>
      <x:c r="AY6" s="11" t="n">
        <x:v>660.6934480075964</x:v>
      </x:c>
      <x:c r="AZ6" s="9" t="str">
        <x:v>source_reported_pKi</x:v>
      </x:c>
      <x:c r="BA6" s="11" t="n">
        <x:v>6.18</x:v>
      </x:c>
      <x:c r="BB6" s="9" t="str">
        <x:v>e3a2c9462c470a8faba1f80f0df7030c9cff4d7388916c3868b2ea7a12536c64</x:v>
      </x:c>
      <x:c r="BC6" s="9" t="str">
        <x:v>MNAFRWGRFIBAQX-AVRDEDQJSA-N</x:v>
      </x:c>
      <x:c r="BD6" s="9" t="str">
        <x:v>Cc1ncoc1-c1nnc(SCCCN2CC[C@]3(C[C@H]3c3ccc(C(F)(F)F)cc3)C2)n1C</x:v>
      </x:c>
      <x:c r="BE6" s="9" t="str">
        <x:v>Cc1ncoc1-c1nnc(SCCCN2CCC3(CC3c3ccc(C(F)(F)F)cc3)C2)n1C</x:v>
      </x:c>
      <x:c r="BF6" s="9" t="str">
        <x:v>Cc1ncoc1-c1nnc(SCCCN2CC[C@]3(C[C@H]3c3ccc(C(F)(F)F)cc3)C2)n1C</x:v>
      </x:c>
      <x:c r="BG6" s="12" t="n">
        <x:v>0.000002266489223856638</x:v>
      </x:c>
      <x:c r="BH6" s="11" t="n">
        <x:v>6.180002266489224</x:v>
      </x:c>
      <x:c r="BI6" s="9" t="str">
        <x:v>c1ccc(C2CC23CCN(CCCSc2nnc(-c4cnco4)[nH]2)C3)cc1</x:v>
      </x:c>
      <x:c r="BJ6" s="13" t="n">
        <x:v>2</x:v>
      </x:c>
      <x:c r="BK6" s="11" t="n">
        <x:v>660.69</x:v>
      </x:c>
      <x:c r="BL6" s="12" t="n">
        <x:v>-0.0034480075963756462</x:v>
      </x:c>
      <x:c r="BM6" s="9" t="str">
        <x:v>false</x:v>
      </x:c>
    </x:row>
    <x:row r="7" ht="51" customHeight="1">
      <x:c r="A7" s="14" t="str">
        <x:v>null</x:v>
      </x:c>
      <x:c r="B7" s="14" t="str">
        <x:v>null</x:v>
      </x:c>
      <x:c r="C7" s="14" t="str">
        <x:v>16670141</x:v>
      </x:c>
      <x:c r="D7" s="14" t="str">
        <x:v>[]</x:v>
      </x:c>
      <x:c r="E7" s="14" t="str">
        <x:v>CHEMBL3855278</x:v>
      </x:c>
      <x:c r="F7" s="14" t="str">
        <x:v>Displacement of [3H]-spiperone from human dopamine D2 receptor expressed in CHO-K1 cell membranes coexpressing Galpha16 after 120 mins by liquid scintillation counting</x:v>
      </x:c>
      <x:c r="G7" s="14" t="str">
        <x:v>B</x:v>
      </x:c>
      <x:c r="H7" s="14" t="str">
        <x:v>null</x:v>
      </x:c>
      <x:c r="I7" s="14" t="str">
        <x:v>null</x:v>
      </x:c>
      <x:c r="J7" s="14" t="str">
        <x:v>BAO_0000192</x:v>
      </x:c>
      <x:c r="K7" s="14" t="str">
        <x:v>BAO_0000219</x:v>
      </x:c>
      <x:c r="L7" s="14" t="str">
        <x:v>cell-based format</x:v>
      </x:c>
      <x:c r="M7" s="14" t="str">
        <x:v>Cc1ncoc1-c1nnc(SCCCN2CC[C@]3(C[C@H]3c3ccc(C(F)(F)F)cc3)C2)n1C</x:v>
      </x:c>
      <x:c r="N7" s="14" t="str">
        <x:v>null</x:v>
      </x:c>
      <x:c r="O7" s="14" t="str">
        <x:v>null</x:v>
      </x:c>
      <x:c r="P7" s="14" t="str">
        <x:v>CHEMBL3853329</x:v>
      </x:c>
      <x:c r="Q7" s="14" t="str">
        <x:v>J Med Chem</x:v>
      </x:c>
      <x:c r="R7" s="17" t="n">
        <x:v>2016</x:v>
      </x:c>
      <x:c r="S7" s="14" t="str">
        <x:v>{"bei":"12.67","le":"0.25","lle":"0.89","sei":"10.09"}</x:v>
      </x:c>
      <x:c r="T7" s="14" t="str">
        <x:v>null</x:v>
      </x:c>
      <x:c r="U7" s="14" t="str">
        <x:v>CHEMBL3913607</x:v>
      </x:c>
      <x:c r="V7" s="14" t="str">
        <x:v>null</x:v>
      </x:c>
      <x:c r="W7" s="14" t="str">
        <x:v>CHEMBL3913607</x:v>
      </x:c>
      <x:c r="X7" s="15" t="n">
        <x:v>6.05</x:v>
      </x:c>
      <x:c r="Y7" s="17" t="n">
        <x:v>0</x:v>
      </x:c>
      <x:c r="Z7" s="14" t="str">
        <x:v>http://www.openphacts.org/units/Nanomolar</x:v>
      </x:c>
      <x:c r="AA7" s="14" t="str">
        <x:v>2796781</x:v>
      </x:c>
      <x:c r="AB7" s="14" t="str">
        <x:v>=</x:v>
      </x:c>
      <x:c r="AC7" s="14" t="str">
        <x:v>1</x:v>
      </x:c>
      <x:c r="AD7" s="17" t="n">
        <x:v>1</x:v>
      </x:c>
      <x:c r="AE7" s="14" t="str">
        <x:v>=</x:v>
      </x:c>
      <x:c r="AF7" s="14" t="str">
        <x:v>null</x:v>
      </x:c>
      <x:c r="AG7" s="14" t="str">
        <x:v>Ki</x:v>
      </x:c>
      <x:c r="AH7" s="14" t="str">
        <x:v>nM</x:v>
      </x:c>
      <x:c r="AI7" s="14" t="str">
        <x:v>null</x:v>
      </x:c>
      <x:c r="AJ7" s="15" t="n">
        <x:v>891.25</x:v>
      </x:c>
      <x:c r="AK7" s="14" t="str">
        <x:v>CHEMBL217</x:v>
      </x:c>
      <x:c r="AL7" s="14" t="str">
        <x:v>Homo sapiens</x:v>
      </x:c>
      <x:c r="AM7" s="14" t="str">
        <x:v>D(2) dopamine receptor</x:v>
      </x:c>
      <x:c r="AN7" s="14" t="str">
        <x:v>9606</x:v>
      </x:c>
      <x:c r="AO7" s="14" t="str">
        <x:v>null</x:v>
      </x:c>
      <x:c r="AP7" s="14" t="str">
        <x:v>null</x:v>
      </x:c>
      <x:c r="AQ7" s="14" t="str">
        <x:v>pKi</x:v>
      </x:c>
      <x:c r="AR7" s="14" t="str">
        <x:v>null</x:v>
      </x:c>
      <x:c r="AS7" s="14" t="str">
        <x:v>UO_0000065</x:v>
      </x:c>
      <x:c r="AT7" s="14" t="str">
        <x:v>null</x:v>
      </x:c>
      <x:c r="AU7" s="14" t="str">
        <x:v>6.05</x:v>
      </x:c>
      <x:c r="AV7" s="15" t="n">
        <x:v>0.00501</x:v>
      </x:c>
      <x:c r="AW7" s="14" t="str">
        <x:v>exclude</x:v>
      </x:c>
      <x:c r="AX7" s="14" t="str">
        <x:v>multiple_source_records_for_full_parent_identity</x:v>
      </x:c>
      <x:c r="AY7" s="15" t="n">
        <x:v>891.2509381337459</x:v>
      </x:c>
      <x:c r="AZ7" s="14" t="str">
        <x:v>source_reported_pKi</x:v>
      </x:c>
      <x:c r="BA7" s="15" t="n">
        <x:v>6.05</x:v>
      </x:c>
      <x:c r="BB7" s="14" t="str">
        <x:v>e3a2c9462c470a8faba1f80f0df7030c9cff4d7388916c3868b2ea7a12536c64</x:v>
      </x:c>
      <x:c r="BC7" s="14" t="str">
        <x:v>MNAFRWGRFIBAQX-AVRDEDQJSA-N</x:v>
      </x:c>
      <x:c r="BD7" s="14" t="str">
        <x:v>Cc1ncoc1-c1nnc(SCCCN2CC[C@]3(C[C@H]3c3ccc(C(F)(F)F)cc3)C2)n1C</x:v>
      </x:c>
      <x:c r="BE7" s="14" t="str">
        <x:v>Cc1ncoc1-c1nnc(SCCCN2CCC3(CC3c3ccc(C(F)(F)F)cc3)C2)n1C</x:v>
      </x:c>
      <x:c r="BF7" s="14" t="str">
        <x:v>Cc1ncoc1-c1nnc(SCCCN2CC[C@]3(C[C@H]3c3ccc(C(F)(F)F)cc3)C2)n1C</x:v>
      </x:c>
      <x:c r="BG7" s="16" t="n">
        <x:v>4.571400777919621e-7</x:v>
      </x:c>
      <x:c r="BH7" s="15" t="n">
        <x:v>6.050000457140078</x:v>
      </x:c>
      <x:c r="BI7" s="14" t="str">
        <x:v>c1ccc(C2CC23CCN(CCCSc2nnc(-c4cnco4)[nH]2)C3)cc1</x:v>
      </x:c>
      <x:c r="BJ7" s="17" t="n">
        <x:v>2</x:v>
      </x:c>
      <x:c r="BK7" s="15" t="n">
        <x:v>891.25</x:v>
      </x:c>
      <x:c r="BL7" s="16" t="n">
        <x:v>-0.0009381337458762573</x:v>
      </x:c>
      <x:c r="BM7" s="14" t="str">
        <x:v>false</x:v>
      </x:c>
    </x:row>
    <x:row r="8" ht="51" customHeight="1">
      <x:c r="A8" s="9" t="str">
        <x:v>null</x:v>
      </x:c>
      <x:c r="B8" s="9" t="str">
        <x:v>null</x:v>
      </x:c>
      <x:c r="C8" s="9" t="str">
        <x:v>16670143</x:v>
      </x:c>
      <x:c r="D8" s="9" t="str">
        <x:v>[]</x:v>
      </x:c>
      <x:c r="E8" s="9" t="str">
        <x:v>CHEMBL3855278</x:v>
      </x:c>
      <x:c r="F8" s="9" t="str">
        <x:v>Displacement of [3H]-spiperone from human dopamine D2 receptor expressed in CHO-K1 cell membranes coexpressing Galpha16 after 120 mins by liquid scintillation counting</x:v>
      </x:c>
      <x:c r="G8" s="9" t="str">
        <x:v>B</x:v>
      </x:c>
      <x:c r="H8" s="9" t="str">
        <x:v>null</x:v>
      </x:c>
      <x:c r="I8" s="9" t="str">
        <x:v>null</x:v>
      </x:c>
      <x:c r="J8" s="9" t="str">
        <x:v>BAO_0000192</x:v>
      </x:c>
      <x:c r="K8" s="9" t="str">
        <x:v>BAO_0000219</x:v>
      </x:c>
      <x:c r="L8" s="9" t="str">
        <x:v>cell-based format</x:v>
      </x:c>
      <x:c r="M8" s="9" t="str">
        <x:v>Cc1ncoc1-c1nnc(SCCCN2CC[C@]3(C[C@@H]3c3ccc(C(F)(F)F)cc3)C2)n1C</x:v>
      </x:c>
      <x:c r="N8" s="9" t="str">
        <x:v>null</x:v>
      </x:c>
      <x:c r="O8" s="9" t="str">
        <x:v>null</x:v>
      </x:c>
      <x:c r="P8" s="9" t="str">
        <x:v>CHEMBL3853329</x:v>
      </x:c>
      <x:c r="Q8" s="9" t="str">
        <x:v>J Med Chem</x:v>
      </x:c>
      <x:c r="R8" s="13" t="n">
        <x:v>2016</x:v>
      </x:c>
      <x:c r="S8" s="9" t="str">
        <x:v>{"bei":"13.67","le":"0.27","lle":"1.37","sei":"10.89"}</x:v>
      </x:c>
      <x:c r="T8" s="9" t="str">
        <x:v>null</x:v>
      </x:c>
      <x:c r="U8" s="9" t="str">
        <x:v>CHEMBL3935692</x:v>
      </x:c>
      <x:c r="V8" s="9" t="str">
        <x:v>null</x:v>
      </x:c>
      <x:c r="W8" s="9" t="str">
        <x:v>CHEMBL3935692</x:v>
      </x:c>
      <x:c r="X8" s="11" t="n">
        <x:v>6.53</x:v>
      </x:c>
      <x:c r="Y8" s="13" t="n">
        <x:v>0</x:v>
      </x:c>
      <x:c r="Z8" s="9" t="str">
        <x:v>http://www.openphacts.org/units/Nanomolar</x:v>
      </x:c>
      <x:c r="AA8" s="9" t="str">
        <x:v>2796783</x:v>
      </x:c>
      <x:c r="AB8" s="9" t="str">
        <x:v>=</x:v>
      </x:c>
      <x:c r="AC8" s="9" t="str">
        <x:v>1</x:v>
      </x:c>
      <x:c r="AD8" s="13" t="n">
        <x:v>1</x:v>
      </x:c>
      <x:c r="AE8" s="9" t="str">
        <x:v>=</x:v>
      </x:c>
      <x:c r="AF8" s="9" t="str">
        <x:v>null</x:v>
      </x:c>
      <x:c r="AG8" s="9" t="str">
        <x:v>Ki</x:v>
      </x:c>
      <x:c r="AH8" s="9" t="str">
        <x:v>nM</x:v>
      </x:c>
      <x:c r="AI8" s="9" t="str">
        <x:v>null</x:v>
      </x:c>
      <x:c r="AJ8" s="11" t="n">
        <x:v>295.12</x:v>
      </x:c>
      <x:c r="AK8" s="9" t="str">
        <x:v>CHEMBL217</x:v>
      </x:c>
      <x:c r="AL8" s="9" t="str">
        <x:v>Homo sapiens</x:v>
      </x:c>
      <x:c r="AM8" s="9" t="str">
        <x:v>D(2) dopamine receptor</x:v>
      </x:c>
      <x:c r="AN8" s="9" t="str">
        <x:v>9606</x:v>
      </x:c>
      <x:c r="AO8" s="9" t="str">
        <x:v>null</x:v>
      </x:c>
      <x:c r="AP8" s="9" t="str">
        <x:v>null</x:v>
      </x:c>
      <x:c r="AQ8" s="9" t="str">
        <x:v>pKi</x:v>
      </x:c>
      <x:c r="AR8" s="9" t="str">
        <x:v>null</x:v>
      </x:c>
      <x:c r="AS8" s="9" t="str">
        <x:v>UO_0000065</x:v>
      </x:c>
      <x:c r="AT8" s="9" t="str">
        <x:v>null</x:v>
      </x:c>
      <x:c r="AU8" s="9" t="str">
        <x:v>6.53</x:v>
      </x:c>
      <x:c r="AV8" s="11" t="n">
        <x:v>0.00501</x:v>
      </x:c>
      <x:c r="AW8" s="9" t="str">
        <x:v>exclude</x:v>
      </x:c>
      <x:c r="AX8" s="9" t="str">
        <x:v>multiple_source_records_for_full_parent_identity</x:v>
      </x:c>
      <x:c r="AY8" s="11" t="n">
        <x:v>295.1209226666384</x:v>
      </x:c>
      <x:c r="AZ8" s="9" t="str">
        <x:v>source_reported_pKi</x:v>
      </x:c>
      <x:c r="BA8" s="11" t="n">
        <x:v>6.53</x:v>
      </x:c>
      <x:c r="BB8" s="9" t="str">
        <x:v>e3a2c9462c470a8faba1f80f0df7030c9cff4d7388916c3868b2ea7a12536c64</x:v>
      </x:c>
      <x:c r="BC8" s="9" t="str">
        <x:v>MNAFRWGRFIBAQX-GCJKJVERSA-N</x:v>
      </x:c>
      <x:c r="BD8" s="9" t="str">
        <x:v>Cc1ncoc1-c1nnc(SCCCN2CC[C@]3(C[C@@H]3c3ccc(C(F)(F)F)cc3)C2)n1C</x:v>
      </x:c>
      <x:c r="BE8" s="9" t="str">
        <x:v>Cc1ncoc1-c1nnc(SCCCN2CCC3(CC3c3ccc(C(F)(F)F)cc3)C2)n1C</x:v>
      </x:c>
      <x:c r="BF8" s="9" t="str">
        <x:v>Cc1ncoc1-c1nnc(SCCCN2CC[C@]3(C[C@@H]3c3ccc(C(F)(F)F)cc3)C2)n1C</x:v>
      </x:c>
      <x:c r="BG8" s="12" t="n">
        <x:v>0.0000013577812527643118</x:v>
      </x:c>
      <x:c r="BH8" s="11" t="n">
        <x:v>6.530001357781253</x:v>
      </x:c>
      <x:c r="BI8" s="9" t="str">
        <x:v>c1ccc(C2CC23CCN(CCCSc2nnc(-c4cnco4)[nH]2)C3)cc1</x:v>
      </x:c>
      <x:c r="BJ8" s="13" t="n">
        <x:v>2</x:v>
      </x:c>
      <x:c r="BK8" s="11" t="n">
        <x:v>295.12</x:v>
      </x:c>
      <x:c r="BL8" s="12" t="n">
        <x:v>-0.0009226666384165583</x:v>
      </x:c>
      <x:c r="BM8" s="9" t="str">
        <x:v>false</x:v>
      </x:c>
    </x:row>
    <x:row r="9" ht="51" customHeight="1">
      <x:c r="A9" s="14" t="str">
        <x:v>null</x:v>
      </x:c>
      <x:c r="B9" s="14" t="str">
        <x:v>null</x:v>
      </x:c>
      <x:c r="C9" s="14" t="str">
        <x:v>16670144</x:v>
      </x:c>
      <x:c r="D9" s="14" t="str">
        <x:v>[]</x:v>
      </x:c>
      <x:c r="E9" s="14" t="str">
        <x:v>CHEMBL3855278</x:v>
      </x:c>
      <x:c r="F9" s="14" t="str">
        <x:v>Displacement of [3H]-spiperone from human dopamine D2 receptor expressed in CHO-K1 cell membranes coexpressing Galpha16 after 120 mins by liquid scintillation counting</x:v>
      </x:c>
      <x:c r="G9" s="14" t="str">
        <x:v>B</x:v>
      </x:c>
      <x:c r="H9" s="14" t="str">
        <x:v>null</x:v>
      </x:c>
      <x:c r="I9" s="14" t="str">
        <x:v>null</x:v>
      </x:c>
      <x:c r="J9" s="14" t="str">
        <x:v>BAO_0000192</x:v>
      </x:c>
      <x:c r="K9" s="14" t="str">
        <x:v>BAO_0000219</x:v>
      </x:c>
      <x:c r="L9" s="14" t="str">
        <x:v>cell-based format</x:v>
      </x:c>
      <x:c r="M9" s="14" t="str">
        <x:v>Cc1ncoc1-c1nnc(SCCCN2CC[C@]3(C[C@@H]3c3ccc(C(F)(F)F)cc3)C2)n1C</x:v>
      </x:c>
      <x:c r="N9" s="14" t="str">
        <x:v>null</x:v>
      </x:c>
      <x:c r="O9" s="14" t="str">
        <x:v>null</x:v>
      </x:c>
      <x:c r="P9" s="14" t="str">
        <x:v>CHEMBL3853329</x:v>
      </x:c>
      <x:c r="Q9" s="14" t="str">
        <x:v>J Med Chem</x:v>
      </x:c>
      <x:c r="R9" s="17" t="n">
        <x:v>2016</x:v>
      </x:c>
      <x:c r="S9" s="14" t="str">
        <x:v>{"bei":"13.97","le":"0.28","lle":"1.51","sei":"11.12"}</x:v>
      </x:c>
      <x:c r="T9" s="14" t="str">
        <x:v>null</x:v>
      </x:c>
      <x:c r="U9" s="14" t="str">
        <x:v>CHEMBL3935692</x:v>
      </x:c>
      <x:c r="V9" s="14" t="str">
        <x:v>null</x:v>
      </x:c>
      <x:c r="W9" s="14" t="str">
        <x:v>CHEMBL3935692</x:v>
      </x:c>
      <x:c r="X9" s="15" t="n">
        <x:v>6.67</x:v>
      </x:c>
      <x:c r="Y9" s="17" t="n">
        <x:v>0</x:v>
      </x:c>
      <x:c r="Z9" s="14" t="str">
        <x:v>http://www.openphacts.org/units/Nanomolar</x:v>
      </x:c>
      <x:c r="AA9" s="14" t="str">
        <x:v>2796784</x:v>
      </x:c>
      <x:c r="AB9" s="14" t="str">
        <x:v>=</x:v>
      </x:c>
      <x:c r="AC9" s="14" t="str">
        <x:v>1</x:v>
      </x:c>
      <x:c r="AD9" s="17" t="n">
        <x:v>1</x:v>
      </x:c>
      <x:c r="AE9" s="14" t="str">
        <x:v>=</x:v>
      </x:c>
      <x:c r="AF9" s="14" t="str">
        <x:v>null</x:v>
      </x:c>
      <x:c r="AG9" s="14" t="str">
        <x:v>Ki</x:v>
      </x:c>
      <x:c r="AH9" s="14" t="str">
        <x:v>nM</x:v>
      </x:c>
      <x:c r="AI9" s="14" t="str">
        <x:v>null</x:v>
      </x:c>
      <x:c r="AJ9" s="15" t="n">
        <x:v>213.8</x:v>
      </x:c>
      <x:c r="AK9" s="14" t="str">
        <x:v>CHEMBL217</x:v>
      </x:c>
      <x:c r="AL9" s="14" t="str">
        <x:v>Homo sapiens</x:v>
      </x:c>
      <x:c r="AM9" s="14" t="str">
        <x:v>D(2) dopamine receptor</x:v>
      </x:c>
      <x:c r="AN9" s="14" t="str">
        <x:v>9606</x:v>
      </x:c>
      <x:c r="AO9" s="14" t="str">
        <x:v>null</x:v>
      </x:c>
      <x:c r="AP9" s="14" t="str">
        <x:v>null</x:v>
      </x:c>
      <x:c r="AQ9" s="14" t="str">
        <x:v>pKi</x:v>
      </x:c>
      <x:c r="AR9" s="14" t="str">
        <x:v>null</x:v>
      </x:c>
      <x:c r="AS9" s="14" t="str">
        <x:v>UO_0000065</x:v>
      </x:c>
      <x:c r="AT9" s="14" t="str">
        <x:v>null</x:v>
      </x:c>
      <x:c r="AU9" s="14" t="str">
        <x:v>6.67</x:v>
      </x:c>
      <x:c r="AV9" s="15" t="n">
        <x:v>0.00501</x:v>
      </x:c>
      <x:c r="AW9" s="14" t="str">
        <x:v>exclude</x:v>
      </x:c>
      <x:c r="AX9" s="14" t="str">
        <x:v>multiple_source_records_for_full_parent_identity</x:v>
      </x:c>
      <x:c r="AY9" s="15" t="n">
        <x:v>213.79620895022325</x:v>
      </x:c>
      <x:c r="AZ9" s="14" t="str">
        <x:v>source_reported_pKi</x:v>
      </x:c>
      <x:c r="BA9" s="15" t="n">
        <x:v>6.67</x:v>
      </x:c>
      <x:c r="BB9" s="14" t="str">
        <x:v>e3a2c9462c470a8faba1f80f0df7030c9cff4d7388916c3868b2ea7a12536c64</x:v>
      </x:c>
      <x:c r="BC9" s="14" t="str">
        <x:v>MNAFRWGRFIBAQX-GCJKJVERSA-N</x:v>
      </x:c>
      <x:c r="BD9" s="14" t="str">
        <x:v>Cc1ncoc1-c1nnc(SCCCN2CC[C@]3(C[C@@H]3c3ccc(C(F)(F)F)cc3)C2)n1C</x:v>
      </x:c>
      <x:c r="BE9" s="14" t="str">
        <x:v>Cc1ncoc1-c1nnc(SCCCN2CCC3(CC3c3ccc(C(F)(F)F)cc3)C2)n1C</x:v>
      </x:c>
      <x:c r="BF9" s="14" t="str">
        <x:v>Cc1ncoc1-c1nnc(SCCCN2CC[C@]3(C[C@@H]3c3ccc(C(F)(F)F)cc3)C2)n1C</x:v>
      </x:c>
      <x:c r="BG9" s="16" t="n">
        <x:v>-0.000007700872759031085</x:v>
      </x:c>
      <x:c r="BH9" s="15" t="n">
        <x:v>6.669992299127241</x:v>
      </x:c>
      <x:c r="BI9" s="14" t="str">
        <x:v>c1ccc(C2CC23CCN(CCCSc2nnc(-c4cnco4)[nH]2)C3)cc1</x:v>
      </x:c>
      <x:c r="BJ9" s="17" t="n">
        <x:v>2</x:v>
      </x:c>
      <x:c r="BK9" s="15" t="n">
        <x:v>213.8</x:v>
      </x:c>
      <x:c r="BL9" s="16" t="n">
        <x:v>0.003791049776765476</x:v>
      </x:c>
      <x:c r="BM9" s="14" t="str">
        <x:v>false</x:v>
      </x:c>
    </x:row>
    <x:row r="10" ht="51" customHeight="1">
      <x:c r="A10" s="9" t="str">
        <x:v>null</x:v>
      </x:c>
      <x:c r="B10" s="9" t="str">
        <x:v>null</x:v>
      </x:c>
      <x:c r="C10" s="9" t="str">
        <x:v>16670146</x:v>
      </x:c>
      <x:c r="D10" s="9" t="str">
        <x:v>[]</x:v>
      </x:c>
      <x:c r="E10" s="9" t="str">
        <x:v>CHEMBL3855278</x:v>
      </x:c>
      <x:c r="F10" s="9" t="str">
        <x:v>Displacement of [3H]-spiperone from human dopamine D2 receptor expressed in CHO-K1 cell membranes coexpressing Galpha16 after 120 mins by liquid scintillation counting</x:v>
      </x:c>
      <x:c r="G10" s="9" t="str">
        <x:v>B</x:v>
      </x:c>
      <x:c r="H10" s="9" t="str">
        <x:v>null</x:v>
      </x:c>
      <x:c r="I10" s="9" t="str">
        <x:v>null</x:v>
      </x:c>
      <x:c r="J10" s="9" t="str">
        <x:v>BAO_0000192</x:v>
      </x:c>
      <x:c r="K10" s="9" t="str">
        <x:v>BAO_0000219</x:v>
      </x:c>
      <x:c r="L10" s="9" t="str">
        <x:v>cell-based format</x:v>
      </x:c>
      <x:c r="M10" s="9" t="str">
        <x:v>Cc1ncoc1-c1nnc(SCCN2CC[C@]3(C[C@H]3c3ccc(C(F)(F)F)cc3)C2)n1C</x:v>
      </x:c>
      <x:c r="N10" s="9" t="str">
        <x:v>null</x:v>
      </x:c>
      <x:c r="O10" s="9" t="str">
        <x:v>null</x:v>
      </x:c>
      <x:c r="P10" s="9" t="str">
        <x:v>CHEMBL3853329</x:v>
      </x:c>
      <x:c r="Q10" s="9" t="str">
        <x:v>J Med Chem</x:v>
      </x:c>
      <x:c r="R10" s="13" t="n">
        <x:v>2016</x:v>
      </x:c>
      <x:c r="S10" s="9" t="str">
        <x:v>{"bei":"13.57","le":"0.27","lle":"1.52","sei":"10.49"}</x:v>
      </x:c>
      <x:c r="T10" s="9" t="str">
        <x:v>null</x:v>
      </x:c>
      <x:c r="U10" s="9" t="str">
        <x:v>CHEMBL3954568</x:v>
      </x:c>
      <x:c r="V10" s="9" t="str">
        <x:v>null</x:v>
      </x:c>
      <x:c r="W10" s="9" t="str">
        <x:v>CHEMBL3954568</x:v>
      </x:c>
      <x:c r="X10" s="11" t="n">
        <x:v>6.29</x:v>
      </x:c>
      <x:c r="Y10" s="13" t="n">
        <x:v>0</x:v>
      </x:c>
      <x:c r="Z10" s="9" t="str">
        <x:v>http://www.openphacts.org/units/Nanomolar</x:v>
      </x:c>
      <x:c r="AA10" s="9" t="str">
        <x:v>2796786</x:v>
      </x:c>
      <x:c r="AB10" s="9" t="str">
        <x:v>=</x:v>
      </x:c>
      <x:c r="AC10" s="9" t="str">
        <x:v>1</x:v>
      </x:c>
      <x:c r="AD10" s="13" t="n">
        <x:v>1</x:v>
      </x:c>
      <x:c r="AE10" s="9" t="str">
        <x:v>=</x:v>
      </x:c>
      <x:c r="AF10" s="9" t="str">
        <x:v>null</x:v>
      </x:c>
      <x:c r="AG10" s="9" t="str">
        <x:v>Ki</x:v>
      </x:c>
      <x:c r="AH10" s="9" t="str">
        <x:v>nM</x:v>
      </x:c>
      <x:c r="AI10" s="9" t="str">
        <x:v>null</x:v>
      </x:c>
      <x:c r="AJ10" s="11" t="n">
        <x:v>512.86</x:v>
      </x:c>
      <x:c r="AK10" s="9" t="str">
        <x:v>CHEMBL217</x:v>
      </x:c>
      <x:c r="AL10" s="9" t="str">
        <x:v>Homo sapiens</x:v>
      </x:c>
      <x:c r="AM10" s="9" t="str">
        <x:v>D(2) dopamine receptor</x:v>
      </x:c>
      <x:c r="AN10" s="9" t="str">
        <x:v>9606</x:v>
      </x:c>
      <x:c r="AO10" s="9" t="str">
        <x:v>null</x:v>
      </x:c>
      <x:c r="AP10" s="9" t="str">
        <x:v>null</x:v>
      </x:c>
      <x:c r="AQ10" s="9" t="str">
        <x:v>pKi</x:v>
      </x:c>
      <x:c r="AR10" s="9" t="str">
        <x:v>null</x:v>
      </x:c>
      <x:c r="AS10" s="9" t="str">
        <x:v>UO_0000065</x:v>
      </x:c>
      <x:c r="AT10" s="9" t="str">
        <x:v>null</x:v>
      </x:c>
      <x:c r="AU10" s="9" t="str">
        <x:v>6.29</x:v>
      </x:c>
      <x:c r="AV10" s="11" t="n">
        <x:v>0.00501</x:v>
      </x:c>
      <x:c r="AW10" s="9" t="str">
        <x:v>exclude</x:v>
      </x:c>
      <x:c r="AX10" s="9" t="str">
        <x:v>multiple_source_records_for_full_parent_identity</x:v>
      </x:c>
      <x:c r="AY10" s="11" t="n">
        <x:v>512.8613839913648</x:v>
      </x:c>
      <x:c r="AZ10" s="9" t="str">
        <x:v>source_reported_pKi</x:v>
      </x:c>
      <x:c r="BA10" s="11" t="n">
        <x:v>6.29</x:v>
      </x:c>
      <x:c r="BB10" s="9" t="str">
        <x:v>bbd50de4d018dd84edd1132e29be4a6288b1afe6b09fdc0525ff1bd782c8c725</x:v>
      </x:c>
      <x:c r="BC10" s="9" t="str">
        <x:v>KLQDZSYTMPJBBU-UWJYYQICSA-N</x:v>
      </x:c>
      <x:c r="BD10" s="9" t="str">
        <x:v>Cc1ncoc1-c1nnc(SCCN2CC[C@]3(C[C@H]3c3ccc(C(F)(F)F)cc3)C2)n1C</x:v>
      </x:c>
      <x:c r="BE10" s="9" t="str">
        <x:v>Cc1ncoc1-c1nnc(SCCN2CCC3(CC3c3ccc(C(F)(F)F)cc3)C2)n1C</x:v>
      </x:c>
      <x:c r="BF10" s="9" t="str">
        <x:v>Cc1ncoc1-c1nnc(SCCN2CC[C@]3(C[C@H]3c3ccc(C(F)(F)F)cc3)C2)n1C</x:v>
      </x:c>
      <x:c r="BG10" s="12" t="n">
        <x:v>0.0000011719748114202844</x:v>
      </x:c>
      <x:c r="BH10" s="11" t="n">
        <x:v>6.2900011719748115</x:v>
      </x:c>
      <x:c r="BI10" s="9" t="str">
        <x:v>c1ccc(C2CC23CCN(CCSc2nnc(-c4cnco4)[nH]2)C3)cc1</x:v>
      </x:c>
      <x:c r="BJ10" s="13" t="n">
        <x:v>2</x:v>
      </x:c>
      <x:c r="BK10" s="11" t="n">
        <x:v>512.86</x:v>
      </x:c>
      <x:c r="BL10" s="12" t="n">
        <x:v>-0.001383991364832582</x:v>
      </x:c>
      <x:c r="BM10" s="9" t="str">
        <x:v>false</x:v>
      </x:c>
    </x:row>
    <x:row r="11" ht="51" customHeight="1">
      <x:c r="A11" s="14" t="str">
        <x:v>null</x:v>
      </x:c>
      <x:c r="B11" s="14" t="str">
        <x:v>null</x:v>
      </x:c>
      <x:c r="C11" s="14" t="str">
        <x:v>16670147</x:v>
      </x:c>
      <x:c r="D11" s="14" t="str">
        <x:v>[]</x:v>
      </x:c>
      <x:c r="E11" s="14" t="str">
        <x:v>CHEMBL3855278</x:v>
      </x:c>
      <x:c r="F11" s="14" t="str">
        <x:v>Displacement of [3H]-spiperone from human dopamine D2 receptor expressed in CHO-K1 cell membranes coexpressing Galpha16 after 120 mins by liquid scintillation counting</x:v>
      </x:c>
      <x:c r="G11" s="14" t="str">
        <x:v>B</x:v>
      </x:c>
      <x:c r="H11" s="14" t="str">
        <x:v>null</x:v>
      </x:c>
      <x:c r="I11" s="14" t="str">
        <x:v>null</x:v>
      </x:c>
      <x:c r="J11" s="14" t="str">
        <x:v>BAO_0000192</x:v>
      </x:c>
      <x:c r="K11" s="14" t="str">
        <x:v>BAO_0000219</x:v>
      </x:c>
      <x:c r="L11" s="14" t="str">
        <x:v>cell-based format</x:v>
      </x:c>
      <x:c r="M11" s="14" t="str">
        <x:v>Cc1ncoc1-c1nnc(SCCN2CC[C@]3(C[C@H]3c3ccc(C(F)(F)F)cc3)C2)n1C</x:v>
      </x:c>
      <x:c r="N11" s="14" t="str">
        <x:v>null</x:v>
      </x:c>
      <x:c r="O11" s="14" t="str">
        <x:v>null</x:v>
      </x:c>
      <x:c r="P11" s="14" t="str">
        <x:v>CHEMBL3853329</x:v>
      </x:c>
      <x:c r="Q11" s="14" t="str">
        <x:v>J Med Chem</x:v>
      </x:c>
      <x:c r="R11" s="17" t="n">
        <x:v>2016</x:v>
      </x:c>
      <x:c r="S11" s="14" t="str">
        <x:v>{"bei":"12.97","le":"0.26","lle":"1.24","sei":"10.02"}</x:v>
      </x:c>
      <x:c r="T11" s="14" t="str">
        <x:v>null</x:v>
      </x:c>
      <x:c r="U11" s="14" t="str">
        <x:v>CHEMBL3954568</x:v>
      </x:c>
      <x:c r="V11" s="14" t="str">
        <x:v>null</x:v>
      </x:c>
      <x:c r="W11" s="14" t="str">
        <x:v>CHEMBL3954568</x:v>
      </x:c>
      <x:c r="X11" s="15" t="n">
        <x:v>6.01</x:v>
      </x:c>
      <x:c r="Y11" s="17" t="n">
        <x:v>0</x:v>
      </x:c>
      <x:c r="Z11" s="14" t="str">
        <x:v>http://www.openphacts.org/units/Nanomolar</x:v>
      </x:c>
      <x:c r="AA11" s="14" t="str">
        <x:v>2796787</x:v>
      </x:c>
      <x:c r="AB11" s="14" t="str">
        <x:v>=</x:v>
      </x:c>
      <x:c r="AC11" s="14" t="str">
        <x:v>1</x:v>
      </x:c>
      <x:c r="AD11" s="17" t="n">
        <x:v>1</x:v>
      </x:c>
      <x:c r="AE11" s="14" t="str">
        <x:v>=</x:v>
      </x:c>
      <x:c r="AF11" s="14" t="str">
        <x:v>null</x:v>
      </x:c>
      <x:c r="AG11" s="14" t="str">
        <x:v>Ki</x:v>
      </x:c>
      <x:c r="AH11" s="14" t="str">
        <x:v>nM</x:v>
      </x:c>
      <x:c r="AI11" s="14" t="str">
        <x:v>null</x:v>
      </x:c>
      <x:c r="AJ11" s="15" t="n">
        <x:v>977.24</x:v>
      </x:c>
      <x:c r="AK11" s="14" t="str">
        <x:v>CHEMBL217</x:v>
      </x:c>
      <x:c r="AL11" s="14" t="str">
        <x:v>Homo sapiens</x:v>
      </x:c>
      <x:c r="AM11" s="14" t="str">
        <x:v>D(2) dopamine receptor</x:v>
      </x:c>
      <x:c r="AN11" s="14" t="str">
        <x:v>9606</x:v>
      </x:c>
      <x:c r="AO11" s="14" t="str">
        <x:v>null</x:v>
      </x:c>
      <x:c r="AP11" s="14" t="str">
        <x:v>null</x:v>
      </x:c>
      <x:c r="AQ11" s="14" t="str">
        <x:v>pKi</x:v>
      </x:c>
      <x:c r="AR11" s="14" t="str">
        <x:v>null</x:v>
      </x:c>
      <x:c r="AS11" s="14" t="str">
        <x:v>UO_0000065</x:v>
      </x:c>
      <x:c r="AT11" s="14" t="str">
        <x:v>null</x:v>
      </x:c>
      <x:c r="AU11" s="14" t="str">
        <x:v>6.01</x:v>
      </x:c>
      <x:c r="AV11" s="15" t="n">
        <x:v>0.00501</x:v>
      </x:c>
      <x:c r="AW11" s="14" t="str">
        <x:v>exclude</x:v>
      </x:c>
      <x:c r="AX11" s="14" t="str">
        <x:v>multiple_source_records_for_full_parent_identity</x:v>
      </x:c>
      <x:c r="AY11" s="15" t="n">
        <x:v>977.2372209558112</x:v>
      </x:c>
      <x:c r="AZ11" s="14" t="str">
        <x:v>source_reported_pKi</x:v>
      </x:c>
      <x:c r="BA11" s="15" t="n">
        <x:v>6.01</x:v>
      </x:c>
      <x:c r="BB11" s="14" t="str">
        <x:v>bbd50de4d018dd84edd1132e29be4a6288b1afe6b09fdc0525ff1bd782c8c725</x:v>
      </x:c>
      <x:c r="BC11" s="14" t="str">
        <x:v>KLQDZSYTMPJBBU-UWJYYQICSA-N</x:v>
      </x:c>
      <x:c r="BD11" s="14" t="str">
        <x:v>Cc1ncoc1-c1nnc(SCCN2CC[C@]3(C[C@H]3c3ccc(C(F)(F)F)cc3)C2)n1C</x:v>
      </x:c>
      <x:c r="BE11" s="14" t="str">
        <x:v>Cc1ncoc1-c1nnc(SCCN2CCC3(CC3c3ccc(C(F)(F)F)cc3)C2)n1C</x:v>
      </x:c>
      <x:c r="BF11" s="14" t="str">
        <x:v>Cc1ncoc1-c1nnc(SCCN2CC[C@]3(C[C@H]3c3ccc(C(F)(F)F)cc3)C2)n1C</x:v>
      </x:c>
      <x:c r="BG11" s="16" t="n">
        <x:v>-0.0000012350346612066687</x:v>
      </x:c>
      <x:c r="BH11" s="15" t="n">
        <x:v>6.009998764965339</x:v>
      </x:c>
      <x:c r="BI11" s="14" t="str">
        <x:v>c1ccc(C2CC23CCN(CCSc2nnc(-c4cnco4)[nH]2)C3)cc1</x:v>
      </x:c>
      <x:c r="BJ11" s="17" t="n">
        <x:v>2</x:v>
      </x:c>
      <x:c r="BK11" s="15" t="n">
        <x:v>977.24</x:v>
      </x:c>
      <x:c r="BL11" s="16" t="n">
        <x:v>0.0027790441888555506</x:v>
      </x:c>
      <x:c r="BM11" s="14" t="str">
        <x:v>false</x:v>
      </x:c>
    </x:row>
    <x:row r="12" ht="51" customHeight="1">
      <x:c r="A12" s="9" t="str">
        <x:v>null</x:v>
      </x:c>
      <x:c r="B12" s="9" t="str">
        <x:v>null</x:v>
      </x:c>
      <x:c r="C12" s="9" t="str">
        <x:v>16670151</x:v>
      </x:c>
      <x:c r="D12" s="9" t="str">
        <x:v>[]</x:v>
      </x:c>
      <x:c r="E12" s="9" t="str">
        <x:v>CHEMBL3855278</x:v>
      </x:c>
      <x:c r="F12" s="9" t="str">
        <x:v>Displacement of [3H]-spiperone from human dopamine D2 receptor expressed in CHO-K1 cell membranes coexpressing Galpha16 after 120 mins by liquid scintillation counting</x:v>
      </x:c>
      <x:c r="G12" s="9" t="str">
        <x:v>B</x:v>
      </x:c>
      <x:c r="H12" s="9" t="str">
        <x:v>null</x:v>
      </x:c>
      <x:c r="I12" s="9" t="str">
        <x:v>null</x:v>
      </x:c>
      <x:c r="J12" s="9" t="str">
        <x:v>BAO_0000192</x:v>
      </x:c>
      <x:c r="K12" s="9" t="str">
        <x:v>BAO_0000219</x:v>
      </x:c>
      <x:c r="L12" s="9" t="str">
        <x:v>cell-based format</x:v>
      </x:c>
      <x:c r="M12" s="9" t="str">
        <x:v>Cc1ncoc1-c1nnc(SCCCN2CC[C@]3(C[C@H]3c3ccccc3C(F)(F)F)C2)n1C</x:v>
      </x:c>
      <x:c r="N12" s="9" t="str">
        <x:v>null</x:v>
      </x:c>
      <x:c r="O12" s="9" t="str">
        <x:v>null</x:v>
      </x:c>
      <x:c r="P12" s="9" t="str">
        <x:v>CHEMBL3853329</x:v>
      </x:c>
      <x:c r="Q12" s="9" t="str">
        <x:v>J Med Chem</x:v>
      </x:c>
      <x:c r="R12" s="13" t="n">
        <x:v>2016</x:v>
      </x:c>
      <x:c r="S12" s="9" t="str">
        <x:v>{"bei":"14.47","le":"0.29","lle":"1.75","sei":"11.52"}</x:v>
      </x:c>
      <x:c r="T12" s="9" t="str">
        <x:v>null</x:v>
      </x:c>
      <x:c r="U12" s="9" t="str">
        <x:v>CHEMBL3914195</x:v>
      </x:c>
      <x:c r="V12" s="9" t="str">
        <x:v>null</x:v>
      </x:c>
      <x:c r="W12" s="9" t="str">
        <x:v>CHEMBL3914195</x:v>
      </x:c>
      <x:c r="X12" s="11" t="n">
        <x:v>6.91</x:v>
      </x:c>
      <x:c r="Y12" s="13" t="n">
        <x:v>0</x:v>
      </x:c>
      <x:c r="Z12" s="9" t="str">
        <x:v>http://www.openphacts.org/units/Nanomolar</x:v>
      </x:c>
      <x:c r="AA12" s="9" t="str">
        <x:v>2796791</x:v>
      </x:c>
      <x:c r="AB12" s="9" t="str">
        <x:v>=</x:v>
      </x:c>
      <x:c r="AC12" s="9" t="str">
        <x:v>1</x:v>
      </x:c>
      <x:c r="AD12" s="13" t="n">
        <x:v>1</x:v>
      </x:c>
      <x:c r="AE12" s="9" t="str">
        <x:v>=</x:v>
      </x:c>
      <x:c r="AF12" s="9" t="str">
        <x:v>null</x:v>
      </x:c>
      <x:c r="AG12" s="9" t="str">
        <x:v>Ki</x:v>
      </x:c>
      <x:c r="AH12" s="9" t="str">
        <x:v>nM</x:v>
      </x:c>
      <x:c r="AI12" s="9" t="str">
        <x:v>null</x:v>
      </x:c>
      <x:c r="AJ12" s="11" t="n">
        <x:v>123.03</x:v>
      </x:c>
      <x:c r="AK12" s="9" t="str">
        <x:v>CHEMBL217</x:v>
      </x:c>
      <x:c r="AL12" s="9" t="str">
        <x:v>Homo sapiens</x:v>
      </x:c>
      <x:c r="AM12" s="9" t="str">
        <x:v>D(2) dopamine receptor</x:v>
      </x:c>
      <x:c r="AN12" s="9" t="str">
        <x:v>9606</x:v>
      </x:c>
      <x:c r="AO12" s="9" t="str">
        <x:v>null</x:v>
      </x:c>
      <x:c r="AP12" s="9" t="str">
        <x:v>null</x:v>
      </x:c>
      <x:c r="AQ12" s="9" t="str">
        <x:v>pKi</x:v>
      </x:c>
      <x:c r="AR12" s="9" t="str">
        <x:v>null</x:v>
      </x:c>
      <x:c r="AS12" s="9" t="str">
        <x:v>UO_0000065</x:v>
      </x:c>
      <x:c r="AT12" s="9" t="str">
        <x:v>null</x:v>
      </x:c>
      <x:c r="AU12" s="9" t="str">
        <x:v>6.91</x:v>
      </x:c>
      <x:c r="AV12" s="11" t="n">
        <x:v>0.00501</x:v>
      </x:c>
      <x:c r="AW12" s="9" t="str">
        <x:v>exclude</x:v>
      </x:c>
      <x:c r="AX12" s="9" t="str">
        <x:v>multiple_source_records_for_full_parent_identity</x:v>
      </x:c>
      <x:c r="AY12" s="11" t="n">
        <x:v>123.02687708123811</x:v>
      </x:c>
      <x:c r="AZ12" s="9" t="str">
        <x:v>source_reported_pKi</x:v>
      </x:c>
      <x:c r="BA12" s="11" t="n">
        <x:v>6.91</x:v>
      </x:c>
      <x:c r="BB12" s="9" t="str">
        <x:v>6cc8558ed72c30e952e25a4d6337f3a3a0e3af95f919871ea82f7497a0516262</x:v>
      </x:c>
      <x:c r="BC12" s="9" t="str">
        <x:v>RRSUWPYFZSEELD-AVRDEDQJSA-N</x:v>
      </x:c>
      <x:c r="BD12" s="9" t="str">
        <x:v>Cc1ncoc1-c1nnc(SCCCN2CC[C@]3(C[C@H]3c3ccccc3C(F)(F)F)C2)n1C</x:v>
      </x:c>
      <x:c r="BE12" s="9" t="str">
        <x:v>Cc1ncoc1-c1nnc(SCCCN2CCC3(CC3c3ccccc3C(F)(F)F)C2)n1C</x:v>
      </x:c>
      <x:c r="BF12" s="9" t="str">
        <x:v>Cc1ncoc1-c1nnc(SCCCN2CC[C@]3(C[C@H]3c3ccccc3C(F)(F)F)C2)n1C</x:v>
      </x:c>
      <x:c r="BG12" s="12" t="n">
        <x:v>-0.000011024007147142356</x:v>
      </x:c>
      <x:c r="BH12" s="11" t="n">
        <x:v>6.909988975992853</x:v>
      </x:c>
      <x:c r="BI12" s="9" t="str">
        <x:v>c1ccc(C2CC23CCN(CCCSc2nnc(-c4cnco4)[nH]2)C3)cc1</x:v>
      </x:c>
      <x:c r="BJ12" s="13" t="n">
        <x:v>2</x:v>
      </x:c>
      <x:c r="BK12" s="11" t="n">
        <x:v>123.03</x:v>
      </x:c>
      <x:c r="BL12" s="12" t="n">
        <x:v>0.003122918761889082</x:v>
      </x:c>
      <x:c r="BM12" s="9" t="str">
        <x:v>false</x:v>
      </x:c>
    </x:row>
    <x:row r="13" ht="51" customHeight="1">
      <x:c r="A13" s="14" t="str">
        <x:v>null</x:v>
      </x:c>
      <x:c r="B13" s="14" t="str">
        <x:v>null</x:v>
      </x:c>
      <x:c r="C13" s="14" t="str">
        <x:v>16670152</x:v>
      </x:c>
      <x:c r="D13" s="14" t="str">
        <x:v>[]</x:v>
      </x:c>
      <x:c r="E13" s="14" t="str">
        <x:v>CHEMBL3855278</x:v>
      </x:c>
      <x:c r="F13" s="14" t="str">
        <x:v>Displacement of [3H]-spiperone from human dopamine D2 receptor expressed in CHO-K1 cell membranes coexpressing Galpha16 after 120 mins by liquid scintillation counting</x:v>
      </x:c>
      <x:c r="G13" s="14" t="str">
        <x:v>B</x:v>
      </x:c>
      <x:c r="H13" s="14" t="str">
        <x:v>null</x:v>
      </x:c>
      <x:c r="I13" s="14" t="str">
        <x:v>null</x:v>
      </x:c>
      <x:c r="J13" s="14" t="str">
        <x:v>BAO_0000192</x:v>
      </x:c>
      <x:c r="K13" s="14" t="str">
        <x:v>BAO_0000219</x:v>
      </x:c>
      <x:c r="L13" s="14" t="str">
        <x:v>cell-based format</x:v>
      </x:c>
      <x:c r="M13" s="14" t="str">
        <x:v>Cc1ncoc1-c1nnc(SCCCN2CC[C@]3(C[C@H]3c3ccccc3C(F)(F)F)C2)n1C</x:v>
      </x:c>
      <x:c r="N13" s="14" t="str">
        <x:v>null</x:v>
      </x:c>
      <x:c r="O13" s="14" t="str">
        <x:v>null</x:v>
      </x:c>
      <x:c r="P13" s="14" t="str">
        <x:v>CHEMBL3853329</x:v>
      </x:c>
      <x:c r="Q13" s="14" t="str">
        <x:v>J Med Chem</x:v>
      </x:c>
      <x:c r="R13" s="17" t="n">
        <x:v>2016</x:v>
      </x:c>
      <x:c r="S13" s="14" t="str">
        <x:v>{"bei":"12.86","le":"0.25","lle":"0.98","sei":"10.24"}</x:v>
      </x:c>
      <x:c r="T13" s="14" t="str">
        <x:v>null</x:v>
      </x:c>
      <x:c r="U13" s="14" t="str">
        <x:v>CHEMBL3914195</x:v>
      </x:c>
      <x:c r="V13" s="14" t="str">
        <x:v>null</x:v>
      </x:c>
      <x:c r="W13" s="14" t="str">
        <x:v>CHEMBL3914195</x:v>
      </x:c>
      <x:c r="X13" s="15" t="n">
        <x:v>6.14</x:v>
      </x:c>
      <x:c r="Y13" s="17" t="n">
        <x:v>0</x:v>
      </x:c>
      <x:c r="Z13" s="14" t="str">
        <x:v>http://www.openphacts.org/units/Nanomolar</x:v>
      </x:c>
      <x:c r="AA13" s="14" t="str">
        <x:v>2796792</x:v>
      </x:c>
      <x:c r="AB13" s="14" t="str">
        <x:v>=</x:v>
      </x:c>
      <x:c r="AC13" s="14" t="str">
        <x:v>1</x:v>
      </x:c>
      <x:c r="AD13" s="17" t="n">
        <x:v>1</x:v>
      </x:c>
      <x:c r="AE13" s="14" t="str">
        <x:v>=</x:v>
      </x:c>
      <x:c r="AF13" s="14" t="str">
        <x:v>null</x:v>
      </x:c>
      <x:c r="AG13" s="14" t="str">
        <x:v>Ki</x:v>
      </x:c>
      <x:c r="AH13" s="14" t="str">
        <x:v>nM</x:v>
      </x:c>
      <x:c r="AI13" s="14" t="str">
        <x:v>null</x:v>
      </x:c>
      <x:c r="AJ13" s="15" t="n">
        <x:v>724.44</x:v>
      </x:c>
      <x:c r="AK13" s="14" t="str">
        <x:v>CHEMBL217</x:v>
      </x:c>
      <x:c r="AL13" s="14" t="str">
        <x:v>Homo sapiens</x:v>
      </x:c>
      <x:c r="AM13" s="14" t="str">
        <x:v>D(2) dopamine receptor</x:v>
      </x:c>
      <x:c r="AN13" s="14" t="str">
        <x:v>9606</x:v>
      </x:c>
      <x:c r="AO13" s="14" t="str">
        <x:v>null</x:v>
      </x:c>
      <x:c r="AP13" s="14" t="str">
        <x:v>null</x:v>
      </x:c>
      <x:c r="AQ13" s="14" t="str">
        <x:v>pKi</x:v>
      </x:c>
      <x:c r="AR13" s="14" t="str">
        <x:v>null</x:v>
      </x:c>
      <x:c r="AS13" s="14" t="str">
        <x:v>UO_0000065</x:v>
      </x:c>
      <x:c r="AT13" s="14" t="str">
        <x:v>null</x:v>
      </x:c>
      <x:c r="AU13" s="14" t="str">
        <x:v>6.14</x:v>
      </x:c>
      <x:c r="AV13" s="15" t="n">
        <x:v>0.00501</x:v>
      </x:c>
      <x:c r="AW13" s="14" t="str">
        <x:v>exclude</x:v>
      </x:c>
      <x:c r="AX13" s="14" t="str">
        <x:v>multiple_source_records_for_full_parent_identity</x:v>
      </x:c>
      <x:c r="AY13" s="15" t="n">
        <x:v>724.4359600749906</x:v>
      </x:c>
      <x:c r="AZ13" s="14" t="str">
        <x:v>source_reported_pKi</x:v>
      </x:c>
      <x:c r="BA13" s="15" t="n">
        <x:v>6.14</x:v>
      </x:c>
      <x:c r="BB13" s="14" t="str">
        <x:v>6cc8558ed72c30e952e25a4d6337f3a3a0e3af95f919871ea82f7497a0516262</x:v>
      </x:c>
      <x:c r="BC13" s="14" t="str">
        <x:v>RRSUWPYFZSEELD-AVRDEDQJSA-N</x:v>
      </x:c>
      <x:c r="BD13" s="14" t="str">
        <x:v>Cc1ncoc1-c1nnc(SCCCN2CC[C@]3(C[C@H]3c3ccccc3C(F)(F)F)C2)n1C</x:v>
      </x:c>
      <x:c r="BE13" s="14" t="str">
        <x:v>Cc1ncoc1-c1nnc(SCCCN2CCC3(CC3c3ccccc3C(F)(F)F)C2)n1C</x:v>
      </x:c>
      <x:c r="BF13" s="14" t="str">
        <x:v>Cc1ncoc1-c1nnc(SCCCN2CC[C@]3(C[C@H]3c3ccccc3C(F)(F)F)C2)n1C</x:v>
      </x:c>
      <x:c r="BG13" s="16" t="n">
        <x:v>-0.0000024219010974491084</x:v>
      </x:c>
      <x:c r="BH13" s="15" t="n">
        <x:v>6.139997578098902</x:v>
      </x:c>
      <x:c r="BI13" s="14" t="str">
        <x:v>c1ccc(C2CC23CCN(CCCSc2nnc(-c4cnco4)[nH]2)C3)cc1</x:v>
      </x:c>
      <x:c r="BJ13" s="17" t="n">
        <x:v>2</x:v>
      </x:c>
      <x:c r="BK13" s="15" t="n">
        <x:v>724.44</x:v>
      </x:c>
      <x:c r="BL13" s="16" t="n">
        <x:v>0.004039925009465151</x:v>
      </x:c>
      <x:c r="BM13" s="14" t="str">
        <x:v>false</x:v>
      </x:c>
    </x:row>
    <x:row r="14" ht="51" customHeight="1">
      <x:c r="A14" s="9" t="str">
        <x:v>null</x:v>
      </x:c>
      <x:c r="B14" s="9" t="str">
        <x:v>null</x:v>
      </x:c>
      <x:c r="C14" s="9" t="str">
        <x:v>16670155</x:v>
      </x:c>
      <x:c r="D14" s="9" t="str">
        <x:v>[]</x:v>
      </x:c>
      <x:c r="E14" s="9" t="str">
        <x:v>CHEMBL3855278</x:v>
      </x:c>
      <x:c r="F14" s="9" t="str">
        <x:v>Displacement of [3H]-spiperone from human dopamine D2 receptor expressed in CHO-K1 cell membranes coexpressing Galpha16 after 120 mins by liquid scintillation counting</x:v>
      </x:c>
      <x:c r="G14" s="9" t="str">
        <x:v>B</x:v>
      </x:c>
      <x:c r="H14" s="9" t="str">
        <x:v>null</x:v>
      </x:c>
      <x:c r="I14" s="9" t="str">
        <x:v>null</x:v>
      </x:c>
      <x:c r="J14" s="9" t="str">
        <x:v>BAO_0000192</x:v>
      </x:c>
      <x:c r="K14" s="9" t="str">
        <x:v>BAO_0000219</x:v>
      </x:c>
      <x:c r="L14" s="9" t="str">
        <x:v>cell-based format</x:v>
      </x:c>
      <x:c r="M14" s="9" t="str">
        <x:v>Cc1ncoc1-c1nnc(SCCCN2CC[C@]3(C[C@H]3c3ccc(F)cc3)C2)n1C</x:v>
      </x:c>
      <x:c r="N14" s="9" t="str">
        <x:v>null</x:v>
      </x:c>
      <x:c r="O14" s="9" t="str">
        <x:v>null</x:v>
      </x:c>
      <x:c r="P14" s="9" t="str">
        <x:v>CHEMBL3853329</x:v>
      </x:c>
      <x:c r="Q14" s="9" t="str">
        <x:v>J Med Chem</x:v>
      </x:c>
      <x:c r="R14" s="13" t="n">
        <x:v>2016</x:v>
      </x:c>
      <x:c r="S14" s="9" t="str">
        <x:v>{"bei":"14.06","le":"0.27","lle":"1.73","sei":"10.02"}</x:v>
      </x:c>
      <x:c r="T14" s="9" t="str">
        <x:v>null</x:v>
      </x:c>
      <x:c r="U14" s="9" t="str">
        <x:v>CHEMBL3950264</x:v>
      </x:c>
      <x:c r="V14" s="9" t="str">
        <x:v>null</x:v>
      </x:c>
      <x:c r="W14" s="9" t="str">
        <x:v>CHEMBL3950264</x:v>
      </x:c>
      <x:c r="X14" s="11" t="n">
        <x:v>6.01</x:v>
      </x:c>
      <x:c r="Y14" s="13" t="n">
        <x:v>0</x:v>
      </x:c>
      <x:c r="Z14" s="9" t="str">
        <x:v>http://www.openphacts.org/units/Nanomolar</x:v>
      </x:c>
      <x:c r="AA14" s="9" t="str">
        <x:v>2796795</x:v>
      </x:c>
      <x:c r="AB14" s="9" t="str">
        <x:v>=</x:v>
      </x:c>
      <x:c r="AC14" s="9" t="str">
        <x:v>1</x:v>
      </x:c>
      <x:c r="AD14" s="13" t="n">
        <x:v>1</x:v>
      </x:c>
      <x:c r="AE14" s="9" t="str">
        <x:v>=</x:v>
      </x:c>
      <x:c r="AF14" s="9" t="str">
        <x:v>null</x:v>
      </x:c>
      <x:c r="AG14" s="9" t="str">
        <x:v>Ki</x:v>
      </x:c>
      <x:c r="AH14" s="9" t="str">
        <x:v>nM</x:v>
      </x:c>
      <x:c r="AI14" s="9" t="str">
        <x:v>null</x:v>
      </x:c>
      <x:c r="AJ14" s="11" t="n">
        <x:v>977.24</x:v>
      </x:c>
      <x:c r="AK14" s="9" t="str">
        <x:v>CHEMBL217</x:v>
      </x:c>
      <x:c r="AL14" s="9" t="str">
        <x:v>Homo sapiens</x:v>
      </x:c>
      <x:c r="AM14" s="9" t="str">
        <x:v>D(2) dopamine receptor</x:v>
      </x:c>
      <x:c r="AN14" s="9" t="str">
        <x:v>9606</x:v>
      </x:c>
      <x:c r="AO14" s="9" t="str">
        <x:v>null</x:v>
      </x:c>
      <x:c r="AP14" s="9" t="str">
        <x:v>null</x:v>
      </x:c>
      <x:c r="AQ14" s="9" t="str">
        <x:v>pKi</x:v>
      </x:c>
      <x:c r="AR14" s="9" t="str">
        <x:v>null</x:v>
      </x:c>
      <x:c r="AS14" s="9" t="str">
        <x:v>UO_0000065</x:v>
      </x:c>
      <x:c r="AT14" s="9" t="str">
        <x:v>null</x:v>
      </x:c>
      <x:c r="AU14" s="9" t="str">
        <x:v>6.01</x:v>
      </x:c>
      <x:c r="AV14" s="11" t="n">
        <x:v>0.00501</x:v>
      </x:c>
      <x:c r="AW14" s="9" t="str">
        <x:v>exclude</x:v>
      </x:c>
      <x:c r="AX14" s="9" t="str">
        <x:v>multiple_source_records_for_full_parent_identity</x:v>
      </x:c>
      <x:c r="AY14" s="11" t="n">
        <x:v>977.2372209558112</x:v>
      </x:c>
      <x:c r="AZ14" s="9" t="str">
        <x:v>source_reported_pKi</x:v>
      </x:c>
      <x:c r="BA14" s="11" t="n">
        <x:v>6.01</x:v>
      </x:c>
      <x:c r="BB14" s="9" t="str">
        <x:v>11dae94f2537e3de53d4676993b2e8692184d1b1025b7614e70e1fcad4b3efb8</x:v>
      </x:c>
      <x:c r="BC14" s="9" t="str">
        <x:v>XRDPJIJIWYVCKW-AVRDEDQJSA-N</x:v>
      </x:c>
      <x:c r="BD14" s="9" t="str">
        <x:v>Cc1ncoc1-c1nnc(SCCCN2CC[C@]3(C[C@H]3c3ccc(F)cc3)C2)n1C</x:v>
      </x:c>
      <x:c r="BE14" s="9" t="str">
        <x:v>Cc1ncoc1-c1nnc(SCCCN2CCC3(CC3c3ccc(F)cc3)C2)n1C</x:v>
      </x:c>
      <x:c r="BF14" s="9" t="str">
        <x:v>Cc1ncoc1-c1nnc(SCCCN2CC[C@]3(C[C@H]3c3ccc(F)cc3)C2)n1C</x:v>
      </x:c>
      <x:c r="BG14" s="12" t="n">
        <x:v>-0.0000012350346612066687</x:v>
      </x:c>
      <x:c r="BH14" s="11" t="n">
        <x:v>6.009998764965339</x:v>
      </x:c>
      <x:c r="BI14" s="9" t="str">
        <x:v>c1ccc(C2CC23CCN(CCCSc2nnc(-c4cnco4)[nH]2)C3)cc1</x:v>
      </x:c>
      <x:c r="BJ14" s="13" t="n">
        <x:v>2</x:v>
      </x:c>
      <x:c r="BK14" s="11" t="n">
        <x:v>977.24</x:v>
      </x:c>
      <x:c r="BL14" s="12" t="n">
        <x:v>0.0027790441888555506</x:v>
      </x:c>
      <x:c r="BM14" s="9" t="str">
        <x:v>false</x:v>
      </x:c>
    </x:row>
    <x:row r="15" ht="51" customHeight="1">
      <x:c r="A15" s="14" t="str">
        <x:v>null</x:v>
      </x:c>
      <x:c r="B15" s="14" t="str">
        <x:v>null</x:v>
      </x:c>
      <x:c r="C15" s="14" t="str">
        <x:v>16670156</x:v>
      </x:c>
      <x:c r="D15" s="14" t="str">
        <x:v>[]</x:v>
      </x:c>
      <x:c r="E15" s="14" t="str">
        <x:v>CHEMBL3855278</x:v>
      </x:c>
      <x:c r="F15" s="14" t="str">
        <x:v>Displacement of [3H]-spiperone from human dopamine D2 receptor expressed in CHO-K1 cell membranes coexpressing Galpha16 after 120 mins by liquid scintillation counting</x:v>
      </x:c>
      <x:c r="G15" s="14" t="str">
        <x:v>B</x:v>
      </x:c>
      <x:c r="H15" s="14" t="str">
        <x:v>null</x:v>
      </x:c>
      <x:c r="I15" s="14" t="str">
        <x:v>null</x:v>
      </x:c>
      <x:c r="J15" s="14" t="str">
        <x:v>BAO_0000192</x:v>
      </x:c>
      <x:c r="K15" s="14" t="str">
        <x:v>BAO_0000219</x:v>
      </x:c>
      <x:c r="L15" s="14" t="str">
        <x:v>cell-based format</x:v>
      </x:c>
      <x:c r="M15" s="14" t="str">
        <x:v>Cc1ncoc1-c1nnc(SCCCN2CC[C@]3(C[C@H]3c3ccc(F)cc3)C2)n1C</x:v>
      </x:c>
      <x:c r="N15" s="14" t="str">
        <x:v>null</x:v>
      </x:c>
      <x:c r="O15" s="14" t="str">
        <x:v>null</x:v>
      </x:c>
      <x:c r="P15" s="14" t="str">
        <x:v>CHEMBL3853329</x:v>
      </x:c>
      <x:c r="Q15" s="14" t="str">
        <x:v>J Med Chem</x:v>
      </x:c>
      <x:c r="R15" s="17" t="n">
        <x:v>2016</x:v>
      </x:c>
      <x:c r="S15" s="14" t="str">
        <x:v>{"bei":"13.94","le":"0.27","lle":"1.68","sei":"9.94"}</x:v>
      </x:c>
      <x:c r="T15" s="14" t="str">
        <x:v>null</x:v>
      </x:c>
      <x:c r="U15" s="14" t="str">
        <x:v>CHEMBL3950264</x:v>
      </x:c>
      <x:c r="V15" s="14" t="str">
        <x:v>null</x:v>
      </x:c>
      <x:c r="W15" s="14" t="str">
        <x:v>CHEMBL3950264</x:v>
      </x:c>
      <x:c r="X15" s="15" t="n">
        <x:v>5.96</x:v>
      </x:c>
      <x:c r="Y15" s="17" t="n">
        <x:v>0</x:v>
      </x:c>
      <x:c r="Z15" s="14" t="str">
        <x:v>http://www.openphacts.org/units/Nanomolar</x:v>
      </x:c>
      <x:c r="AA15" s="14" t="str">
        <x:v>2796796</x:v>
      </x:c>
      <x:c r="AB15" s="14" t="str">
        <x:v>=</x:v>
      </x:c>
      <x:c r="AC15" s="14" t="str">
        <x:v>1</x:v>
      </x:c>
      <x:c r="AD15" s="17" t="n">
        <x:v>1</x:v>
      </x:c>
      <x:c r="AE15" s="14" t="str">
        <x:v>=</x:v>
      </x:c>
      <x:c r="AF15" s="14" t="str">
        <x:v>null</x:v>
      </x:c>
      <x:c r="AG15" s="14" t="str">
        <x:v>Ki</x:v>
      </x:c>
      <x:c r="AH15" s="14" t="str">
        <x:v>nM</x:v>
      </x:c>
      <x:c r="AI15" s="14" t="str">
        <x:v>null</x:v>
      </x:c>
      <x:c r="AJ15" s="15" t="n">
        <x:v>1096.48</x:v>
      </x:c>
      <x:c r="AK15" s="14" t="str">
        <x:v>CHEMBL217</x:v>
      </x:c>
      <x:c r="AL15" s="14" t="str">
        <x:v>Homo sapiens</x:v>
      </x:c>
      <x:c r="AM15" s="14" t="str">
        <x:v>D(2) dopamine receptor</x:v>
      </x:c>
      <x:c r="AN15" s="14" t="str">
        <x:v>9606</x:v>
      </x:c>
      <x:c r="AO15" s="14" t="str">
        <x:v>null</x:v>
      </x:c>
      <x:c r="AP15" s="14" t="str">
        <x:v>null</x:v>
      </x:c>
      <x:c r="AQ15" s="14" t="str">
        <x:v>pKi</x:v>
      </x:c>
      <x:c r="AR15" s="14" t="str">
        <x:v>null</x:v>
      </x:c>
      <x:c r="AS15" s="14" t="str">
        <x:v>UO_0000065</x:v>
      </x:c>
      <x:c r="AT15" s="14" t="str">
        <x:v>null</x:v>
      </x:c>
      <x:c r="AU15" s="14" t="str">
        <x:v>5.96</x:v>
      </x:c>
      <x:c r="AV15" s="15" t="n">
        <x:v>0.00501</x:v>
      </x:c>
      <x:c r="AW15" s="14" t="str">
        <x:v>exclude</x:v>
      </x:c>
      <x:c r="AX15" s="14" t="str">
        <x:v>multiple_source_records_for_full_parent_identity</x:v>
      </x:c>
      <x:c r="AY15" s="15" t="n">
        <x:v>1096.4781961431852</x:v>
      </x:c>
      <x:c r="AZ15" s="14" t="str">
        <x:v>source_reported_pKi</x:v>
      </x:c>
      <x:c r="BA15" s="15" t="n">
        <x:v>5.96</x:v>
      </x:c>
      <x:c r="BB15" s="14" t="str">
        <x:v>11dae94f2537e3de53d4676993b2e8692184d1b1025b7614e70e1fcad4b3efb8</x:v>
      </x:c>
      <x:c r="BC15" s="14" t="str">
        <x:v>XRDPJIJIWYVCKW-AVRDEDQJSA-N</x:v>
      </x:c>
      <x:c r="BD15" s="14" t="str">
        <x:v>Cc1ncoc1-c1nnc(SCCCN2CC[C@]3(C[C@H]3c3ccc(F)cc3)C2)n1C</x:v>
      </x:c>
      <x:c r="BE15" s="14" t="str">
        <x:v>Cc1ncoc1-c1nnc(SCCCN2CCC3(CC3c3ccc(F)cc3)C2)n1C</x:v>
      </x:c>
      <x:c r="BF15" s="14" t="str">
        <x:v>Cc1ncoc1-c1nnc(SCCCN2CC[C@]3(C[C@H]3c3ccc(F)cc3)C2)n1C</x:v>
      </x:c>
      <x:c r="BG15" s="16" t="n">
        <x:v>-7.144733196184916e-7</x:v>
      </x:c>
      <x:c r="BH15" s="15" t="n">
        <x:v>5.95999928552668</x:v>
      </x:c>
      <x:c r="BI15" s="14" t="str">
        <x:v>c1ccc(C2CC23CCN(CCCSc2nnc(-c4cnco4)[nH]2)C3)cc1</x:v>
      </x:c>
      <x:c r="BJ15" s="17" t="n">
        <x:v>2</x:v>
      </x:c>
      <x:c r="BK15" s="15" t="n">
        <x:v>1096.48</x:v>
      </x:c>
      <x:c r="BL15" s="16" t="n">
        <x:v>0.0018038568148313061</x:v>
      </x:c>
      <x:c r="BM15" s="14" t="str">
        <x:v>false</x:v>
      </x:c>
    </x:row>
    <x:row r="16" ht="51" customHeight="1">
      <x:c r="A16" s="9" t="str">
        <x:v>null</x:v>
      </x:c>
      <x:c r="B16" s="9" t="str">
        <x:v>null</x:v>
      </x:c>
      <x:c r="C16" s="9" t="str">
        <x:v>16670158</x:v>
      </x:c>
      <x:c r="D16" s="9" t="str">
        <x:v>[]</x:v>
      </x:c>
      <x:c r="E16" s="9" t="str">
        <x:v>CHEMBL3855278</x:v>
      </x:c>
      <x:c r="F16" s="9" t="str">
        <x:v>Displacement of [3H]-spiperone from human dopamine D2 receptor expressed in CHO-K1 cell membranes coexpressing Galpha16 after 120 mins by liquid scintillation counting</x:v>
      </x:c>
      <x:c r="G16" s="9" t="str">
        <x:v>B</x:v>
      </x:c>
      <x:c r="H16" s="9" t="str">
        <x:v>null</x:v>
      </x:c>
      <x:c r="I16" s="9" t="str">
        <x:v>null</x:v>
      </x:c>
      <x:c r="J16" s="9" t="str">
        <x:v>BAO_0000192</x:v>
      </x:c>
      <x:c r="K16" s="9" t="str">
        <x:v>BAO_0000219</x:v>
      </x:c>
      <x:c r="L16" s="9" t="str">
        <x:v>cell-based format</x:v>
      </x:c>
      <x:c r="M16" s="9" t="str">
        <x:v>Cc1ncoc1-c1nnc(SCCCN2CC[C@]3(C[C@@H]3c3ccc(F)cc3)C2)n1C</x:v>
      </x:c>
      <x:c r="N16" s="9" t="str">
        <x:v>null</x:v>
      </x:c>
      <x:c r="O16" s="9" t="str">
        <x:v>null</x:v>
      </x:c>
      <x:c r="P16" s="9" t="str">
        <x:v>CHEMBL3853329</x:v>
      </x:c>
      <x:c r="Q16" s="9" t="str">
        <x:v>J Med Chem</x:v>
      </x:c>
      <x:c r="R16" s="13" t="n">
        <x:v>2016</x:v>
      </x:c>
      <x:c r="S16" s="9" t="str">
        <x:v>{"bei":"14.90","le":"0.29","lle":"2.09","sei":"10.62"}</x:v>
      </x:c>
      <x:c r="T16" s="9" t="str">
        <x:v>null</x:v>
      </x:c>
      <x:c r="U16" s="9" t="str">
        <x:v>CHEMBL3922143</x:v>
      </x:c>
      <x:c r="V16" s="9" t="str">
        <x:v>null</x:v>
      </x:c>
      <x:c r="W16" s="9" t="str">
        <x:v>CHEMBL3922143</x:v>
      </x:c>
      <x:c r="X16" s="11" t="n">
        <x:v>6.37</x:v>
      </x:c>
      <x:c r="Y16" s="13" t="n">
        <x:v>0</x:v>
      </x:c>
      <x:c r="Z16" s="9" t="str">
        <x:v>http://www.openphacts.org/units/Nanomolar</x:v>
      </x:c>
      <x:c r="AA16" s="9" t="str">
        <x:v>2796798</x:v>
      </x:c>
      <x:c r="AB16" s="9" t="str">
        <x:v>=</x:v>
      </x:c>
      <x:c r="AC16" s="9" t="str">
        <x:v>1</x:v>
      </x:c>
      <x:c r="AD16" s="13" t="n">
        <x:v>1</x:v>
      </x:c>
      <x:c r="AE16" s="9" t="str">
        <x:v>=</x:v>
      </x:c>
      <x:c r="AF16" s="9" t="str">
        <x:v>null</x:v>
      </x:c>
      <x:c r="AG16" s="9" t="str">
        <x:v>Ki</x:v>
      </x:c>
      <x:c r="AH16" s="9" t="str">
        <x:v>nM</x:v>
      </x:c>
      <x:c r="AI16" s="9" t="str">
        <x:v>null</x:v>
      </x:c>
      <x:c r="AJ16" s="11" t="n">
        <x:v>426.58</x:v>
      </x:c>
      <x:c r="AK16" s="9" t="str">
        <x:v>CHEMBL217</x:v>
      </x:c>
      <x:c r="AL16" s="9" t="str">
        <x:v>Homo sapiens</x:v>
      </x:c>
      <x:c r="AM16" s="9" t="str">
        <x:v>D(2) dopamine receptor</x:v>
      </x:c>
      <x:c r="AN16" s="9" t="str">
        <x:v>9606</x:v>
      </x:c>
      <x:c r="AO16" s="9" t="str">
        <x:v>null</x:v>
      </x:c>
      <x:c r="AP16" s="9" t="str">
        <x:v>null</x:v>
      </x:c>
      <x:c r="AQ16" s="9" t="str">
        <x:v>pKi</x:v>
      </x:c>
      <x:c r="AR16" s="9" t="str">
        <x:v>null</x:v>
      </x:c>
      <x:c r="AS16" s="9" t="str">
        <x:v>UO_0000065</x:v>
      </x:c>
      <x:c r="AT16" s="9" t="str">
        <x:v>null</x:v>
      </x:c>
      <x:c r="AU16" s="9" t="str">
        <x:v>6.37</x:v>
      </x:c>
      <x:c r="AV16" s="11" t="n">
        <x:v>0.00501</x:v>
      </x:c>
      <x:c r="AW16" s="9" t="str">
        <x:v>exclude</x:v>
      </x:c>
      <x:c r="AX16" s="9" t="str">
        <x:v>multiple_source_records_for_full_parent_identity</x:v>
      </x:c>
      <x:c r="AY16" s="11" t="n">
        <x:v>426.57951880159254</x:v>
      </x:c>
      <x:c r="AZ16" s="9" t="str">
        <x:v>source_reported_pKi</x:v>
      </x:c>
      <x:c r="BA16" s="11" t="n">
        <x:v>6.37</x:v>
      </x:c>
      <x:c r="BB16" s="9" t="str">
        <x:v>11dae94f2537e3de53d4676993b2e8692184d1b1025b7614e70e1fcad4b3efb8</x:v>
      </x:c>
      <x:c r="BC16" s="9" t="str">
        <x:v>XRDPJIJIWYVCKW-GCJKJVERSA-N</x:v>
      </x:c>
      <x:c r="BD16" s="9" t="str">
        <x:v>Cc1ncoc1-c1nnc(SCCCN2CC[C@]3(C[C@@H]3c3ccc(F)cc3)C2)n1C</x:v>
      </x:c>
      <x:c r="BE16" s="9" t="str">
        <x:v>Cc1ncoc1-c1nnc(SCCCN2CCC3(CC3c3ccc(F)cc3)C2)n1C</x:v>
      </x:c>
      <x:c r="BF16" s="9" t="str">
        <x:v>Cc1ncoc1-c1nnc(SCCCN2CC[C@]3(C[C@@H]3c3ccc(F)cc3)C2)n1C</x:v>
      </x:c>
      <x:c r="BG16" s="12" t="n">
        <x:v>-4.899009118375375e-7</x:v>
      </x:c>
      <x:c r="BH16" s="11" t="n">
        <x:v>6.369999510099088</x:v>
      </x:c>
      <x:c r="BI16" s="9" t="str">
        <x:v>c1ccc(C2CC23CCN(CCCSc2nnc(-c4cnco4)[nH]2)C3)cc1</x:v>
      </x:c>
      <x:c r="BJ16" s="13" t="n">
        <x:v>2</x:v>
      </x:c>
      <x:c r="BK16" s="11" t="n">
        <x:v>426.58</x:v>
      </x:c>
      <x:c r="BL16" s="12" t="n">
        <x:v>0.0004811984074422071</x:v>
      </x:c>
      <x:c r="BM16" s="9" t="str">
        <x:v>false</x:v>
      </x:c>
    </x:row>
    <x:row r="17" ht="51" customHeight="1">
      <x:c r="A17" s="14" t="str">
        <x:v>null</x:v>
      </x:c>
      <x:c r="B17" s="14" t="str">
        <x:v>null</x:v>
      </x:c>
      <x:c r="C17" s="14" t="str">
        <x:v>16670159</x:v>
      </x:c>
      <x:c r="D17" s="14" t="str">
        <x:v>[]</x:v>
      </x:c>
      <x:c r="E17" s="14" t="str">
        <x:v>CHEMBL3855278</x:v>
      </x:c>
      <x:c r="F17" s="14" t="str">
        <x:v>Displacement of [3H]-spiperone from human dopamine D2 receptor expressed in CHO-K1 cell membranes coexpressing Galpha16 after 120 mins by liquid scintillation counting</x:v>
      </x:c>
      <x:c r="G17" s="14" t="str">
        <x:v>B</x:v>
      </x:c>
      <x:c r="H17" s="14" t="str">
        <x:v>null</x:v>
      </x:c>
      <x:c r="I17" s="14" t="str">
        <x:v>null</x:v>
      </x:c>
      <x:c r="J17" s="14" t="str">
        <x:v>BAO_0000192</x:v>
      </x:c>
      <x:c r="K17" s="14" t="str">
        <x:v>BAO_0000219</x:v>
      </x:c>
      <x:c r="L17" s="14" t="str">
        <x:v>cell-based format</x:v>
      </x:c>
      <x:c r="M17" s="14" t="str">
        <x:v>Cc1ncoc1-c1nnc(SCCCN2CC[C@]3(C[C@@H]3c3ccc(F)cc3)C2)n1C</x:v>
      </x:c>
      <x:c r="N17" s="14" t="str">
        <x:v>null</x:v>
      </x:c>
      <x:c r="O17" s="14" t="str">
        <x:v>null</x:v>
      </x:c>
      <x:c r="P17" s="14" t="str">
        <x:v>CHEMBL3853329</x:v>
      </x:c>
      <x:c r="Q17" s="14" t="str">
        <x:v>J Med Chem</x:v>
      </x:c>
      <x:c r="R17" s="17" t="n">
        <x:v>2016</x:v>
      </x:c>
      <x:c r="S17" s="14" t="str">
        <x:v>{"bei":"11.91","le":"0.23","lle":"0.81","sei":"8.49"}</x:v>
      </x:c>
      <x:c r="T17" s="14" t="str">
        <x:v>null</x:v>
      </x:c>
      <x:c r="U17" s="14" t="str">
        <x:v>CHEMBL3922143</x:v>
      </x:c>
      <x:c r="V17" s="14" t="str">
        <x:v>null</x:v>
      </x:c>
      <x:c r="W17" s="14" t="str">
        <x:v>CHEMBL3922143</x:v>
      </x:c>
      <x:c r="X17" s="15" t="n">
        <x:v>5.09</x:v>
      </x:c>
      <x:c r="Y17" s="17" t="n">
        <x:v>0</x:v>
      </x:c>
      <x:c r="Z17" s="14" t="str">
        <x:v>http://www.openphacts.org/units/Nanomolar</x:v>
      </x:c>
      <x:c r="AA17" s="14" t="str">
        <x:v>2796799</x:v>
      </x:c>
      <x:c r="AB17" s="14" t="str">
        <x:v>=</x:v>
      </x:c>
      <x:c r="AC17" s="14" t="str">
        <x:v>1</x:v>
      </x:c>
      <x:c r="AD17" s="17" t="n">
        <x:v>1</x:v>
      </x:c>
      <x:c r="AE17" s="14" t="str">
        <x:v>=</x:v>
      </x:c>
      <x:c r="AF17" s="14" t="str">
        <x:v>null</x:v>
      </x:c>
      <x:c r="AG17" s="14" t="str">
        <x:v>Ki</x:v>
      </x:c>
      <x:c r="AH17" s="14" t="str">
        <x:v>nM</x:v>
      </x:c>
      <x:c r="AI17" s="14" t="str">
        <x:v>null</x:v>
      </x:c>
      <x:c r="AJ17" s="15" t="n">
        <x:v>8128.31</x:v>
      </x:c>
      <x:c r="AK17" s="14" t="str">
        <x:v>CHEMBL217</x:v>
      </x:c>
      <x:c r="AL17" s="14" t="str">
        <x:v>Homo sapiens</x:v>
      </x:c>
      <x:c r="AM17" s="14" t="str">
        <x:v>D(2) dopamine receptor</x:v>
      </x:c>
      <x:c r="AN17" s="14" t="str">
        <x:v>9606</x:v>
      </x:c>
      <x:c r="AO17" s="14" t="str">
        <x:v>null</x:v>
      </x:c>
      <x:c r="AP17" s="14" t="str">
        <x:v>null</x:v>
      </x:c>
      <x:c r="AQ17" s="14" t="str">
        <x:v>pKi</x:v>
      </x:c>
      <x:c r="AR17" s="14" t="str">
        <x:v>null</x:v>
      </x:c>
      <x:c r="AS17" s="14" t="str">
        <x:v>UO_0000065</x:v>
      </x:c>
      <x:c r="AT17" s="14" t="str">
        <x:v>null</x:v>
      </x:c>
      <x:c r="AU17" s="14" t="str">
        <x:v>5.09</x:v>
      </x:c>
      <x:c r="AV17" s="15" t="n">
        <x:v>0.008128305161640995</x:v>
      </x:c>
      <x:c r="AW17" s="14" t="str">
        <x:v>exclude</x:v>
      </x:c>
      <x:c r="AX17" s="14" t="str">
        <x:v>multiple_source_records_for_full_parent_identity</x:v>
      </x:c>
      <x:c r="AY17" s="15" t="n">
        <x:v>8128.305161640995</x:v>
      </x:c>
      <x:c r="AZ17" s="14" t="str">
        <x:v>source_reported_pKi</x:v>
      </x:c>
      <x:c r="BA17" s="15" t="n">
        <x:v>5.09</x:v>
      </x:c>
      <x:c r="BB17" s="14" t="str">
        <x:v>11dae94f2537e3de53d4676993b2e8692184d1b1025b7614e70e1fcad4b3efb8</x:v>
      </x:c>
      <x:c r="BC17" s="14" t="str">
        <x:v>XRDPJIJIWYVCKW-GCJKJVERSA-N</x:v>
      </x:c>
      <x:c r="BD17" s="14" t="str">
        <x:v>Cc1ncoc1-c1nnc(SCCCN2CC[C@]3(C[C@@H]3c3ccc(F)cc3)C2)n1C</x:v>
      </x:c>
      <x:c r="BE17" s="14" t="str">
        <x:v>Cc1ncoc1-c1nnc(SCCCN2CCC3(CC3c3ccc(F)cc3)C2)n1C</x:v>
      </x:c>
      <x:c r="BF17" s="14" t="str">
        <x:v>Cc1ncoc1-c1nnc(SCCCN2CC[C@]3(C[C@@H]3c3ccc(F)cc3)C2)n1C</x:v>
      </x:c>
      <x:c r="BG17" s="16" t="n">
        <x:v>-2.5851293106171624e-7</x:v>
      </x:c>
      <x:c r="BH17" s="15" t="n">
        <x:v>5.089999741487069</x:v>
      </x:c>
      <x:c r="BI17" s="14" t="str">
        <x:v>c1ccc(C2CC23CCN(CCCSc2nnc(-c4cnco4)[nH]2)C3)cc1</x:v>
      </x:c>
      <x:c r="BJ17" s="17" t="n">
        <x:v>2</x:v>
      </x:c>
      <x:c r="BK17" s="15" t="n">
        <x:v>8128.31</x:v>
      </x:c>
      <x:c r="BL17" s="16" t="n">
        <x:v>0.0048383590055891545</x:v>
      </x:c>
      <x:c r="BM17" s="14" t="str">
        <x:v>false</x:v>
      </x:c>
    </x:row>
    <x:row r="18" ht="51" customHeight="1">
      <x:c r="A18" s="9" t="str">
        <x:v>null</x:v>
      </x:c>
      <x:c r="B18" s="9" t="str">
        <x:v>null</x:v>
      </x:c>
      <x:c r="C18" s="9" t="str">
        <x:v>16670161</x:v>
      </x:c>
      <x:c r="D18" s="9" t="str">
        <x:v>[]</x:v>
      </x:c>
      <x:c r="E18" s="9" t="str">
        <x:v>CHEMBL3855278</x:v>
      </x:c>
      <x:c r="F18" s="9" t="str">
        <x:v>Displacement of [3H]-spiperone from human dopamine D2 receptor expressed in CHO-K1 cell membranes coexpressing Galpha16 after 120 mins by liquid scintillation counting</x:v>
      </x:c>
      <x:c r="G18" s="9" t="str">
        <x:v>B</x:v>
      </x:c>
      <x:c r="H18" s="9" t="str">
        <x:v>null</x:v>
      </x:c>
      <x:c r="I18" s="9" t="str">
        <x:v>null</x:v>
      </x:c>
      <x:c r="J18" s="9" t="str">
        <x:v>BAO_0000192</x:v>
      </x:c>
      <x:c r="K18" s="9" t="str">
        <x:v>BAO_0000219</x:v>
      </x:c>
      <x:c r="L18" s="9" t="str">
        <x:v>cell-based format</x:v>
      </x:c>
      <x:c r="M18" s="9" t="str">
        <x:v>Cc1ncoc1-c1nnc(SCCCN2CC[C@]3(C[C@H]3c3ccc(F)cc3F)C2)n1C</x:v>
      </x:c>
      <x:c r="N18" s="9" t="str">
        <x:v>null</x:v>
      </x:c>
      <x:c r="O18" s="9" t="str">
        <x:v>null</x:v>
      </x:c>
      <x:c r="P18" s="9" t="str">
        <x:v>CHEMBL3853329</x:v>
      </x:c>
      <x:c r="Q18" s="9" t="str">
        <x:v>J Med Chem</x:v>
      </x:c>
      <x:c r="R18" s="13" t="n">
        <x:v>2016</x:v>
      </x:c>
      <x:c r="S18" s="9" t="str">
        <x:v>{"bei":"14.07","le":"0.28","lle":"1.85","sei":"10.45"}</x:v>
      </x:c>
      <x:c r="T18" s="9" t="str">
        <x:v>null</x:v>
      </x:c>
      <x:c r="U18" s="9" t="str">
        <x:v>CHEMBL3908548</x:v>
      </x:c>
      <x:c r="V18" s="9" t="str">
        <x:v>null</x:v>
      </x:c>
      <x:c r="W18" s="9" t="str">
        <x:v>CHEMBL3908548</x:v>
      </x:c>
      <x:c r="X18" s="11" t="n">
        <x:v>6.27</x:v>
      </x:c>
      <x:c r="Y18" s="13" t="n">
        <x:v>0</x:v>
      </x:c>
      <x:c r="Z18" s="9" t="str">
        <x:v>http://www.openphacts.org/units/Nanomolar</x:v>
      </x:c>
      <x:c r="AA18" s="9" t="str">
        <x:v>2796801</x:v>
      </x:c>
      <x:c r="AB18" s="9" t="str">
        <x:v>=</x:v>
      </x:c>
      <x:c r="AC18" s="9" t="str">
        <x:v>1</x:v>
      </x:c>
      <x:c r="AD18" s="13" t="n">
        <x:v>1</x:v>
      </x:c>
      <x:c r="AE18" s="9" t="str">
        <x:v>=</x:v>
      </x:c>
      <x:c r="AF18" s="9" t="str">
        <x:v>null</x:v>
      </x:c>
      <x:c r="AG18" s="9" t="str">
        <x:v>Ki</x:v>
      </x:c>
      <x:c r="AH18" s="9" t="str">
        <x:v>nM</x:v>
      </x:c>
      <x:c r="AI18" s="9" t="str">
        <x:v>null</x:v>
      </x:c>
      <x:c r="AJ18" s="11" t="n">
        <x:v>537.03</x:v>
      </x:c>
      <x:c r="AK18" s="9" t="str">
        <x:v>CHEMBL217</x:v>
      </x:c>
      <x:c r="AL18" s="9" t="str">
        <x:v>Homo sapiens</x:v>
      </x:c>
      <x:c r="AM18" s="9" t="str">
        <x:v>D(2) dopamine receptor</x:v>
      </x:c>
      <x:c r="AN18" s="9" t="str">
        <x:v>9606</x:v>
      </x:c>
      <x:c r="AO18" s="9" t="str">
        <x:v>null</x:v>
      </x:c>
      <x:c r="AP18" s="9" t="str">
        <x:v>null</x:v>
      </x:c>
      <x:c r="AQ18" s="9" t="str">
        <x:v>pKi</x:v>
      </x:c>
      <x:c r="AR18" s="9" t="str">
        <x:v>null</x:v>
      </x:c>
      <x:c r="AS18" s="9" t="str">
        <x:v>UO_0000065</x:v>
      </x:c>
      <x:c r="AT18" s="9" t="str">
        <x:v>null</x:v>
      </x:c>
      <x:c r="AU18" s="9" t="str">
        <x:v>6.27</x:v>
      </x:c>
      <x:c r="AV18" s="11" t="n">
        <x:v>0.00501</x:v>
      </x:c>
      <x:c r="AW18" s="9" t="str">
        <x:v>exclude</x:v>
      </x:c>
      <x:c r="AX18" s="9" t="str">
        <x:v>multiple_source_records_for_full_parent_identity</x:v>
      </x:c>
      <x:c r="AY18" s="11" t="n">
        <x:v>537.0317963702532</x:v>
      </x:c>
      <x:c r="AZ18" s="9" t="str">
        <x:v>source_reported_pKi</x:v>
      </x:c>
      <x:c r="BA18" s="11" t="n">
        <x:v>6.27</x:v>
      </x:c>
      <x:c r="BB18" s="9" t="str">
        <x:v>c9bb72c84834730b0cbc7844a15d094f61b850161fa051c0501826f0896ec0e8</x:v>
      </x:c>
      <x:c r="BC18" s="9" t="str">
        <x:v>XIHOJUYAGODVFH-JTSKRJEESA-N</x:v>
      </x:c>
      <x:c r="BD18" s="9" t="str">
        <x:v>Cc1ncoc1-c1nnc(SCCCN2CC[C@]3(C[C@H]3c3ccc(F)cc3F)C2)n1C</x:v>
      </x:c>
      <x:c r="BE18" s="9" t="str">
        <x:v>Cc1ncoc1-c1nnc(SCCCN2CCC3(CC3c3ccc(F)cc3F)C2)n1C</x:v>
      </x:c>
      <x:c r="BF18" s="9" t="str">
        <x:v>Cc1ncoc1-c1nnc(SCCCN2CC[C@]3(C[C@H]3c3ccc(F)cc3F)C2)n1C</x:v>
      </x:c>
      <x:c r="BG18" s="12" t="n">
        <x:v>0.000001452716578143054</x:v>
      </x:c>
      <x:c r="BH18" s="11" t="n">
        <x:v>6.270001452716578</x:v>
      </x:c>
      <x:c r="BI18" s="9" t="str">
        <x:v>c1ccc(C2CC23CCN(CCCSc2nnc(-c4cnco4)[nH]2)C3)cc1</x:v>
      </x:c>
      <x:c r="BJ18" s="13" t="n">
        <x:v>2</x:v>
      </x:c>
      <x:c r="BK18" s="11" t="n">
        <x:v>537.03</x:v>
      </x:c>
      <x:c r="BL18" s="12" t="n">
        <x:v>-0.001796370253259738</x:v>
      </x:c>
      <x:c r="BM18" s="9" t="str">
        <x:v>false</x:v>
      </x:c>
    </x:row>
    <x:row r="19" ht="51" customHeight="1">
      <x:c r="A19" s="14" t="str">
        <x:v>null</x:v>
      </x:c>
      <x:c r="B19" s="14" t="str">
        <x:v>null</x:v>
      </x:c>
      <x:c r="C19" s="14" t="str">
        <x:v>16670162</x:v>
      </x:c>
      <x:c r="D19" s="14" t="str">
        <x:v>[]</x:v>
      </x:c>
      <x:c r="E19" s="14" t="str">
        <x:v>CHEMBL3855278</x:v>
      </x:c>
      <x:c r="F19" s="14" t="str">
        <x:v>Displacement of [3H]-spiperone from human dopamine D2 receptor expressed in CHO-K1 cell membranes coexpressing Galpha16 after 120 mins by liquid scintillation counting</x:v>
      </x:c>
      <x:c r="G19" s="14" t="str">
        <x:v>B</x:v>
      </x:c>
      <x:c r="H19" s="14" t="str">
        <x:v>null</x:v>
      </x:c>
      <x:c r="I19" s="14" t="str">
        <x:v>null</x:v>
      </x:c>
      <x:c r="J19" s="14" t="str">
        <x:v>BAO_0000192</x:v>
      </x:c>
      <x:c r="K19" s="14" t="str">
        <x:v>BAO_0000219</x:v>
      </x:c>
      <x:c r="L19" s="14" t="str">
        <x:v>cell-based format</x:v>
      </x:c>
      <x:c r="M19" s="14" t="str">
        <x:v>Cc1ncoc1-c1nnc(SCCCN2CC[C@]3(C[C@H]3c3ccc(F)cc3F)C2)n1C</x:v>
      </x:c>
      <x:c r="N19" s="14" t="str">
        <x:v>null</x:v>
      </x:c>
      <x:c r="O19" s="14" t="str">
        <x:v>null</x:v>
      </x:c>
      <x:c r="P19" s="14" t="str">
        <x:v>CHEMBL3853329</x:v>
      </x:c>
      <x:c r="Q19" s="14" t="str">
        <x:v>J Med Chem</x:v>
      </x:c>
      <x:c r="R19" s="17" t="n">
        <x:v>2016</x:v>
      </x:c>
      <x:c r="S19" s="14" t="str">
        <x:v>{"bei":"13.85","le":"0.27","lle":"1.75","sei":"10.29"}</x:v>
      </x:c>
      <x:c r="T19" s="14" t="str">
        <x:v>null</x:v>
      </x:c>
      <x:c r="U19" s="14" t="str">
        <x:v>CHEMBL3908548</x:v>
      </x:c>
      <x:c r="V19" s="14" t="str">
        <x:v>null</x:v>
      </x:c>
      <x:c r="W19" s="14" t="str">
        <x:v>CHEMBL3908548</x:v>
      </x:c>
      <x:c r="X19" s="15" t="n">
        <x:v>6.17</x:v>
      </x:c>
      <x:c r="Y19" s="17" t="n">
        <x:v>0</x:v>
      </x:c>
      <x:c r="Z19" s="14" t="str">
        <x:v>http://www.openphacts.org/units/Nanomolar</x:v>
      </x:c>
      <x:c r="AA19" s="14" t="str">
        <x:v>2796802</x:v>
      </x:c>
      <x:c r="AB19" s="14" t="str">
        <x:v>=</x:v>
      </x:c>
      <x:c r="AC19" s="14" t="str">
        <x:v>1</x:v>
      </x:c>
      <x:c r="AD19" s="17" t="n">
        <x:v>1</x:v>
      </x:c>
      <x:c r="AE19" s="14" t="str">
        <x:v>=</x:v>
      </x:c>
      <x:c r="AF19" s="14" t="str">
        <x:v>null</x:v>
      </x:c>
      <x:c r="AG19" s="14" t="str">
        <x:v>Ki</x:v>
      </x:c>
      <x:c r="AH19" s="14" t="str">
        <x:v>nM</x:v>
      </x:c>
      <x:c r="AI19" s="14" t="str">
        <x:v>null</x:v>
      </x:c>
      <x:c r="AJ19" s="15" t="n">
        <x:v>676.08</x:v>
      </x:c>
      <x:c r="AK19" s="14" t="str">
        <x:v>CHEMBL217</x:v>
      </x:c>
      <x:c r="AL19" s="14" t="str">
        <x:v>Homo sapiens</x:v>
      </x:c>
      <x:c r="AM19" s="14" t="str">
        <x:v>D(2) dopamine receptor</x:v>
      </x:c>
      <x:c r="AN19" s="14" t="str">
        <x:v>9606</x:v>
      </x:c>
      <x:c r="AO19" s="14" t="str">
        <x:v>null</x:v>
      </x:c>
      <x:c r="AP19" s="14" t="str">
        <x:v>null</x:v>
      </x:c>
      <x:c r="AQ19" s="14" t="str">
        <x:v>pKi</x:v>
      </x:c>
      <x:c r="AR19" s="14" t="str">
        <x:v>null</x:v>
      </x:c>
      <x:c r="AS19" s="14" t="str">
        <x:v>UO_0000065</x:v>
      </x:c>
      <x:c r="AT19" s="14" t="str">
        <x:v>null</x:v>
      </x:c>
      <x:c r="AU19" s="14" t="str">
        <x:v>6.17</x:v>
      </x:c>
      <x:c r="AV19" s="15" t="n">
        <x:v>0.00501</x:v>
      </x:c>
      <x:c r="AW19" s="14" t="str">
        <x:v>exclude</x:v>
      </x:c>
      <x:c r="AX19" s="14" t="str">
        <x:v>multiple_source_records_for_full_parent_identity</x:v>
      </x:c>
      <x:c r="AY19" s="15" t="n">
        <x:v>676.0829753919819</x:v>
      </x:c>
      <x:c r="AZ19" s="14" t="str">
        <x:v>source_reported_pKi</x:v>
      </x:c>
      <x:c r="BA19" s="15" t="n">
        <x:v>6.17</x:v>
      </x:c>
      <x:c r="BB19" s="14" t="str">
        <x:v>c9bb72c84834730b0cbc7844a15d094f61b850161fa051c0501826f0896ec0e8</x:v>
      </x:c>
      <x:c r="BC19" s="14" t="str">
        <x:v>XIHOJUYAGODVFH-JTSKRJEESA-N</x:v>
      </x:c>
      <x:c r="BD19" s="14" t="str">
        <x:v>Cc1ncoc1-c1nnc(SCCCN2CC[C@]3(C[C@H]3c3ccc(F)cc3F)C2)n1C</x:v>
      </x:c>
      <x:c r="BE19" s="14" t="str">
        <x:v>Cc1ncoc1-c1nnc(SCCCN2CCC3(CC3c3ccc(F)cc3F)C2)n1C</x:v>
      </x:c>
      <x:c r="BF19" s="14" t="str">
        <x:v>Cc1ncoc1-c1nnc(SCCCN2CC[C@]3(C[C@H]3c3ccc(F)cc3F)C2)n1C</x:v>
      </x:c>
      <x:c r="BG19" s="16" t="n">
        <x:v>0.0000019113026201722505</x:v>
      </x:c>
      <x:c r="BH19" s="15" t="n">
        <x:v>6.17000191130262</x:v>
      </x:c>
      <x:c r="BI19" s="14" t="str">
        <x:v>c1ccc(C2CC23CCN(CCCSc2nnc(-c4cnco4)[nH]2)C3)cc1</x:v>
      </x:c>
      <x:c r="BJ19" s="17" t="n">
        <x:v>2</x:v>
      </x:c>
      <x:c r="BK19" s="15" t="n">
        <x:v>676.08</x:v>
      </x:c>
      <x:c r="BL19" s="16" t="n">
        <x:v>-0.0029753919818631402</x:v>
      </x:c>
      <x:c r="BM19" s="14" t="str">
        <x:v>false</x:v>
      </x:c>
    </x:row>
    <x:row r="20" ht="51" customHeight="1">
      <x:c r="A20" s="9" t="str">
        <x:v>null</x:v>
      </x:c>
      <x:c r="B20" s="9" t="str">
        <x:v>null</x:v>
      </x:c>
      <x:c r="C20" s="9" t="str">
        <x:v>16670164</x:v>
      </x:c>
      <x:c r="D20" s="9" t="str">
        <x:v>[]</x:v>
      </x:c>
      <x:c r="E20" s="9" t="str">
        <x:v>CHEMBL3855278</x:v>
      </x:c>
      <x:c r="F20" s="9" t="str">
        <x:v>Displacement of [3H]-spiperone from human dopamine D2 receptor expressed in CHO-K1 cell membranes coexpressing Galpha16 after 120 mins by liquid scintillation counting</x:v>
      </x:c>
      <x:c r="G20" s="9" t="str">
        <x:v>B</x:v>
      </x:c>
      <x:c r="H20" s="9" t="str">
        <x:v>null</x:v>
      </x:c>
      <x:c r="I20" s="9" t="str">
        <x:v>null</x:v>
      </x:c>
      <x:c r="J20" s="9" t="str">
        <x:v>BAO_0000192</x:v>
      </x:c>
      <x:c r="K20" s="9" t="str">
        <x:v>BAO_0000219</x:v>
      </x:c>
      <x:c r="L20" s="9" t="str">
        <x:v>cell-based format</x:v>
      </x:c>
      <x:c r="M20" s="9" t="str">
        <x:v>Cc1ncoc1-c1nnc(SCCCN2CC[C@]3(C[C@@H]3c3ccc(F)cc3F)C2)n1C</x:v>
      </x:c>
      <x:c r="N20" s="9" t="str">
        <x:v>null</x:v>
      </x:c>
      <x:c r="O20" s="9" t="str">
        <x:v>null</x:v>
      </x:c>
      <x:c r="P20" s="9" t="str">
        <x:v>CHEMBL3853329</x:v>
      </x:c>
      <x:c r="Q20" s="9" t="str">
        <x:v>J Med Chem</x:v>
      </x:c>
      <x:c r="R20" s="13" t="n">
        <x:v>2016</x:v>
      </x:c>
      <x:c r="S20" s="9" t="str">
        <x:v>{"bei":"14.66","le":"0.29","lle":"2.11","sei":"10.89"}</x:v>
      </x:c>
      <x:c r="T20" s="9" t="str">
        <x:v>null</x:v>
      </x:c>
      <x:c r="U20" s="9" t="str">
        <x:v>CHEMBL3917887</x:v>
      </x:c>
      <x:c r="V20" s="9" t="str">
        <x:v>null</x:v>
      </x:c>
      <x:c r="W20" s="9" t="str">
        <x:v>CHEMBL3917887</x:v>
      </x:c>
      <x:c r="X20" s="11" t="n">
        <x:v>6.53</x:v>
      </x:c>
      <x:c r="Y20" s="13" t="n">
        <x:v>0</x:v>
      </x:c>
      <x:c r="Z20" s="9" t="str">
        <x:v>http://www.openphacts.org/units/Nanomolar</x:v>
      </x:c>
      <x:c r="AA20" s="9" t="str">
        <x:v>2796804</x:v>
      </x:c>
      <x:c r="AB20" s="9" t="str">
        <x:v>=</x:v>
      </x:c>
      <x:c r="AC20" s="9" t="str">
        <x:v>1</x:v>
      </x:c>
      <x:c r="AD20" s="13" t="n">
        <x:v>1</x:v>
      </x:c>
      <x:c r="AE20" s="9" t="str">
        <x:v>=</x:v>
      </x:c>
      <x:c r="AF20" s="9" t="str">
        <x:v>null</x:v>
      </x:c>
      <x:c r="AG20" s="9" t="str">
        <x:v>Ki</x:v>
      </x:c>
      <x:c r="AH20" s="9" t="str">
        <x:v>nM</x:v>
      </x:c>
      <x:c r="AI20" s="9" t="str">
        <x:v>null</x:v>
      </x:c>
      <x:c r="AJ20" s="11" t="n">
        <x:v>295.12</x:v>
      </x:c>
      <x:c r="AK20" s="9" t="str">
        <x:v>CHEMBL217</x:v>
      </x:c>
      <x:c r="AL20" s="9" t="str">
        <x:v>Homo sapiens</x:v>
      </x:c>
      <x:c r="AM20" s="9" t="str">
        <x:v>D(2) dopamine receptor</x:v>
      </x:c>
      <x:c r="AN20" s="9" t="str">
        <x:v>9606</x:v>
      </x:c>
      <x:c r="AO20" s="9" t="str">
        <x:v>null</x:v>
      </x:c>
      <x:c r="AP20" s="9" t="str">
        <x:v>null</x:v>
      </x:c>
      <x:c r="AQ20" s="9" t="str">
        <x:v>pKi</x:v>
      </x:c>
      <x:c r="AR20" s="9" t="str">
        <x:v>null</x:v>
      </x:c>
      <x:c r="AS20" s="9" t="str">
        <x:v>UO_0000065</x:v>
      </x:c>
      <x:c r="AT20" s="9" t="str">
        <x:v>null</x:v>
      </x:c>
      <x:c r="AU20" s="9" t="str">
        <x:v>6.53</x:v>
      </x:c>
      <x:c r="AV20" s="11" t="n">
        <x:v>0.00501</x:v>
      </x:c>
      <x:c r="AW20" s="9" t="str">
        <x:v>exclude</x:v>
      </x:c>
      <x:c r="AX20" s="9" t="str">
        <x:v>multiple_source_records_for_full_parent_identity</x:v>
      </x:c>
      <x:c r="AY20" s="11" t="n">
        <x:v>295.1209226666384</x:v>
      </x:c>
      <x:c r="AZ20" s="9" t="str">
        <x:v>source_reported_pKi</x:v>
      </x:c>
      <x:c r="BA20" s="11" t="n">
        <x:v>6.53</x:v>
      </x:c>
      <x:c r="BB20" s="9" t="str">
        <x:v>c9bb72c84834730b0cbc7844a15d094f61b850161fa051c0501826f0896ec0e8</x:v>
      </x:c>
      <x:c r="BC20" s="9" t="str">
        <x:v>XIHOJUYAGODVFH-VGSWGCGISA-N</x:v>
      </x:c>
      <x:c r="BD20" s="9" t="str">
        <x:v>Cc1ncoc1-c1nnc(SCCCN2CC[C@]3(C[C@@H]3c3ccc(F)cc3F)C2)n1C</x:v>
      </x:c>
      <x:c r="BE20" s="9" t="str">
        <x:v>Cc1ncoc1-c1nnc(SCCCN2CCC3(CC3c3ccc(F)cc3F)C2)n1C</x:v>
      </x:c>
      <x:c r="BF20" s="9" t="str">
        <x:v>Cc1ncoc1-c1nnc(SCCCN2CC[C@]3(C[C@@H]3c3ccc(F)cc3F)C2)n1C</x:v>
      </x:c>
      <x:c r="BG20" s="12" t="n">
        <x:v>0.0000013577812527643118</x:v>
      </x:c>
      <x:c r="BH20" s="11" t="n">
        <x:v>6.530001357781253</x:v>
      </x:c>
      <x:c r="BI20" s="9" t="str">
        <x:v>c1ccc(C2CC23CCN(CCCSc2nnc(-c4cnco4)[nH]2)C3)cc1</x:v>
      </x:c>
      <x:c r="BJ20" s="13" t="n">
        <x:v>2</x:v>
      </x:c>
      <x:c r="BK20" s="11" t="n">
        <x:v>295.12</x:v>
      </x:c>
      <x:c r="BL20" s="12" t="n">
        <x:v>-0.0009226666384165583</x:v>
      </x:c>
      <x:c r="BM20" s="9" t="str">
        <x:v>false</x:v>
      </x:c>
    </x:row>
    <x:row r="21" ht="81" customHeight="1">
      <x:c r="A21" s="14" t="str">
        <x:v>null</x:v>
      </x:c>
      <x:c r="B21" s="14" t="str">
        <x:v>Not Determined</x:v>
      </x:c>
      <x:c r="C21" s="14" t="str">
        <x:v>16670165</x:v>
      </x:c>
      <x:c r="D21" s="14" t="str">
        <x:v>[]</x:v>
      </x:c>
      <x:c r="E21" s="14" t="str">
        <x:v>CHEMBL3855278</x:v>
      </x:c>
      <x:c r="F21" s="14" t="str">
        <x:v>Displacement of [3H]-spiperone from human dopamine D2 receptor expressed in CHO-K1 cell membranes coexpressing Galpha16 after 120 mins by liquid scintillation counting</x:v>
      </x:c>
      <x:c r="G21" s="14" t="str">
        <x:v>B</x:v>
      </x:c>
      <x:c r="H21" s="14" t="str">
        <x:v>null</x:v>
      </x:c>
      <x:c r="I21" s="14" t="str">
        <x:v>null</x:v>
      </x:c>
      <x:c r="J21" s="14" t="str">
        <x:v>BAO_0000179</x:v>
      </x:c>
      <x:c r="K21" s="14" t="str">
        <x:v>BAO_0000219</x:v>
      </x:c>
      <x:c r="L21" s="14" t="str">
        <x:v>cell-based format</x:v>
      </x:c>
      <x:c r="M21" s="14" t="str">
        <x:v>Cc1ncoc1-c1nnc(SCCCN2CC[C@]3(C[C@@H]3c3ccc(F)cc3F)C2)n1C</x:v>
      </x:c>
      <x:c r="N21" s="14" t="str">
        <x:v>null</x:v>
      </x:c>
      <x:c r="O21" s="14" t="str">
        <x:v>null</x:v>
      </x:c>
      <x:c r="P21" s="14" t="str">
        <x:v>CHEMBL3853329</x:v>
      </x:c>
      <x:c r="Q21" s="14" t="str">
        <x:v>J Med Chem</x:v>
      </x:c>
      <x:c r="R21" s="17" t="n">
        <x:v>2016</x:v>
      </x:c>
      <x:c r="S21" s="14" t="str">
        <x:v>null</x:v>
      </x:c>
      <x:c r="T21" s="14" t="str">
        <x:v>null</x:v>
      </x:c>
      <x:c r="U21" s="14" t="str">
        <x:v>CHEMBL3917887</x:v>
      </x:c>
      <x:c r="V21" s="14" t="str">
        <x:v>null</x:v>
      </x:c>
      <x:c r="W21" s="14" t="str">
        <x:v>CHEMBL3917887</x:v>
      </x:c>
      <x:c r="X21" s="15" t="str">
        <x:v>null</x:v>
      </x:c>
      <x:c r="Y21" s="17" t="n">
        <x:v>0</x:v>
      </x:c>
      <x:c r="Z21" s="14" t="str">
        <x:v>null</x:v>
      </x:c>
      <x:c r="AA21" s="14" t="str">
        <x:v>2796805</x:v>
      </x:c>
      <x:c r="AB21" s="14" t="str">
        <x:v>null</x:v>
      </x:c>
      <x:c r="AC21" s="14" t="str">
        <x:v>1</x:v>
      </x:c>
      <x:c r="AD21" s="17" t="n">
        <x:v>0</x:v>
      </x:c>
      <x:c r="AE21" s="14" t="str">
        <x:v>null</x:v>
      </x:c>
      <x:c r="AF21" s="14" t="str">
        <x:v>null</x:v>
      </x:c>
      <x:c r="AG21" s="14" t="str">
        <x:v>pKi</x:v>
      </x:c>
      <x:c r="AH21" s="14" t="str">
        <x:v>null</x:v>
      </x:c>
      <x:c r="AI21" s="14" t="str">
        <x:v>null</x:v>
      </x:c>
      <x:c r="AJ21" s="15" t="str">
        <x:v>null</x:v>
      </x:c>
      <x:c r="AK21" s="14" t="str">
        <x:v>CHEMBL217</x:v>
      </x:c>
      <x:c r="AL21" s="14" t="str">
        <x:v>Homo sapiens</x:v>
      </x:c>
      <x:c r="AM21" s="14" t="str">
        <x:v>D(2) dopamine receptor</x:v>
      </x:c>
      <x:c r="AN21" s="14" t="str">
        <x:v>9606</x:v>
      </x:c>
      <x:c r="AO21" s="14" t="str">
        <x:v>null</x:v>
      </x:c>
      <x:c r="AP21" s="14" t="str">
        <x:v>null</x:v>
      </x:c>
      <x:c r="AQ21" s="14" t="str">
        <x:v>pKi</x:v>
      </x:c>
      <x:c r="AR21" s="14" t="str">
        <x:v>null</x:v>
      </x:c>
      <x:c r="AS21" s="14" t="str">
        <x:v>null</x:v>
      </x:c>
      <x:c r="AT21" s="14" t="str">
        <x:v>null</x:v>
      </x:c>
      <x:c r="AU21" s="14" t="str">
        <x:v>null</x:v>
      </x:c>
      <x:c r="AV21" s="15" t="str">
        <x:v>null</x:v>
      </x:c>
      <x:c r="AW21" s="14" t="str">
        <x:v>exclude</x:v>
      </x:c>
      <x:c r="AX21" s="14" t="str">
        <x:v>nonexact_or_missing_original_relation;nonexact_or_missing_standard_relation;standard_endpoint_or_unit_not_Ki_nM;activity_comment_requires_review;missing_or_nonfinite_original_value;missing_or_nonpositive_standard_value;multiple_source_records_for_full_parent_identity</x:v>
      </x:c>
      <x:c r="AY21" s="15" t="str">
        <x:v>null</x:v>
      </x:c>
      <x:c r="AZ21" s="14" t="str">
        <x:v>null</x:v>
      </x:c>
      <x:c r="BA21" s="15" t="str">
        <x:v>null</x:v>
      </x:c>
      <x:c r="BB21" s="14" t="str">
        <x:v>c9bb72c84834730b0cbc7844a15d094f61b850161fa051c0501826f0896ec0e8</x:v>
      </x:c>
      <x:c r="BC21" s="14" t="str">
        <x:v>XIHOJUYAGODVFH-VGSWGCGISA-N</x:v>
      </x:c>
      <x:c r="BD21" s="14" t="str">
        <x:v>Cc1ncoc1-c1nnc(SCCCN2CC[C@]3(C[C@@H]3c3ccc(F)cc3F)C2)n1C</x:v>
      </x:c>
      <x:c r="BE21" s="14" t="str">
        <x:v>Cc1ncoc1-c1nnc(SCCCN2CCC3(CC3c3ccc(F)cc3F)C2)n1C</x:v>
      </x:c>
      <x:c r="BF21" s="14" t="str">
        <x:v>Cc1ncoc1-c1nnc(SCCCN2CC[C@]3(C[C@@H]3c3ccc(F)cc3F)C2)n1C</x:v>
      </x:c>
      <x:c r="BG21" s="16" t="str">
        <x:v>null</x:v>
      </x:c>
      <x:c r="BH21" s="15" t="str">
        <x:v>null</x:v>
      </x:c>
      <x:c r="BI21" s="14" t="str">
        <x:v>c1ccc(C2CC23CCN(CCCSc2nnc(-c4cnco4)[nH]2)C3)cc1</x:v>
      </x:c>
      <x:c r="BJ21" s="17" t="n">
        <x:v>2</x:v>
      </x:c>
      <x:c r="BK21" s="15" t="str">
        <x:v>null</x:v>
      </x:c>
      <x:c r="BL21" s="16" t="str">
        <x:v>null</x:v>
      </x:c>
      <x:c r="BM21" s="14" t="str">
        <x:v>false</x:v>
      </x:c>
    </x:row>
    <x:row r="22" ht="51" customHeight="1">
      <x:c r="A22" s="9" t="str">
        <x:v>null</x:v>
      </x:c>
      <x:c r="B22" s="9" t="str">
        <x:v>null</x:v>
      </x:c>
      <x:c r="C22" s="9" t="str">
        <x:v>16670167</x:v>
      </x:c>
      <x:c r="D22" s="9" t="str">
        <x:v>[]</x:v>
      </x:c>
      <x:c r="E22" s="9" t="str">
        <x:v>CHEMBL3855278</x:v>
      </x:c>
      <x:c r="F22" s="9" t="str">
        <x:v>Displacement of [3H]-spiperone from human dopamine D2 receptor expressed in CHO-K1 cell membranes coexpressing Galpha16 after 120 mins by liquid scintillation counting</x:v>
      </x:c>
      <x:c r="G22" s="9" t="str">
        <x:v>B</x:v>
      </x:c>
      <x:c r="H22" s="9" t="str">
        <x:v>null</x:v>
      </x:c>
      <x:c r="I22" s="9" t="str">
        <x:v>null</x:v>
      </x:c>
      <x:c r="J22" s="9" t="str">
        <x:v>BAO_0000192</x:v>
      </x:c>
      <x:c r="K22" s="9" t="str">
        <x:v>BAO_0000219</x:v>
      </x:c>
      <x:c r="L22" s="9" t="str">
        <x:v>cell-based format</x:v>
      </x:c>
      <x:c r="M22" s="9" t="str">
        <x:v>Cc1ncoc1-c1nnc(SCCCN2CC[C@]3(C[C@H]3c3ccc(C(F)(F)F)cc3F)C2)n1C</x:v>
      </x:c>
      <x:c r="N22" s="9" t="str">
        <x:v>null</x:v>
      </x:c>
      <x:c r="O22" s="9" t="str">
        <x:v>null</x:v>
      </x:c>
      <x:c r="P22" s="9" t="str">
        <x:v>CHEMBL3853329</x:v>
      </x:c>
      <x:c r="Q22" s="9" t="str">
        <x:v>J Med Chem</x:v>
      </x:c>
      <x:c r="R22" s="13" t="n">
        <x:v>2016</x:v>
      </x:c>
      <x:c r="S22" s="9" t="str">
        <x:v>{"bei":"13.12","le":"0.26","lle":"1.20","sei":"10.84"}</x:v>
      </x:c>
      <x:c r="T22" s="9" t="str">
        <x:v>null</x:v>
      </x:c>
      <x:c r="U22" s="9" t="str">
        <x:v>CHEMBL3935776</x:v>
      </x:c>
      <x:c r="V22" s="9" t="str">
        <x:v>null</x:v>
      </x:c>
      <x:c r="W22" s="9" t="str">
        <x:v>CHEMBL3935776</x:v>
      </x:c>
      <x:c r="X22" s="11" t="n">
        <x:v>6.5</x:v>
      </x:c>
      <x:c r="Y22" s="13" t="n">
        <x:v>0</x:v>
      </x:c>
      <x:c r="Z22" s="9" t="str">
        <x:v>http://www.openphacts.org/units/Nanomolar</x:v>
      </x:c>
      <x:c r="AA22" s="9" t="str">
        <x:v>2796807</x:v>
      </x:c>
      <x:c r="AB22" s="9" t="str">
        <x:v>=</x:v>
      </x:c>
      <x:c r="AC22" s="9" t="str">
        <x:v>1</x:v>
      </x:c>
      <x:c r="AD22" s="13" t="n">
        <x:v>1</x:v>
      </x:c>
      <x:c r="AE22" s="9" t="str">
        <x:v>=</x:v>
      </x:c>
      <x:c r="AF22" s="9" t="str">
        <x:v>null</x:v>
      </x:c>
      <x:c r="AG22" s="9" t="str">
        <x:v>Ki</x:v>
      </x:c>
      <x:c r="AH22" s="9" t="str">
        <x:v>nM</x:v>
      </x:c>
      <x:c r="AI22" s="9" t="str">
        <x:v>null</x:v>
      </x:c>
      <x:c r="AJ22" s="11" t="n">
        <x:v>316.23</x:v>
      </x:c>
      <x:c r="AK22" s="9" t="str">
        <x:v>CHEMBL217</x:v>
      </x:c>
      <x:c r="AL22" s="9" t="str">
        <x:v>Homo sapiens</x:v>
      </x:c>
      <x:c r="AM22" s="9" t="str">
        <x:v>D(2) dopamine receptor</x:v>
      </x:c>
      <x:c r="AN22" s="9" t="str">
        <x:v>9606</x:v>
      </x:c>
      <x:c r="AO22" s="9" t="str">
        <x:v>null</x:v>
      </x:c>
      <x:c r="AP22" s="9" t="str">
        <x:v>null</x:v>
      </x:c>
      <x:c r="AQ22" s="9" t="str">
        <x:v>pKi</x:v>
      </x:c>
      <x:c r="AR22" s="9" t="str">
        <x:v>null</x:v>
      </x:c>
      <x:c r="AS22" s="9" t="str">
        <x:v>UO_0000065</x:v>
      </x:c>
      <x:c r="AT22" s="9" t="str">
        <x:v>null</x:v>
      </x:c>
      <x:c r="AU22" s="9" t="str">
        <x:v>6.5</x:v>
      </x:c>
      <x:c r="AV22" s="11" t="n">
        <x:v>0.00501</x:v>
      </x:c>
      <x:c r="AW22" s="9" t="str">
        <x:v>exclude</x:v>
      </x:c>
      <x:c r="AX22" s="9" t="str">
        <x:v>multiple_source_records_for_full_parent_identity</x:v>
      </x:c>
      <x:c r="AY22" s="11" t="n">
        <x:v>316.22776601683796</x:v>
      </x:c>
      <x:c r="AZ22" s="9" t="str">
        <x:v>source_reported_pKi</x:v>
      </x:c>
      <x:c r="BA22" s="11" t="n">
        <x:v>6.5</x:v>
      </x:c>
      <x:c r="BB22" s="9" t="str">
        <x:v>3a87350678a10d266285c519cd6d008e1adf4761974c26280d14b6f7333b44bd</x:v>
      </x:c>
      <x:c r="BC22" s="9" t="str">
        <x:v>ZIQDGXNDXRMRPM-JTSKRJEESA-N</x:v>
      </x:c>
      <x:c r="BD22" s="9" t="str">
        <x:v>Cc1ncoc1-c1nnc(SCCCN2CC[C@]3(C[C@H]3c3ccc(C(F)(F)F)cc3F)C2)n1C</x:v>
      </x:c>
      <x:c r="BE22" s="9" t="str">
        <x:v>Cc1ncoc1-c1nnc(SCCCN2CCC3(CC3c3ccc(C(F)(F)F)cc3F)C2)n1C</x:v>
      </x:c>
      <x:c r="BF22" s="9" t="str">
        <x:v>Cc1ncoc1-c1nnc(SCCCN2CC[C@]3(C[C@H]3c3ccc(C(F)(F)F)cc3F)C2)n1C</x:v>
      </x:c>
      <x:c r="BG22" s="12" t="n">
        <x:v>-0.0000030680516935888136</x:v>
      </x:c>
      <x:c r="BH22" s="11" t="n">
        <x:v>6.499996931948306</x:v>
      </x:c>
      <x:c r="BI22" s="9" t="str">
        <x:v>c1ccc(C2CC23CCN(CCCSc2nnc(-c4cnco4)[nH]2)C3)cc1</x:v>
      </x:c>
      <x:c r="BJ22" s="13" t="n">
        <x:v>2</x:v>
      </x:c>
      <x:c r="BK22" s="11" t="n">
        <x:v>316.23</x:v>
      </x:c>
      <x:c r="BL22" s="12" t="n">
        <x:v>0.0022339831620570294</x:v>
      </x:c>
      <x:c r="BM22" s="9" t="str">
        <x:v>false</x:v>
      </x:c>
    </x:row>
    <x:row r="23" ht="51" customHeight="1">
      <x:c r="A23" s="14" t="str">
        <x:v>null</x:v>
      </x:c>
      <x:c r="B23" s="14" t="str">
        <x:v>null</x:v>
      </x:c>
      <x:c r="C23" s="14" t="str">
        <x:v>16670168</x:v>
      </x:c>
      <x:c r="D23" s="14" t="str">
        <x:v>[]</x:v>
      </x:c>
      <x:c r="E23" s="14" t="str">
        <x:v>CHEMBL3855278</x:v>
      </x:c>
      <x:c r="F23" s="14" t="str">
        <x:v>Displacement of [3H]-spiperone from human dopamine D2 receptor expressed in CHO-K1 cell membranes coexpressing Galpha16 after 120 mins by liquid scintillation counting</x:v>
      </x:c>
      <x:c r="G23" s="14" t="str">
        <x:v>B</x:v>
      </x:c>
      <x:c r="H23" s="14" t="str">
        <x:v>null</x:v>
      </x:c>
      <x:c r="I23" s="14" t="str">
        <x:v>null</x:v>
      </x:c>
      <x:c r="J23" s="14" t="str">
        <x:v>BAO_0000192</x:v>
      </x:c>
      <x:c r="K23" s="14" t="str">
        <x:v>BAO_0000219</x:v>
      </x:c>
      <x:c r="L23" s="14" t="str">
        <x:v>cell-based format</x:v>
      </x:c>
      <x:c r="M23" s="14" t="str">
        <x:v>Cc1ncoc1-c1nnc(SCCCN2CC[C@]3(C[C@H]3c3ccc(C(F)(F)F)cc3F)C2)n1C</x:v>
      </x:c>
      <x:c r="N23" s="14" t="str">
        <x:v>null</x:v>
      </x:c>
      <x:c r="O23" s="14" t="str">
        <x:v>null</x:v>
      </x:c>
      <x:c r="P23" s="14" t="str">
        <x:v>CHEMBL3853329</x:v>
      </x:c>
      <x:c r="Q23" s="14" t="str">
        <x:v>J Med Chem</x:v>
      </x:c>
      <x:c r="R23" s="17" t="n">
        <x:v>2016</x:v>
      </x:c>
      <x:c r="S23" s="14" t="str">
        <x:v>{"bei":"13.14","le":"0.26","lle":"1.21","sei":"10.85"}</x:v>
      </x:c>
      <x:c r="T23" s="14" t="str">
        <x:v>null</x:v>
      </x:c>
      <x:c r="U23" s="14" t="str">
        <x:v>CHEMBL3935776</x:v>
      </x:c>
      <x:c r="V23" s="14" t="str">
        <x:v>null</x:v>
      </x:c>
      <x:c r="W23" s="14" t="str">
        <x:v>CHEMBL3935776</x:v>
      </x:c>
      <x:c r="X23" s="15" t="n">
        <x:v>6.51</x:v>
      </x:c>
      <x:c r="Y23" s="17" t="n">
        <x:v>0</x:v>
      </x:c>
      <x:c r="Z23" s="14" t="str">
        <x:v>http://www.openphacts.org/units/Nanomolar</x:v>
      </x:c>
      <x:c r="AA23" s="14" t="str">
        <x:v>2796808</x:v>
      </x:c>
      <x:c r="AB23" s="14" t="str">
        <x:v>=</x:v>
      </x:c>
      <x:c r="AC23" s="14" t="str">
        <x:v>1</x:v>
      </x:c>
      <x:c r="AD23" s="17" t="n">
        <x:v>1</x:v>
      </x:c>
      <x:c r="AE23" s="14" t="str">
        <x:v>=</x:v>
      </x:c>
      <x:c r="AF23" s="14" t="str">
        <x:v>null</x:v>
      </x:c>
      <x:c r="AG23" s="14" t="str">
        <x:v>Ki</x:v>
      </x:c>
      <x:c r="AH23" s="14" t="str">
        <x:v>nM</x:v>
      </x:c>
      <x:c r="AI23" s="14" t="str">
        <x:v>null</x:v>
      </x:c>
      <x:c r="AJ23" s="15" t="n">
        <x:v>309.03</x:v>
      </x:c>
      <x:c r="AK23" s="14" t="str">
        <x:v>CHEMBL217</x:v>
      </x:c>
      <x:c r="AL23" s="14" t="str">
        <x:v>Homo sapiens</x:v>
      </x:c>
      <x:c r="AM23" s="14" t="str">
        <x:v>D(2) dopamine receptor</x:v>
      </x:c>
      <x:c r="AN23" s="14" t="str">
        <x:v>9606</x:v>
      </x:c>
      <x:c r="AO23" s="14" t="str">
        <x:v>null</x:v>
      </x:c>
      <x:c r="AP23" s="14" t="str">
        <x:v>null</x:v>
      </x:c>
      <x:c r="AQ23" s="14" t="str">
        <x:v>pKi</x:v>
      </x:c>
      <x:c r="AR23" s="14" t="str">
        <x:v>null</x:v>
      </x:c>
      <x:c r="AS23" s="14" t="str">
        <x:v>UO_0000065</x:v>
      </x:c>
      <x:c r="AT23" s="14" t="str">
        <x:v>null</x:v>
      </x:c>
      <x:c r="AU23" s="14" t="str">
        <x:v>6.51</x:v>
      </x:c>
      <x:c r="AV23" s="15" t="n">
        <x:v>0.00501</x:v>
      </x:c>
      <x:c r="AW23" s="14" t="str">
        <x:v>exclude</x:v>
      </x:c>
      <x:c r="AX23" s="14" t="str">
        <x:v>multiple_source_records_for_full_parent_identity</x:v>
      </x:c>
      <x:c r="AY23" s="15" t="n">
        <x:v>309.0295432513592</x:v>
      </x:c>
      <x:c r="AZ23" s="14" t="str">
        <x:v>source_reported_pKi</x:v>
      </x:c>
      <x:c r="BA23" s="15" t="n">
        <x:v>6.51</x:v>
      </x:c>
      <x:c r="BB23" s="14" t="str">
        <x:v>3a87350678a10d266285c519cd6d008e1adf4761974c26280d14b6f7333b44bd</x:v>
      </x:c>
      <x:c r="BC23" s="14" t="str">
        <x:v>ZIQDGXNDXRMRPM-JTSKRJEESA-N</x:v>
      </x:c>
      <x:c r="BD23" s="14" t="str">
        <x:v>Cc1ncoc1-c1nnc(SCCCN2CC[C@]3(C[C@H]3c3ccc(C(F)(F)F)cc3F)C2)n1C</x:v>
      </x:c>
      <x:c r="BE23" s="14" t="str">
        <x:v>Cc1ncoc1-c1nnc(SCCCN2CCC3(CC3c3ccc(C(F)(F)F)cc3F)C2)n1C</x:v>
      </x:c>
      <x:c r="BF23" s="14" t="str">
        <x:v>Cc1ncoc1-c1nnc(SCCCN2CC[C@]3(C[C@H]3c3ccc(C(F)(F)F)cc3F)C2)n1C</x:v>
      </x:c>
      <x:c r="BG23" s="16" t="n">
        <x:v>-6.418909519467775e-7</x:v>
      </x:c>
      <x:c r="BH23" s="15" t="n">
        <x:v>6.509999358109048</x:v>
      </x:c>
      <x:c r="BI23" s="14" t="str">
        <x:v>c1ccc(C2CC23CCN(CCCSc2nnc(-c4cnco4)[nH]2)C3)cc1</x:v>
      </x:c>
      <x:c r="BJ23" s="17" t="n">
        <x:v>2</x:v>
      </x:c>
      <x:c r="BK23" s="15" t="n">
        <x:v>309.03</x:v>
      </x:c>
      <x:c r="BL23" s="16" t="n">
        <x:v>0.0004567486407722754</x:v>
      </x:c>
      <x:c r="BM23" s="14" t="str">
        <x:v>false</x:v>
      </x:c>
    </x:row>
    <x:row r="24" ht="51" customHeight="1">
      <x:c r="A24" s="9" t="str">
        <x:v>null</x:v>
      </x:c>
      <x:c r="B24" s="9" t="str">
        <x:v>null</x:v>
      </x:c>
      <x:c r="C24" s="9" t="str">
        <x:v>16670170</x:v>
      </x:c>
      <x:c r="D24" s="9" t="str">
        <x:v>[]</x:v>
      </x:c>
      <x:c r="E24" s="9" t="str">
        <x:v>CHEMBL3855278</x:v>
      </x:c>
      <x:c r="F24" s="9" t="str">
        <x:v>Displacement of [3H]-spiperone from human dopamine D2 receptor expressed in CHO-K1 cell membranes coexpressing Galpha16 after 120 mins by liquid scintillation counting</x:v>
      </x:c>
      <x:c r="G24" s="9" t="str">
        <x:v>B</x:v>
      </x:c>
      <x:c r="H24" s="9" t="str">
        <x:v>null</x:v>
      </x:c>
      <x:c r="I24" s="9" t="str">
        <x:v>null</x:v>
      </x:c>
      <x:c r="J24" s="9" t="str">
        <x:v>BAO_0000192</x:v>
      </x:c>
      <x:c r="K24" s="9" t="str">
        <x:v>BAO_0000219</x:v>
      </x:c>
      <x:c r="L24" s="9" t="str">
        <x:v>cell-based format</x:v>
      </x:c>
      <x:c r="M24" s="9" t="str">
        <x:v>Cc1ncoc1-c1nnc(SCCCN2CC[C@]3(C[C@@H]3c3ccc(C(F)(F)F)cc3F)C2)n1C</x:v>
      </x:c>
      <x:c r="N24" s="9" t="str">
        <x:v>null</x:v>
      </x:c>
      <x:c r="O24" s="9" t="str">
        <x:v>null</x:v>
      </x:c>
      <x:c r="P24" s="9" t="str">
        <x:v>CHEMBL3853329</x:v>
      </x:c>
      <x:c r="Q24" s="9" t="str">
        <x:v>J Med Chem</x:v>
      </x:c>
      <x:c r="R24" s="13" t="n">
        <x:v>2016</x:v>
      </x:c>
      <x:c r="S24" s="9" t="str">
        <x:v>{"bei":"13.08","le":"0.26","lle":"1.18","sei":"10.80"}</x:v>
      </x:c>
      <x:c r="T24" s="9" t="str">
        <x:v>null</x:v>
      </x:c>
      <x:c r="U24" s="9" t="str">
        <x:v>CHEMBL3927895</x:v>
      </x:c>
      <x:c r="V24" s="9" t="str">
        <x:v>null</x:v>
      </x:c>
      <x:c r="W24" s="9" t="str">
        <x:v>CHEMBL3927895</x:v>
      </x:c>
      <x:c r="X24" s="11" t="n">
        <x:v>6.48</x:v>
      </x:c>
      <x:c r="Y24" s="13" t="n">
        <x:v>0</x:v>
      </x:c>
      <x:c r="Z24" s="9" t="str">
        <x:v>http://www.openphacts.org/units/Nanomolar</x:v>
      </x:c>
      <x:c r="AA24" s="9" t="str">
        <x:v>2796810</x:v>
      </x:c>
      <x:c r="AB24" s="9" t="str">
        <x:v>=</x:v>
      </x:c>
      <x:c r="AC24" s="9" t="str">
        <x:v>1</x:v>
      </x:c>
      <x:c r="AD24" s="13" t="n">
        <x:v>1</x:v>
      </x:c>
      <x:c r="AE24" s="9" t="str">
        <x:v>=</x:v>
      </x:c>
      <x:c r="AF24" s="9" t="str">
        <x:v>null</x:v>
      </x:c>
      <x:c r="AG24" s="9" t="str">
        <x:v>Ki</x:v>
      </x:c>
      <x:c r="AH24" s="9" t="str">
        <x:v>nM</x:v>
      </x:c>
      <x:c r="AI24" s="9" t="str">
        <x:v>null</x:v>
      </x:c>
      <x:c r="AJ24" s="11" t="n">
        <x:v>331.13</x:v>
      </x:c>
      <x:c r="AK24" s="9" t="str">
        <x:v>CHEMBL217</x:v>
      </x:c>
      <x:c r="AL24" s="9" t="str">
        <x:v>Homo sapiens</x:v>
      </x:c>
      <x:c r="AM24" s="9" t="str">
        <x:v>D(2) dopamine receptor</x:v>
      </x:c>
      <x:c r="AN24" s="9" t="str">
        <x:v>9606</x:v>
      </x:c>
      <x:c r="AO24" s="9" t="str">
        <x:v>null</x:v>
      </x:c>
      <x:c r="AP24" s="9" t="str">
        <x:v>null</x:v>
      </x:c>
      <x:c r="AQ24" s="9" t="str">
        <x:v>pKi</x:v>
      </x:c>
      <x:c r="AR24" s="9" t="str">
        <x:v>null</x:v>
      </x:c>
      <x:c r="AS24" s="9" t="str">
        <x:v>UO_0000065</x:v>
      </x:c>
      <x:c r="AT24" s="9" t="str">
        <x:v>null</x:v>
      </x:c>
      <x:c r="AU24" s="9" t="str">
        <x:v>6.48</x:v>
      </x:c>
      <x:c r="AV24" s="11" t="n">
        <x:v>0.00501</x:v>
      </x:c>
      <x:c r="AW24" s="9" t="str">
        <x:v>exclude</x:v>
      </x:c>
      <x:c r="AX24" s="9" t="str">
        <x:v>multiple_source_records_for_full_parent_identity</x:v>
      </x:c>
      <x:c r="AY24" s="11" t="n">
        <x:v>331.13112148259074</x:v>
      </x:c>
      <x:c r="AZ24" s="9" t="str">
        <x:v>source_reported_pKi</x:v>
      </x:c>
      <x:c r="BA24" s="11" t="n">
        <x:v>6.48</x:v>
      </x:c>
      <x:c r="BB24" s="9" t="str">
        <x:v>3a87350678a10d266285c519cd6d008e1adf4761974c26280d14b6f7333b44bd</x:v>
      </x:c>
      <x:c r="BC24" s="9" t="str">
        <x:v>ZIQDGXNDXRMRPM-VGSWGCGISA-N</x:v>
      </x:c>
      <x:c r="BD24" s="9" t="str">
        <x:v>Cc1ncoc1-c1nnc(SCCCN2CC[C@]3(C[C@@H]3c3ccc(C(F)(F)F)cc3F)C2)n1C</x:v>
      </x:c>
      <x:c r="BE24" s="9" t="str">
        <x:v>Cc1ncoc1-c1nnc(SCCCN2CCC3(CC3c3ccc(C(F)(F)F)cc3F)C2)n1C</x:v>
      </x:c>
      <x:c r="BF24" s="9" t="str">
        <x:v>Cc1ncoc1-c1nnc(SCCCN2CC[C@]3(C[C@@H]3c3ccc(C(F)(F)F)cc3F)C2)n1C</x:v>
      </x:c>
      <x:c r="BG24" s="12" t="n">
        <x:v>0.0000014708811519881237</x:v>
      </x:c>
      <x:c r="BH24" s="11" t="n">
        <x:v>6.480001470881152</x:v>
      </x:c>
      <x:c r="BI24" s="9" t="str">
        <x:v>c1ccc(C2CC23CCN(CCCSc2nnc(-c4cnco4)[nH]2)C3)cc1</x:v>
      </x:c>
      <x:c r="BJ24" s="13" t="n">
        <x:v>2</x:v>
      </x:c>
      <x:c r="BK24" s="11" t="n">
        <x:v>331.13</x:v>
      </x:c>
      <x:c r="BL24" s="12" t="n">
        <x:v>-0.0011214825907472914</x:v>
      </x:c>
      <x:c r="BM24" s="9" t="str">
        <x:v>false</x:v>
      </x:c>
    </x:row>
    <x:row r="25" ht="51" customHeight="1">
      <x:c r="A25" s="14" t="str">
        <x:v>null</x:v>
      </x:c>
      <x:c r="B25" s="14" t="str">
        <x:v>null</x:v>
      </x:c>
      <x:c r="C25" s="14" t="str">
        <x:v>16670171</x:v>
      </x:c>
      <x:c r="D25" s="14" t="str">
        <x:v>[]</x:v>
      </x:c>
      <x:c r="E25" s="14" t="str">
        <x:v>CHEMBL3855278</x:v>
      </x:c>
      <x:c r="F25" s="14" t="str">
        <x:v>Displacement of [3H]-spiperone from human dopamine D2 receptor expressed in CHO-K1 cell membranes coexpressing Galpha16 after 120 mins by liquid scintillation counting</x:v>
      </x:c>
      <x:c r="G25" s="14" t="str">
        <x:v>B</x:v>
      </x:c>
      <x:c r="H25" s="14" t="str">
        <x:v>null</x:v>
      </x:c>
      <x:c r="I25" s="14" t="str">
        <x:v>null</x:v>
      </x:c>
      <x:c r="J25" s="14" t="str">
        <x:v>BAO_0000192</x:v>
      </x:c>
      <x:c r="K25" s="14" t="str">
        <x:v>BAO_0000219</x:v>
      </x:c>
      <x:c r="L25" s="14" t="str">
        <x:v>cell-based format</x:v>
      </x:c>
      <x:c r="M25" s="14" t="str">
        <x:v>Cc1ncoc1-c1nnc(SCCCN2CC[C@]3(C[C@@H]3c3ccc(C(F)(F)F)cc3F)C2)n1C</x:v>
      </x:c>
      <x:c r="N25" s="14" t="str">
        <x:v>null</x:v>
      </x:c>
      <x:c r="O25" s="14" t="str">
        <x:v>null</x:v>
      </x:c>
      <x:c r="P25" s="14" t="str">
        <x:v>CHEMBL3853329</x:v>
      </x:c>
      <x:c r="Q25" s="14" t="str">
        <x:v>J Med Chem</x:v>
      </x:c>
      <x:c r="R25" s="17" t="n">
        <x:v>2016</x:v>
      </x:c>
      <x:c r="S25" s="14" t="str">
        <x:v>{"bei":"10.82","le":"0.22","lle":"0.06","sei":"8.94"}</x:v>
      </x:c>
      <x:c r="T25" s="14" t="str">
        <x:v>null</x:v>
      </x:c>
      <x:c r="U25" s="14" t="str">
        <x:v>CHEMBL3927895</x:v>
      </x:c>
      <x:c r="V25" s="14" t="str">
        <x:v>null</x:v>
      </x:c>
      <x:c r="W25" s="14" t="str">
        <x:v>CHEMBL3927895</x:v>
      </x:c>
      <x:c r="X25" s="15" t="n">
        <x:v>5.36</x:v>
      </x:c>
      <x:c r="Y25" s="17" t="n">
        <x:v>0</x:v>
      </x:c>
      <x:c r="Z25" s="14" t="str">
        <x:v>http://www.openphacts.org/units/Nanomolar</x:v>
      </x:c>
      <x:c r="AA25" s="14" t="str">
        <x:v>2796811</x:v>
      </x:c>
      <x:c r="AB25" s="14" t="str">
        <x:v>=</x:v>
      </x:c>
      <x:c r="AC25" s="14" t="str">
        <x:v>1</x:v>
      </x:c>
      <x:c r="AD25" s="17" t="n">
        <x:v>1</x:v>
      </x:c>
      <x:c r="AE25" s="14" t="str">
        <x:v>=</x:v>
      </x:c>
      <x:c r="AF25" s="14" t="str">
        <x:v>null</x:v>
      </x:c>
      <x:c r="AG25" s="14" t="str">
        <x:v>Ki</x:v>
      </x:c>
      <x:c r="AH25" s="14" t="str">
        <x:v>nM</x:v>
      </x:c>
      <x:c r="AI25" s="14" t="str">
        <x:v>null</x:v>
      </x:c>
      <x:c r="AJ25" s="15" t="n">
        <x:v>4365.16</x:v>
      </x:c>
      <x:c r="AK25" s="14" t="str">
        <x:v>CHEMBL217</x:v>
      </x:c>
      <x:c r="AL25" s="14" t="str">
        <x:v>Homo sapiens</x:v>
      </x:c>
      <x:c r="AM25" s="14" t="str">
        <x:v>D(2) dopamine receptor</x:v>
      </x:c>
      <x:c r="AN25" s="14" t="str">
        <x:v>9606</x:v>
      </x:c>
      <x:c r="AO25" s="14" t="str">
        <x:v>null</x:v>
      </x:c>
      <x:c r="AP25" s="14" t="str">
        <x:v>null</x:v>
      </x:c>
      <x:c r="AQ25" s="14" t="str">
        <x:v>pKi</x:v>
      </x:c>
      <x:c r="AR25" s="14" t="str">
        <x:v>null</x:v>
      </x:c>
      <x:c r="AS25" s="14" t="str">
        <x:v>UO_0000065</x:v>
      </x:c>
      <x:c r="AT25" s="14" t="str">
        <x:v>null</x:v>
      </x:c>
      <x:c r="AU25" s="14" t="str">
        <x:v>5.36</x:v>
      </x:c>
      <x:c r="AV25" s="15" t="n">
        <x:v>0.00501</x:v>
      </x:c>
      <x:c r="AW25" s="14" t="str">
        <x:v>exclude</x:v>
      </x:c>
      <x:c r="AX25" s="14" t="str">
        <x:v>multiple_source_records_for_full_parent_identity</x:v>
      </x:c>
      <x:c r="AY25" s="15" t="n">
        <x:v>4365.158322401657</x:v>
      </x:c>
      <x:c r="AZ25" s="14" t="str">
        <x:v>source_reported_pKi</x:v>
      </x:c>
      <x:c r="BA25" s="15" t="n">
        <x:v>5.36</x:v>
      </x:c>
      <x:c r="BB25" s="14" t="str">
        <x:v>3a87350678a10d266285c519cd6d008e1adf4761974c26280d14b6f7333b44bd</x:v>
      </x:c>
      <x:c r="BC25" s="14" t="str">
        <x:v>ZIQDGXNDXRMRPM-VGSWGCGISA-N</x:v>
      </x:c>
      <x:c r="BD25" s="14" t="str">
        <x:v>Cc1ncoc1-c1nnc(SCCCN2CC[C@]3(C[C@@H]3c3ccc(C(F)(F)F)cc3F)C2)n1C</x:v>
      </x:c>
      <x:c r="BE25" s="14" t="str">
        <x:v>Cc1ncoc1-c1nnc(SCCCN2CCC3(CC3c3ccc(C(F)(F)F)cc3F)C2)n1C</x:v>
      </x:c>
      <x:c r="BF25" s="14" t="str">
        <x:v>Cc1ncoc1-c1nnc(SCCCN2CC[C@]3(C[C@@H]3c3ccc(C(F)(F)F)cc3F)C2)n1C</x:v>
      </x:c>
      <x:c r="BG25" s="16" t="n">
        <x:v>-1.6690610227243496e-7</x:v>
      </x:c>
      <x:c r="BH25" s="15" t="n">
        <x:v>5.359999833093898</x:v>
      </x:c>
      <x:c r="BI25" s="14" t="str">
        <x:v>c1ccc(C2CC23CCN(CCCSc2nnc(-c4cnco4)[nH]2)C3)cc1</x:v>
      </x:c>
      <x:c r="BJ25" s="17" t="n">
        <x:v>2</x:v>
      </x:c>
      <x:c r="BK25" s="15" t="n">
        <x:v>4365.16</x:v>
      </x:c>
      <x:c r="BL25" s="16" t="n">
        <x:v>0.0016775983431216446</x:v>
      </x:c>
      <x:c r="BM25" s="14" t="str">
        <x:v>false</x:v>
      </x:c>
    </x:row>
    <x:row r="26" ht="51" customHeight="1">
      <x:c r="A26" s="9" t="str">
        <x:v>null</x:v>
      </x:c>
      <x:c r="B26" s="9" t="str">
        <x:v>null</x:v>
      </x:c>
      <x:c r="C26" s="9" t="str">
        <x:v>16670718</x:v>
      </x:c>
      <x:c r="D26" s="9" t="str">
        <x:v>[]</x:v>
      </x:c>
      <x:c r="E26" s="9" t="str">
        <x:v>CHEMBL3855278</x:v>
      </x:c>
      <x:c r="F26" s="9" t="str">
        <x:v>Displacement of [3H]-spiperone from human dopamine D2 receptor expressed in CHO-K1 cell membranes coexpressing Galpha16 after 120 mins by liquid scintillation counting</x:v>
      </x:c>
      <x:c r="G26" s="9" t="str">
        <x:v>B</x:v>
      </x:c>
      <x:c r="H26" s="9" t="str">
        <x:v>null</x:v>
      </x:c>
      <x:c r="I26" s="9" t="str">
        <x:v>null</x:v>
      </x:c>
      <x:c r="J26" s="9" t="str">
        <x:v>BAO_0000192</x:v>
      </x:c>
      <x:c r="K26" s="9" t="str">
        <x:v>BAO_0000219</x:v>
      </x:c>
      <x:c r="L26" s="9" t="str">
        <x:v>cell-based format</x:v>
      </x:c>
      <x:c r="M26" s="9" t="str">
        <x:v>Cn1c(SCCCN2CC[C@]3(C[C@@H]3c3ccc(C(F)(F)F)cc3)C2)nnc1C1=CCC(=O)N=C1</x:v>
      </x:c>
      <x:c r="N26" s="9" t="str">
        <x:v>null</x:v>
      </x:c>
      <x:c r="O26" s="9" t="str">
        <x:v>null</x:v>
      </x:c>
      <x:c r="P26" s="9" t="str">
        <x:v>CHEMBL3853329</x:v>
      </x:c>
      <x:c r="Q26" s="9" t="str">
        <x:v>J Med Chem</x:v>
      </x:c>
      <x:c r="R26" s="13" t="n">
        <x:v>2016</x:v>
      </x:c>
      <x:c r="S26" s="9" t="str">
        <x:v>{"bei":"13.22","le":"0.26","lle":"1.89","sei":"10.21"}</x:v>
      </x:c>
      <x:c r="T26" s="9" t="str">
        <x:v>null</x:v>
      </x:c>
      <x:c r="U26" s="9" t="str">
        <x:v>CHEMBL3964512</x:v>
      </x:c>
      <x:c r="V26" s="9" t="str">
        <x:v>null</x:v>
      </x:c>
      <x:c r="W26" s="9" t="str">
        <x:v>CHEMBL3964512</x:v>
      </x:c>
      <x:c r="X26" s="11" t="n">
        <x:v>6.47</x:v>
      </x:c>
      <x:c r="Y26" s="13" t="n">
        <x:v>0</x:v>
      </x:c>
      <x:c r="Z26" s="9" t="str">
        <x:v>http://www.openphacts.org/units/Nanomolar</x:v>
      </x:c>
      <x:c r="AA26" s="9" t="str">
        <x:v>2796869</x:v>
      </x:c>
      <x:c r="AB26" s="9" t="str">
        <x:v>=</x:v>
      </x:c>
      <x:c r="AC26" s="9" t="str">
        <x:v>1</x:v>
      </x:c>
      <x:c r="AD26" s="13" t="n">
        <x:v>1</x:v>
      </x:c>
      <x:c r="AE26" s="9" t="str">
        <x:v>=</x:v>
      </x:c>
      <x:c r="AF26" s="9" t="str">
        <x:v>null</x:v>
      </x:c>
      <x:c r="AG26" s="9" t="str">
        <x:v>Ki</x:v>
      </x:c>
      <x:c r="AH26" s="9" t="str">
        <x:v>nM</x:v>
      </x:c>
      <x:c r="AI26" s="9" t="str">
        <x:v>null</x:v>
      </x:c>
      <x:c r="AJ26" s="11" t="n">
        <x:v>338.84</x:v>
      </x:c>
      <x:c r="AK26" s="9" t="str">
        <x:v>CHEMBL217</x:v>
      </x:c>
      <x:c r="AL26" s="9" t="str">
        <x:v>Homo sapiens</x:v>
      </x:c>
      <x:c r="AM26" s="9" t="str">
        <x:v>D(2) dopamine receptor</x:v>
      </x:c>
      <x:c r="AN26" s="9" t="str">
        <x:v>9606</x:v>
      </x:c>
      <x:c r="AO26" s="9" t="str">
        <x:v>null</x:v>
      </x:c>
      <x:c r="AP26" s="9" t="str">
        <x:v>null</x:v>
      </x:c>
      <x:c r="AQ26" s="9" t="str">
        <x:v>pKi</x:v>
      </x:c>
      <x:c r="AR26" s="9" t="str">
        <x:v>null</x:v>
      </x:c>
      <x:c r="AS26" s="9" t="str">
        <x:v>UO_0000065</x:v>
      </x:c>
      <x:c r="AT26" s="9" t="str">
        <x:v>null</x:v>
      </x:c>
      <x:c r="AU26" s="9" t="str">
        <x:v>6.47</x:v>
      </x:c>
      <x:c r="AV26" s="11" t="n">
        <x:v>0.00501</x:v>
      </x:c>
      <x:c r="AW26" s="9" t="str">
        <x:v>exclude</x:v>
      </x:c>
      <x:c r="AX26" s="9" t="str">
        <x:v>multiple_source_records_for_full_parent_identity</x:v>
      </x:c>
      <x:c r="AY26" s="11" t="n">
        <x:v>338.84415613920277</x:v>
      </x:c>
      <x:c r="AZ26" s="9" t="str">
        <x:v>source_reported_pKi</x:v>
      </x:c>
      <x:c r="BA26" s="11" t="n">
        <x:v>6.47</x:v>
      </x:c>
      <x:c r="BB26" s="9" t="str">
        <x:v>3842ebb3cf37ce196c93845abc423a242d3dbf45e54e8f51bb9a54a8765b2b26</x:v>
      </x:c>
      <x:c r="BC26" s="9" t="str">
        <x:v>XJTVRXYTOLNCDQ-XXBNENTESA-N</x:v>
      </x:c>
      <x:c r="BD26" s="9" t="str">
        <x:v>Cn1c(SCCCN2CC[C@]3(C[C@@H]3c3ccc(C(F)(F)F)cc3)C2)nnc1C1=CCC(=O)N=C1</x:v>
      </x:c>
      <x:c r="BE26" s="9" t="str">
        <x:v>Cn1c(SCCCN2CCC3(CC3c3ccc(C(F)(F)F)cc3)C2)nnc1C1=CCC(=O)N=C1</x:v>
      </x:c>
      <x:c r="BF26" s="9" t="str">
        <x:v>Cn1c(SCCCN2CC[C@]3(C[C@@H]3c3ccc(C(F)(F)F)cc3)C2)nnc1C1=CCC(=O)N=C1</x:v>
      </x:c>
      <x:c r="BG26" s="12" t="n">
        <x:v>0.000005326930858196022</x:v>
      </x:c>
      <x:c r="BH26" s="11" t="n">
        <x:v>6.470005326930858</x:v>
      </x:c>
      <x:c r="BI26" s="9" t="str">
        <x:v>O=C1CC=C(c2nnc(SCCCN3CCC4(CC4c4ccccc4)C3)[nH]2)C=N1</x:v>
      </x:c>
      <x:c r="BJ26" s="13" t="n">
        <x:v>2</x:v>
      </x:c>
      <x:c r="BK26" s="11" t="n">
        <x:v>338.84</x:v>
      </x:c>
      <x:c r="BL26" s="12" t="n">
        <x:v>-0.0041561392027915645</x:v>
      </x:c>
      <x:c r="BM26" s="9" t="str">
        <x:v>false</x:v>
      </x:c>
    </x:row>
    <x:row r="27" ht="51" customHeight="1">
      <x:c r="A27" s="14" t="str">
        <x:v>null</x:v>
      </x:c>
      <x:c r="B27" s="14" t="str">
        <x:v>null</x:v>
      </x:c>
      <x:c r="C27" s="14" t="str">
        <x:v>16670811</x:v>
      </x:c>
      <x:c r="D27" s="14" t="str">
        <x:v>[]</x:v>
      </x:c>
      <x:c r="E27" s="14" t="str">
        <x:v>CHEMBL3855278</x:v>
      </x:c>
      <x:c r="F27" s="14" t="str">
        <x:v>Displacement of [3H]-spiperone from human dopamine D2 receptor expressed in CHO-K1 cell membranes coexpressing Galpha16 after 120 mins by liquid scintillation counting</x:v>
      </x:c>
      <x:c r="G27" s="14" t="str">
        <x:v>B</x:v>
      </x:c>
      <x:c r="H27" s="14" t="str">
        <x:v>null</x:v>
      </x:c>
      <x:c r="I27" s="14" t="str">
        <x:v>null</x:v>
      </x:c>
      <x:c r="J27" s="14" t="str">
        <x:v>BAO_0000192</x:v>
      </x:c>
      <x:c r="K27" s="14" t="str">
        <x:v>BAO_0000219</x:v>
      </x:c>
      <x:c r="L27" s="14" t="str">
        <x:v>cell-based format</x:v>
      </x:c>
      <x:c r="M27" s="14" t="str">
        <x:v>Cn1c(SCCCN2CC[C@]3(C[C@@H]3c3ccc(C(F)(F)F)cc3)C2)nnc1C1=CCC(=O)N=C1</x:v>
      </x:c>
      <x:c r="N27" s="14" t="str">
        <x:v>null</x:v>
      </x:c>
      <x:c r="O27" s="14" t="str">
        <x:v>null</x:v>
      </x:c>
      <x:c r="P27" s="14" t="str">
        <x:v>CHEMBL3853329</x:v>
      </x:c>
      <x:c r="Q27" s="14" t="str">
        <x:v>J Med Chem</x:v>
      </x:c>
      <x:c r="R27" s="17" t="n">
        <x:v>2016</x:v>
      </x:c>
      <x:c r="S27" s="14" t="str">
        <x:v>{"bei":"12.50","le":"0.25","lle":"1.54","sei":"9.66"}</x:v>
      </x:c>
      <x:c r="T27" s="14" t="str">
        <x:v>null</x:v>
      </x:c>
      <x:c r="U27" s="14" t="str">
        <x:v>CHEMBL3964512</x:v>
      </x:c>
      <x:c r="V27" s="14" t="str">
        <x:v>null</x:v>
      </x:c>
      <x:c r="W27" s="14" t="str">
        <x:v>CHEMBL3964512</x:v>
      </x:c>
      <x:c r="X27" s="15" t="n">
        <x:v>6.12</x:v>
      </x:c>
      <x:c r="Y27" s="17" t="n">
        <x:v>0</x:v>
      </x:c>
      <x:c r="Z27" s="14" t="str">
        <x:v>http://www.openphacts.org/units/Nanomolar</x:v>
      </x:c>
      <x:c r="AA27" s="14" t="str">
        <x:v>2796868</x:v>
      </x:c>
      <x:c r="AB27" s="14" t="str">
        <x:v>=</x:v>
      </x:c>
      <x:c r="AC27" s="14" t="str">
        <x:v>1</x:v>
      </x:c>
      <x:c r="AD27" s="17" t="n">
        <x:v>1</x:v>
      </x:c>
      <x:c r="AE27" s="14" t="str">
        <x:v>=</x:v>
      </x:c>
      <x:c r="AF27" s="14" t="str">
        <x:v>null</x:v>
      </x:c>
      <x:c r="AG27" s="14" t="str">
        <x:v>Ki</x:v>
      </x:c>
      <x:c r="AH27" s="14" t="str">
        <x:v>nM</x:v>
      </x:c>
      <x:c r="AI27" s="14" t="str">
        <x:v>null</x:v>
      </x:c>
      <x:c r="AJ27" s="15" t="n">
        <x:v>758.58</x:v>
      </x:c>
      <x:c r="AK27" s="14" t="str">
        <x:v>CHEMBL217</x:v>
      </x:c>
      <x:c r="AL27" s="14" t="str">
        <x:v>Homo sapiens</x:v>
      </x:c>
      <x:c r="AM27" s="14" t="str">
        <x:v>D(2) dopamine receptor</x:v>
      </x:c>
      <x:c r="AN27" s="14" t="str">
        <x:v>9606</x:v>
      </x:c>
      <x:c r="AO27" s="14" t="str">
        <x:v>null</x:v>
      </x:c>
      <x:c r="AP27" s="14" t="str">
        <x:v>null</x:v>
      </x:c>
      <x:c r="AQ27" s="14" t="str">
        <x:v>pKi</x:v>
      </x:c>
      <x:c r="AR27" s="14" t="str">
        <x:v>null</x:v>
      </x:c>
      <x:c r="AS27" s="14" t="str">
        <x:v>UO_0000065</x:v>
      </x:c>
      <x:c r="AT27" s="14" t="str">
        <x:v>null</x:v>
      </x:c>
      <x:c r="AU27" s="14" t="str">
        <x:v>6.12</x:v>
      </x:c>
      <x:c r="AV27" s="15" t="n">
        <x:v>0.00501</x:v>
      </x:c>
      <x:c r="AW27" s="14" t="str">
        <x:v>exclude</x:v>
      </x:c>
      <x:c r="AX27" s="14" t="str">
        <x:v>multiple_source_records_for_full_parent_identity</x:v>
      </x:c>
      <x:c r="AY27" s="15" t="n">
        <x:v>758.5775750291835</x:v>
      </x:c>
      <x:c r="AZ27" s="14" t="str">
        <x:v>source_reported_pKi</x:v>
      </x:c>
      <x:c r="BA27" s="15" t="n">
        <x:v>6.12</x:v>
      </x:c>
      <x:c r="BB27" s="14" t="str">
        <x:v>3842ebb3cf37ce196c93845abc423a242d3dbf45e54e8f51bb9a54a8765b2b26</x:v>
      </x:c>
      <x:c r="BC27" s="14" t="str">
        <x:v>XJTVRXYTOLNCDQ-XXBNENTESA-N</x:v>
      </x:c>
      <x:c r="BD27" s="14" t="str">
        <x:v>Cn1c(SCCCN2CC[C@]3(C[C@@H]3c3ccc(C(F)(F)F)cc3)C2)nnc1C1=CCC(=O)N=C1</x:v>
      </x:c>
      <x:c r="BE27" s="14" t="str">
        <x:v>Cn1c(SCCCN2CCC3(CC3c3ccc(C(F)(F)F)cc3)C2)nnc1C1=CCC(=O)N=C1</x:v>
      </x:c>
      <x:c r="BF27" s="14" t="str">
        <x:v>Cn1c(SCCCN2CC[C@]3(C[C@@H]3c3ccc(C(F)(F)F)cc3)C2)nnc1C1=CCC(=O)N=C1</x:v>
      </x:c>
      <x:c r="BG27" s="16" t="n">
        <x:v>-0.0000013883217695465078</x:v>
      </x:c>
      <x:c r="BH27" s="15" t="n">
        <x:v>6.119998611678231</x:v>
      </x:c>
      <x:c r="BI27" s="14" t="str">
        <x:v>O=C1CC=C(c2nnc(SCCCN3CCC4(CC4c4ccccc4)C3)[nH]2)C=N1</x:v>
      </x:c>
      <x:c r="BJ27" s="17" t="n">
        <x:v>2</x:v>
      </x:c>
      <x:c r="BK27" s="15" t="n">
        <x:v>758.58</x:v>
      </x:c>
      <x:c r="BL27" s="16" t="n">
        <x:v>0.002424970816491623</x:v>
      </x:c>
      <x:c r="BM27" s="14" t="str">
        <x:v>false</x:v>
      </x:c>
    </x:row>
  </x:sheetData>
  <x:pageMargins left="0.7" right="0.7" top="0.75" bottom="0.75" header="0.3" footer="0.3"/>
  <x:tableParts count="1">
    <x:tablePart xmlns:r="http://schemas.openxmlformats.org/officeDocument/2006/relationships" r:id="R12d6d09c7daf404c"/>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8" hidden="0" customWidth="1"/>
    <x:col min="3" max="3" width="17" hidden="0" customWidth="1"/>
    <x:col min="4" max="4" width="21" hidden="0" customWidth="1"/>
    <x:col min="5" max="5" width="17" hidden="0" customWidth="1"/>
    <x:col min="6" max="6" width="66" hidden="0" customWidth="1"/>
    <x:col min="7" max="7" width="17" hidden="0" customWidth="1"/>
    <x:col min="8" max="8" width="25" hidden="0" customWidth="1"/>
    <x:col min="9" max="9" width="24" hidden="0" customWidth="1"/>
    <x:col min="10" max="10" width="17" hidden="0" customWidth="1"/>
    <x:col min="11" max="11" width="17" hidden="0" customWidth="1"/>
    <x:col min="12" max="12" width="19" hidden="0" customWidth="1"/>
    <x:col min="13" max="13" width="64" hidden="0" customWidth="1"/>
    <x:col min="14" max="14" width="23" hidden="0" customWidth="1"/>
    <x:col min="15" max="15" width="27" hidden="0" customWidth="1"/>
    <x:col min="16" max="16" width="20" hidden="0" customWidth="1"/>
    <x:col min="17" max="17" width="18" hidden="0" customWidth="1"/>
    <x:col min="18" max="18" width="20" hidden="0" customWidth="1"/>
    <x:col min="19" max="19" width="19" hidden="0" customWidth="1"/>
    <x:col min="20" max="20" width="17" hidden="0" customWidth="1"/>
    <x:col min="21" max="21" width="20" hidden="0" customWidth="1"/>
    <x:col min="22" max="22" width="20" hidden="0" customWidth="1"/>
    <x:col min="23" max="23" width="27" hidden="0" customWidth="1"/>
    <x:col min="24" max="24" width="17" hidden="0" customWidth="1"/>
    <x:col min="25" max="25" width="21" hidden="0" customWidth="1"/>
    <x:col min="26" max="26" width="17" hidden="0" customWidth="1"/>
    <x:col min="27" max="27" width="17" hidden="0" customWidth="1"/>
    <x:col min="28" max="28" width="17" hidden="0" customWidth="1"/>
    <x:col min="29" max="29" width="17" hidden="0" customWidth="1"/>
    <x:col min="30" max="30" width="20" hidden="0" customWidth="1"/>
    <x:col min="31" max="31" width="19" hidden="0" customWidth="1"/>
    <x:col min="32" max="32" width="21" hidden="0" customWidth="1"/>
    <x:col min="33" max="33" width="17" hidden="0" customWidth="1"/>
    <x:col min="34" max="34" width="17" hidden="0" customWidth="1"/>
    <x:col min="35" max="35" width="22" hidden="0" customWidth="1"/>
    <x:col min="36" max="36" width="17" hidden="0" customWidth="1"/>
    <x:col min="37" max="37" width="18" hidden="0" customWidth="1"/>
    <x:col min="38" max="38" width="17" hidden="0" customWidth="1"/>
    <x:col min="39" max="39" width="24"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31" hidden="0" customWidth="1"/>
    <x:col min="49" max="49" width="17" hidden="0" customWidth="1"/>
    <x:col min="50" max="50" width="66" hidden="0" customWidth="1"/>
    <x:col min="51" max="51" width="36" hidden="0" customWidth="1"/>
    <x:col min="52" max="52" width="20" hidden="0" customWidth="1"/>
    <x:col min="53" max="53" width="17" hidden="0" customWidth="1"/>
    <x:col min="54" max="54" width="66" hidden="0" customWidth="1"/>
    <x:col min="55" max="55" width="29" hidden="0" customWidth="1"/>
    <x:col min="56" max="56" width="64" hidden="0" customWidth="1"/>
    <x:col min="57" max="57" width="56" hidden="0" customWidth="1"/>
    <x:col min="58" max="58" width="64" hidden="0" customWidth="1"/>
    <x:col min="59" max="59" width="34" hidden="0" customWidth="1"/>
    <x:col min="60" max="60" width="21" hidden="0" customWidth="1"/>
    <x:col min="61" max="61" width="49" hidden="0" customWidth="1"/>
    <x:col min="62" max="62" width="36" hidden="0" customWidth="1"/>
    <x:col min="63" max="63" width="22" hidden="0" customWidth="1"/>
    <x:col min="64" max="64" width="36" hidden="0" customWidth="1"/>
    <x:col min="65" max="65" width="36" hidden="0" customWidth="1"/>
  </x:cols>
  <x:sheetData>
    <x:row r="1" ht="48" customHeight="1">
      <x:c r="A1" s="6" t="str">
        <x:v>action_type</x:v>
      </x:c>
      <x:c r="B1" s="6" t="str">
        <x:v>activity_comment</x:v>
      </x:c>
      <x:c r="C1" s="6" t="str">
        <x:v>activity_id</x:v>
      </x:c>
      <x:c r="D1" s="6" t="str">
        <x:v>activity_properties</x:v>
      </x:c>
      <x:c r="E1" s="6" t="str">
        <x:v>assay_chembl_id</x:v>
      </x:c>
      <x:c r="F1" s="6" t="str">
        <x:v>assay_description</x:v>
      </x:c>
      <x:c r="G1" s="6" t="str">
        <x:v>assay_type</x:v>
      </x:c>
      <x:c r="H1" s="6" t="str">
        <x:v>assay_variant_accession</x:v>
      </x:c>
      <x:c r="I1" s="6" t="str">
        <x:v>assay_variant_mutation</x:v>
      </x:c>
      <x:c r="J1" s="6" t="str">
        <x:v>bao_endpoint</x:v>
      </x:c>
      <x:c r="K1" s="6" t="str">
        <x:v>bao_format</x:v>
      </x:c>
      <x:c r="L1" s="6" t="str">
        <x:v>bao_label</x:v>
      </x:c>
      <x:c r="M1" s="6" t="str">
        <x:v>canonical_smiles</x:v>
      </x:c>
      <x:c r="N1" s="6" t="str">
        <x:v>data_validity_comment</x:v>
      </x:c>
      <x:c r="O1" s="6" t="str">
        <x:v>data_validity_description</x:v>
      </x:c>
      <x:c r="P1" s="6" t="str">
        <x:v>document_chembl_id</x:v>
      </x:c>
      <x:c r="Q1" s="6" t="str">
        <x:v>document_journal</x:v>
      </x:c>
      <x:c r="R1" s="6" t="str">
        <x:v>document_year</x:v>
      </x:c>
      <x:c r="S1" s="6" t="str">
        <x:v>ligand_efficiency</x:v>
      </x:c>
      <x:c r="T1" s="6" t="str">
        <x:v>modality</x:v>
      </x:c>
      <x:c r="U1" s="6" t="str">
        <x:v>molecule_chembl_id</x:v>
      </x:c>
      <x:c r="V1" s="6" t="str">
        <x:v>molecule_pref_name</x:v>
      </x:c>
      <x:c r="W1" s="6" t="str">
        <x:v>parent_molecule_chembl_id</x:v>
      </x:c>
      <x:c r="X1" s="6" t="str">
        <x:v>pchembl_value</x:v>
      </x:c>
      <x:c r="Y1" s="6" t="str">
        <x:v>potential_duplicate</x:v>
      </x:c>
      <x:c r="Z1" s="6" t="str">
        <x:v>qudt_units</x:v>
      </x:c>
      <x:c r="AA1" s="6" t="str">
        <x:v>record_id</x:v>
      </x:c>
      <x:c r="AB1" s="6" t="str">
        <x:v>relation</x:v>
      </x:c>
      <x:c r="AC1" s="6" t="str">
        <x:v>src_id</x:v>
      </x:c>
      <x:c r="AD1" s="6" t="str">
        <x:v>standard_flag</x:v>
      </x:c>
      <x:c r="AE1" s="6" t="str">
        <x:v>standard_relation</x:v>
      </x:c>
      <x:c r="AF1" s="6" t="str">
        <x:v>standard_text_value</x:v>
      </x:c>
      <x:c r="AG1" s="6" t="str">
        <x:v>standard_type</x:v>
      </x:c>
      <x:c r="AH1" s="6" t="str">
        <x:v>standard_units</x:v>
      </x:c>
      <x:c r="AI1" s="6" t="str">
        <x:v>standard_upper_value</x:v>
      </x:c>
      <x:c r="AJ1" s="6" t="str">
        <x:v>standard_value</x:v>
      </x:c>
      <x:c r="AK1" s="6" t="str">
        <x:v>target_chembl_id</x:v>
      </x:c>
      <x:c r="AL1" s="6" t="str">
        <x:v>target_organism</x:v>
      </x:c>
      <x:c r="AM1" s="6" t="str">
        <x:v>target_pref_name</x:v>
      </x:c>
      <x:c r="AN1" s="6" t="str">
        <x:v>target_tax_id</x:v>
      </x:c>
      <x:c r="AO1" s="6" t="str">
        <x:v>text_value</x:v>
      </x:c>
      <x:c r="AP1" s="6" t="str">
        <x:v>toid</x:v>
      </x:c>
      <x:c r="AQ1" s="6" t="str">
        <x:v>type</x:v>
      </x:c>
      <x:c r="AR1" s="6" t="str">
        <x:v>units</x:v>
      </x:c>
      <x:c r="AS1" s="6" t="str">
        <x:v>uo_units</x:v>
      </x:c>
      <x:c r="AT1" s="6" t="str">
        <x:v>upper_value</x:v>
      </x:c>
      <x:c r="AU1" s="6" t="str">
        <x:v>value</x:v>
      </x:c>
      <x:c r="AV1" s="6" t="str">
        <x:v>audit_conversion_tolerance_nM</x:v>
      </x:c>
      <x:c r="AW1" s="6" t="str">
        <x:v>audit_decision</x:v>
      </x:c>
      <x:c r="AX1" s="6" t="str">
        <x:v>audit_exclusion_reasons</x:v>
      </x:c>
      <x:c r="AY1" s="6" t="str">
        <x:v>audit_expected_Ki_nM_from_original</x:v>
      </x:c>
      <x:c r="AZ1" s="6" t="str">
        <x:v>audit_label_origin</x:v>
      </x:c>
      <x:c r="BA1" s="6" t="str">
        <x:v>audit_pKi</x:v>
      </x:c>
      <x:c r="BB1" s="6" t="str">
        <x:v>audit_parent_connectivity_key</x:v>
      </x:c>
      <x:c r="BC1" s="6" t="str">
        <x:v>audit_parent_inchikey</x:v>
      </x:c>
      <x:c r="BD1" s="6" t="str">
        <x:v>audit_parent_isomeric_smiles</x:v>
      </x:c>
      <x:c r="BE1" s="6" t="str">
        <x:v>audit_parent_nonisomeric_smiles</x:v>
      </x:c>
      <x:c r="BF1" s="6" t="str">
        <x:v>audit_parent_smiles</x:v>
      </x:c>
      <x:c r="BG1" s="6" t="str">
        <x:v>audit_roundtrip_minus_source_pKi</x:v>
      </x:c>
      <x:c r="BH1" s="6" t="str">
        <x:v>audit_roundtrip_pKi</x:v>
      </x:c>
      <x:c r="BI1" s="6" t="str">
        <x:v>audit_scaffold_smiles</x:v>
      </x:c>
      <x:c r="BJ1" s="6" t="str">
        <x:v>audit_source_records_for_full_identity</x:v>
      </x:c>
      <x:c r="BK1" s="6" t="str">
        <x:v>audit_standard_Ki_nM</x:v>
      </x:c>
      <x:c r="BL1" s="6" t="str">
        <x:v>audit_standard_Ki_nM_minus_original_conversion</x:v>
      </x:c>
      <x:c r="BM1" s="6" t="str">
        <x:v>audit_structure_changed_from_source</x:v>
      </x:c>
    </x:row>
    <x:row r="2" ht="66" customHeight="1">
      <x:c r="A2" s="9" t="str">
        <x:v>null</x:v>
      </x:c>
      <x:c r="B2" s="9" t="str">
        <x:v>Not Determined</x:v>
      </x:c>
      <x:c r="C2" s="9" t="str">
        <x:v>16670145</x:v>
      </x:c>
      <x:c r="D2" s="9" t="str">
        <x:v>[]</x:v>
      </x:c>
      <x:c r="E2" s="9" t="str">
        <x:v>CHEMBL3855278</x:v>
      </x:c>
      <x:c r="F2" s="9" t="str">
        <x:v>Displacement of [3H]-spiperone from human dopamine D2 receptor expressed in CHO-K1 cell membranes coexpressing Galpha16 after 120 mins by liquid scintillation counting</x:v>
      </x:c>
      <x:c r="G2" s="9" t="str">
        <x:v>B</x:v>
      </x:c>
      <x:c r="H2" s="9" t="str">
        <x:v>null</x:v>
      </x:c>
      <x:c r="I2" s="9" t="str">
        <x:v>null</x:v>
      </x:c>
      <x:c r="J2" s="9" t="str">
        <x:v>BAO_0000179</x:v>
      </x:c>
      <x:c r="K2" s="9" t="str">
        <x:v>BAO_0000219</x:v>
      </x:c>
      <x:c r="L2" s="9" t="str">
        <x:v>cell-based format</x:v>
      </x:c>
      <x:c r="M2" s="9" t="str">
        <x:v>Cc1ncoc1-c1nnc(SCCCN2CC[C@@]3(C[C@H]3c3ccc(C(F)(F)F)cc3)C2)n1C</x:v>
      </x:c>
      <x:c r="N2" s="9" t="str">
        <x:v>null</x:v>
      </x:c>
      <x:c r="O2" s="9" t="str">
        <x:v>null</x:v>
      </x:c>
      <x:c r="P2" s="9" t="str">
        <x:v>CHEMBL3853329</x:v>
      </x:c>
      <x:c r="Q2" s="9" t="str">
        <x:v>J Med Chem</x:v>
      </x:c>
      <x:c r="R2" s="13" t="n">
        <x:v>2016</x:v>
      </x:c>
      <x:c r="S2" s="9" t="str">
        <x:v>null</x:v>
      </x:c>
      <x:c r="T2" s="9" t="str">
        <x:v>null</x:v>
      </x:c>
      <x:c r="U2" s="9" t="str">
        <x:v>CHEMBL3911264</x:v>
      </x:c>
      <x:c r="V2" s="9" t="str">
        <x:v>null</x:v>
      </x:c>
      <x:c r="W2" s="9" t="str">
        <x:v>CHEMBL3911264</x:v>
      </x:c>
      <x:c r="X2" s="9" t="str">
        <x:v>null</x:v>
      </x:c>
      <x:c r="Y2" s="13" t="n">
        <x:v>0</x:v>
      </x:c>
      <x:c r="Z2" s="9" t="str">
        <x:v>null</x:v>
      </x:c>
      <x:c r="AA2" s="9" t="str">
        <x:v>2796785</x:v>
      </x:c>
      <x:c r="AB2" s="9" t="str">
        <x:v>null</x:v>
      </x:c>
      <x:c r="AC2" s="9" t="str">
        <x:v>1</x:v>
      </x:c>
      <x:c r="AD2" s="13" t="n">
        <x:v>0</x:v>
      </x:c>
      <x:c r="AE2" s="9" t="str">
        <x:v>null</x:v>
      </x:c>
      <x:c r="AF2" s="9" t="str">
        <x:v>null</x:v>
      </x:c>
      <x:c r="AG2" s="9" t="str">
        <x:v>pKi</x:v>
      </x:c>
      <x:c r="AH2" s="9" t="str">
        <x:v>null</x:v>
      </x:c>
      <x:c r="AI2" s="9" t="str">
        <x:v>null</x:v>
      </x:c>
      <x:c r="AJ2" s="9" t="str">
        <x:v>null</x:v>
      </x:c>
      <x:c r="AK2" s="9" t="str">
        <x:v>CHEMBL217</x:v>
      </x:c>
      <x:c r="AL2" s="9" t="str">
        <x:v>Homo sapiens</x:v>
      </x:c>
      <x:c r="AM2" s="9" t="str">
        <x:v>D(2) dopamine receptor</x:v>
      </x:c>
      <x:c r="AN2" s="9" t="str">
        <x:v>9606</x:v>
      </x:c>
      <x:c r="AO2" s="9" t="str">
        <x:v>null</x:v>
      </x:c>
      <x:c r="AP2" s="9" t="str">
        <x:v>null</x:v>
      </x:c>
      <x:c r="AQ2" s="9" t="str">
        <x:v>pKi</x:v>
      </x:c>
      <x:c r="AR2" s="9" t="str">
        <x:v>null</x:v>
      </x:c>
      <x:c r="AS2" s="9" t="str">
        <x:v>null</x:v>
      </x:c>
      <x:c r="AT2" s="9" t="str">
        <x:v>null</x:v>
      </x:c>
      <x:c r="AU2" s="9" t="str">
        <x:v>null</x:v>
      </x:c>
      <x:c r="AV2" s="9" t="str">
        <x:v>null</x:v>
      </x:c>
      <x:c r="AW2" s="9" t="str">
        <x:v>exclude</x:v>
      </x:c>
      <x:c r="AX2" s="9" t="str">
        <x:v>nonexact_or_missing_original_relation;nonexact_or_missing_standard_relation;standard_endpoint_or_unit_not_Ki_nM;activity_comment_requires_review;missing_or_nonfinite_original_value;missing_or_nonpositive_standard_value</x:v>
      </x:c>
      <x:c r="AY2" s="9" t="str">
        <x:v>null</x:v>
      </x:c>
      <x:c r="AZ2" s="9" t="str">
        <x:v>null</x:v>
      </x:c>
      <x:c r="BA2" s="9" t="str">
        <x:v>null</x:v>
      </x:c>
      <x:c r="BB2" s="9" t="str">
        <x:v>e3a2c9462c470a8faba1f80f0df7030c9cff4d7388916c3868b2ea7a12536c64</x:v>
      </x:c>
      <x:c r="BC2" s="9" t="str">
        <x:v>MNAFRWGRFIBAQX-PGRDOPGGSA-N</x:v>
      </x:c>
      <x:c r="BD2" s="9" t="str">
        <x:v>Cc1ncoc1-c1nnc(SCCCN2CC[C@@]3(C[C@H]3c3ccc(C(F)(F)F)cc3)C2)n1C</x:v>
      </x:c>
      <x:c r="BE2" s="9" t="str">
        <x:v>Cc1ncoc1-c1nnc(SCCCN2CCC3(CC3c3ccc(C(F)(F)F)cc3)C2)n1C</x:v>
      </x:c>
      <x:c r="BF2" s="9" t="str">
        <x:v>Cc1ncoc1-c1nnc(SCCCN2CC[C@@]3(C[C@H]3c3ccc(C(F)(F)F)cc3)C2)n1C</x:v>
      </x:c>
      <x:c r="BG2" s="9" t="str">
        <x:v>null</x:v>
      </x:c>
      <x:c r="BH2" s="9" t="str">
        <x:v>null</x:v>
      </x:c>
      <x:c r="BI2" s="9" t="str">
        <x:v>c1ccc(C2CC23CCN(CCCSc2nnc(-c4cnco4)[nH]2)C3)cc1</x:v>
      </x:c>
      <x:c r="BJ2" s="13" t="n">
        <x:v>1</x:v>
      </x:c>
      <x:c r="BK2" s="9" t="str">
        <x:v>null</x:v>
      </x:c>
      <x:c r="BL2" s="9" t="str">
        <x:v>null</x:v>
      </x:c>
      <x:c r="BM2" s="9" t="str">
        <x:v>false</x:v>
      </x:c>
    </x:row>
    <x:row r="3" ht="81" customHeight="1">
      <x:c r="A3" s="14" t="str">
        <x:v>null</x:v>
      </x:c>
      <x:c r="B3" s="14" t="str">
        <x:v>Not Determined</x:v>
      </x:c>
      <x:c r="C3" s="14" t="str">
        <x:v>16670165</x:v>
      </x:c>
      <x:c r="D3" s="14" t="str">
        <x:v>[]</x:v>
      </x:c>
      <x:c r="E3" s="14" t="str">
        <x:v>CHEMBL3855278</x:v>
      </x:c>
      <x:c r="F3" s="14" t="str">
        <x:v>Displacement of [3H]-spiperone from human dopamine D2 receptor expressed in CHO-K1 cell membranes coexpressing Galpha16 after 120 mins by liquid scintillation counting</x:v>
      </x:c>
      <x:c r="G3" s="14" t="str">
        <x:v>B</x:v>
      </x:c>
      <x:c r="H3" s="14" t="str">
        <x:v>null</x:v>
      </x:c>
      <x:c r="I3" s="14" t="str">
        <x:v>null</x:v>
      </x:c>
      <x:c r="J3" s="14" t="str">
        <x:v>BAO_0000179</x:v>
      </x:c>
      <x:c r="K3" s="14" t="str">
        <x:v>BAO_0000219</x:v>
      </x:c>
      <x:c r="L3" s="14" t="str">
        <x:v>cell-based format</x:v>
      </x:c>
      <x:c r="M3" s="14" t="str">
        <x:v>Cc1ncoc1-c1nnc(SCCCN2CC[C@]3(C[C@@H]3c3ccc(F)cc3F)C2)n1C</x:v>
      </x:c>
      <x:c r="N3" s="14" t="str">
        <x:v>null</x:v>
      </x:c>
      <x:c r="O3" s="14" t="str">
        <x:v>null</x:v>
      </x:c>
      <x:c r="P3" s="14" t="str">
        <x:v>CHEMBL3853329</x:v>
      </x:c>
      <x:c r="Q3" s="14" t="str">
        <x:v>J Med Chem</x:v>
      </x:c>
      <x:c r="R3" s="17" t="n">
        <x:v>2016</x:v>
      </x:c>
      <x:c r="S3" s="14" t="str">
        <x:v>null</x:v>
      </x:c>
      <x:c r="T3" s="14" t="str">
        <x:v>null</x:v>
      </x:c>
      <x:c r="U3" s="14" t="str">
        <x:v>CHEMBL3917887</x:v>
      </x:c>
      <x:c r="V3" s="14" t="str">
        <x:v>null</x:v>
      </x:c>
      <x:c r="W3" s="14" t="str">
        <x:v>CHEMBL3917887</x:v>
      </x:c>
      <x:c r="X3" s="14" t="str">
        <x:v>null</x:v>
      </x:c>
      <x:c r="Y3" s="17" t="n">
        <x:v>0</x:v>
      </x:c>
      <x:c r="Z3" s="14" t="str">
        <x:v>null</x:v>
      </x:c>
      <x:c r="AA3" s="14" t="str">
        <x:v>2796805</x:v>
      </x:c>
      <x:c r="AB3" s="14" t="str">
        <x:v>null</x:v>
      </x:c>
      <x:c r="AC3" s="14" t="str">
        <x:v>1</x:v>
      </x:c>
      <x:c r="AD3" s="17" t="n">
        <x:v>0</x:v>
      </x:c>
      <x:c r="AE3" s="14" t="str">
        <x:v>null</x:v>
      </x:c>
      <x:c r="AF3" s="14" t="str">
        <x:v>null</x:v>
      </x:c>
      <x:c r="AG3" s="14" t="str">
        <x:v>pKi</x:v>
      </x:c>
      <x:c r="AH3" s="14" t="str">
        <x:v>null</x:v>
      </x:c>
      <x:c r="AI3" s="14" t="str">
        <x:v>null</x:v>
      </x:c>
      <x:c r="AJ3" s="14" t="str">
        <x:v>null</x:v>
      </x:c>
      <x:c r="AK3" s="14" t="str">
        <x:v>CHEMBL217</x:v>
      </x:c>
      <x:c r="AL3" s="14" t="str">
        <x:v>Homo sapiens</x:v>
      </x:c>
      <x:c r="AM3" s="14" t="str">
        <x:v>D(2) dopamine receptor</x:v>
      </x:c>
      <x:c r="AN3" s="14" t="str">
        <x:v>9606</x:v>
      </x:c>
      <x:c r="AO3" s="14" t="str">
        <x:v>null</x:v>
      </x:c>
      <x:c r="AP3" s="14" t="str">
        <x:v>null</x:v>
      </x:c>
      <x:c r="AQ3" s="14" t="str">
        <x:v>pKi</x:v>
      </x:c>
      <x:c r="AR3" s="14" t="str">
        <x:v>null</x:v>
      </x:c>
      <x:c r="AS3" s="14" t="str">
        <x:v>null</x:v>
      </x:c>
      <x:c r="AT3" s="14" t="str">
        <x:v>null</x:v>
      </x:c>
      <x:c r="AU3" s="14" t="str">
        <x:v>null</x:v>
      </x:c>
      <x:c r="AV3" s="14" t="str">
        <x:v>null</x:v>
      </x:c>
      <x:c r="AW3" s="14" t="str">
        <x:v>exclude</x:v>
      </x:c>
      <x:c r="AX3" s="14" t="str">
        <x:v>nonexact_or_missing_original_relation;nonexact_or_missing_standard_relation;standard_endpoint_or_unit_not_Ki_nM;activity_comment_requires_review;missing_or_nonfinite_original_value;missing_or_nonpositive_standard_value;multiple_source_records_for_full_parent_identity</x:v>
      </x:c>
      <x:c r="AY3" s="14" t="str">
        <x:v>null</x:v>
      </x:c>
      <x:c r="AZ3" s="14" t="str">
        <x:v>null</x:v>
      </x:c>
      <x:c r="BA3" s="14" t="str">
        <x:v>null</x:v>
      </x:c>
      <x:c r="BB3" s="14" t="str">
        <x:v>c9bb72c84834730b0cbc7844a15d094f61b850161fa051c0501826f0896ec0e8</x:v>
      </x:c>
      <x:c r="BC3" s="14" t="str">
        <x:v>XIHOJUYAGODVFH-VGSWGCGISA-N</x:v>
      </x:c>
      <x:c r="BD3" s="14" t="str">
        <x:v>Cc1ncoc1-c1nnc(SCCCN2CC[C@]3(C[C@@H]3c3ccc(F)cc3F)C2)n1C</x:v>
      </x:c>
      <x:c r="BE3" s="14" t="str">
        <x:v>Cc1ncoc1-c1nnc(SCCCN2CCC3(CC3c3ccc(F)cc3F)C2)n1C</x:v>
      </x:c>
      <x:c r="BF3" s="14" t="str">
        <x:v>Cc1ncoc1-c1nnc(SCCCN2CC[C@]3(C[C@@H]3c3ccc(F)cc3F)C2)n1C</x:v>
      </x:c>
      <x:c r="BG3" s="14" t="str">
        <x:v>null</x:v>
      </x:c>
      <x:c r="BH3" s="14" t="str">
        <x:v>null</x:v>
      </x:c>
      <x:c r="BI3" s="14" t="str">
        <x:v>c1ccc(C2CC23CCN(CCCSc2nnc(-c4cnco4)[nH]2)C3)cc1</x:v>
      </x:c>
      <x:c r="BJ3" s="17" t="n">
        <x:v>2</x:v>
      </x:c>
      <x:c r="BK3" s="14" t="str">
        <x:v>null</x:v>
      </x:c>
      <x:c r="BL3" s="14" t="str">
        <x:v>null</x:v>
      </x:c>
      <x:c r="BM3" s="14" t="str">
        <x:v>false</x:v>
      </x:c>
    </x:row>
  </x:sheetData>
  <x:pageMargins left="0.7" right="0.7" top="0.75" bottom="0.75" header="0.3" footer="0.3"/>
  <x:tableParts count="1">
    <x:tablePart xmlns:r="http://schemas.openxmlformats.org/officeDocument/2006/relationships" r:id="R182b7346a01f4044"/>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8" hidden="0" customWidth="1"/>
    <x:col min="3" max="3" width="17" hidden="0" customWidth="1"/>
    <x:col min="4" max="4" width="21" hidden="0" customWidth="1"/>
    <x:col min="5" max="5" width="17" hidden="0" customWidth="1"/>
    <x:col min="6" max="6" width="66" hidden="0" customWidth="1"/>
    <x:col min="7" max="7" width="17" hidden="0" customWidth="1"/>
    <x:col min="8" max="8" width="25" hidden="0" customWidth="1"/>
    <x:col min="9" max="9" width="24" hidden="0" customWidth="1"/>
    <x:col min="10" max="10" width="17" hidden="0" customWidth="1"/>
    <x:col min="11" max="11" width="17" hidden="0" customWidth="1"/>
    <x:col min="12" max="12" width="19" hidden="0" customWidth="1"/>
    <x:col min="13" max="13" width="66" hidden="0" customWidth="1"/>
    <x:col min="14" max="14" width="23" hidden="0" customWidth="1"/>
    <x:col min="15" max="15" width="27" hidden="0" customWidth="1"/>
    <x:col min="16" max="16" width="20" hidden="0" customWidth="1"/>
    <x:col min="17" max="17" width="18" hidden="0" customWidth="1"/>
    <x:col min="18" max="18" width="20" hidden="0" customWidth="1"/>
    <x:col min="19" max="19" width="57" hidden="0" customWidth="1"/>
    <x:col min="20" max="20" width="17" hidden="0" customWidth="1"/>
    <x:col min="21" max="21" width="20" hidden="0" customWidth="1"/>
    <x:col min="22" max="22" width="20" hidden="0" customWidth="1"/>
    <x:col min="23" max="23" width="27" hidden="0" customWidth="1"/>
    <x:col min="24" max="24" width="20" hidden="0" customWidth="1"/>
    <x:col min="25" max="25" width="21" hidden="0" customWidth="1"/>
    <x:col min="26" max="26" width="43" hidden="0" customWidth="1"/>
    <x:col min="27" max="27" width="17" hidden="0" customWidth="1"/>
    <x:col min="28" max="28" width="17" hidden="0" customWidth="1"/>
    <x:col min="29" max="29" width="17" hidden="0" customWidth="1"/>
    <x:col min="30" max="30" width="20" hidden="0" customWidth="1"/>
    <x:col min="31" max="31" width="19" hidden="0" customWidth="1"/>
    <x:col min="32" max="32" width="21" hidden="0" customWidth="1"/>
    <x:col min="33" max="33" width="17" hidden="0" customWidth="1"/>
    <x:col min="34" max="34" width="17" hidden="0" customWidth="1"/>
    <x:col min="35" max="35" width="22" hidden="0" customWidth="1"/>
    <x:col min="36" max="36" width="20" hidden="0" customWidth="1"/>
    <x:col min="37" max="37" width="18" hidden="0" customWidth="1"/>
    <x:col min="38" max="38" width="17" hidden="0" customWidth="1"/>
    <x:col min="39" max="39" width="24"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31" hidden="0" customWidth="1"/>
    <x:col min="49" max="49" width="17" hidden="0" customWidth="1"/>
    <x:col min="50" max="50" width="66" hidden="0" customWidth="1"/>
    <x:col min="51" max="51" width="36" hidden="0" customWidth="1"/>
    <x:col min="52" max="52" width="21" hidden="0" customWidth="1"/>
    <x:col min="53" max="53" width="20" hidden="0" customWidth="1"/>
    <x:col min="54" max="54" width="66" hidden="0" customWidth="1"/>
    <x:col min="55" max="55" width="29" hidden="0" customWidth="1"/>
    <x:col min="56" max="56" width="66" hidden="0" customWidth="1"/>
    <x:col min="57" max="57" width="66" hidden="0" customWidth="1"/>
    <x:col min="58" max="58" width="66" hidden="0" customWidth="1"/>
    <x:col min="59" max="59" width="34" hidden="0" customWidth="1"/>
    <x:col min="60" max="60" width="21" hidden="0" customWidth="1"/>
    <x:col min="61" max="61" width="60" hidden="0" customWidth="1"/>
    <x:col min="62" max="62" width="36" hidden="0" customWidth="1"/>
    <x:col min="63" max="63" width="22" hidden="0" customWidth="1"/>
    <x:col min="64" max="64" width="36" hidden="0" customWidth="1"/>
    <x:col min="65" max="65" width="36" hidden="0" customWidth="1"/>
  </x:cols>
  <x:sheetData>
    <x:row r="1" ht="48" customHeight="1">
      <x:c r="A1" s="6" t="str">
        <x:v>action_type</x:v>
      </x:c>
      <x:c r="B1" s="6" t="str">
        <x:v>activity_comment</x:v>
      </x:c>
      <x:c r="C1" s="6" t="str">
        <x:v>activity_id</x:v>
      </x:c>
      <x:c r="D1" s="6" t="str">
        <x:v>activity_properties</x:v>
      </x:c>
      <x:c r="E1" s="6" t="str">
        <x:v>assay_chembl_id</x:v>
      </x:c>
      <x:c r="F1" s="6" t="str">
        <x:v>assay_description</x:v>
      </x:c>
      <x:c r="G1" s="6" t="str">
        <x:v>assay_type</x:v>
      </x:c>
      <x:c r="H1" s="6" t="str">
        <x:v>assay_variant_accession</x:v>
      </x:c>
      <x:c r="I1" s="6" t="str">
        <x:v>assay_variant_mutation</x:v>
      </x:c>
      <x:c r="J1" s="6" t="str">
        <x:v>bao_endpoint</x:v>
      </x:c>
      <x:c r="K1" s="6" t="str">
        <x:v>bao_format</x:v>
      </x:c>
      <x:c r="L1" s="6" t="str">
        <x:v>bao_label</x:v>
      </x:c>
      <x:c r="M1" s="6" t="str">
        <x:v>canonical_smiles</x:v>
      </x:c>
      <x:c r="N1" s="6" t="str">
        <x:v>data_validity_comment</x:v>
      </x:c>
      <x:c r="O1" s="6" t="str">
        <x:v>data_validity_description</x:v>
      </x:c>
      <x:c r="P1" s="6" t="str">
        <x:v>document_chembl_id</x:v>
      </x:c>
      <x:c r="Q1" s="6" t="str">
        <x:v>document_journal</x:v>
      </x:c>
      <x:c r="R1" s="6" t="str">
        <x:v>document_year</x:v>
      </x:c>
      <x:c r="S1" s="6" t="str">
        <x:v>ligand_efficiency</x:v>
      </x:c>
      <x:c r="T1" s="6" t="str">
        <x:v>modality</x:v>
      </x:c>
      <x:c r="U1" s="6" t="str">
        <x:v>molecule_chembl_id</x:v>
      </x:c>
      <x:c r="V1" s="6" t="str">
        <x:v>molecule_pref_name</x:v>
      </x:c>
      <x:c r="W1" s="6" t="str">
        <x:v>parent_molecule_chembl_id</x:v>
      </x:c>
      <x:c r="X1" s="6" t="str">
        <x:v>pchembl_value</x:v>
      </x:c>
      <x:c r="Y1" s="6" t="str">
        <x:v>potential_duplicate</x:v>
      </x:c>
      <x:c r="Z1" s="6" t="str">
        <x:v>qudt_units</x:v>
      </x:c>
      <x:c r="AA1" s="6" t="str">
        <x:v>record_id</x:v>
      </x:c>
      <x:c r="AB1" s="6" t="str">
        <x:v>relation</x:v>
      </x:c>
      <x:c r="AC1" s="6" t="str">
        <x:v>src_id</x:v>
      </x:c>
      <x:c r="AD1" s="6" t="str">
        <x:v>standard_flag</x:v>
      </x:c>
      <x:c r="AE1" s="6" t="str">
        <x:v>standard_relation</x:v>
      </x:c>
      <x:c r="AF1" s="6" t="str">
        <x:v>standard_text_value</x:v>
      </x:c>
      <x:c r="AG1" s="6" t="str">
        <x:v>standard_type</x:v>
      </x:c>
      <x:c r="AH1" s="6" t="str">
        <x:v>standard_units</x:v>
      </x:c>
      <x:c r="AI1" s="6" t="str">
        <x:v>standard_upper_value</x:v>
      </x:c>
      <x:c r="AJ1" s="6" t="str">
        <x:v>standard_value</x:v>
      </x:c>
      <x:c r="AK1" s="6" t="str">
        <x:v>target_chembl_id</x:v>
      </x:c>
      <x:c r="AL1" s="6" t="str">
        <x:v>target_organism</x:v>
      </x:c>
      <x:c r="AM1" s="6" t="str">
        <x:v>target_pref_name</x:v>
      </x:c>
      <x:c r="AN1" s="6" t="str">
        <x:v>target_tax_id</x:v>
      </x:c>
      <x:c r="AO1" s="6" t="str">
        <x:v>text_value</x:v>
      </x:c>
      <x:c r="AP1" s="6" t="str">
        <x:v>toid</x:v>
      </x:c>
      <x:c r="AQ1" s="6" t="str">
        <x:v>type</x:v>
      </x:c>
      <x:c r="AR1" s="6" t="str">
        <x:v>units</x:v>
      </x:c>
      <x:c r="AS1" s="6" t="str">
        <x:v>uo_units</x:v>
      </x:c>
      <x:c r="AT1" s="6" t="str">
        <x:v>upper_value</x:v>
      </x:c>
      <x:c r="AU1" s="6" t="str">
        <x:v>value</x:v>
      </x:c>
      <x:c r="AV1" s="6" t="str">
        <x:v>audit_conversion_tolerance_nM</x:v>
      </x:c>
      <x:c r="AW1" s="6" t="str">
        <x:v>audit_decision</x:v>
      </x:c>
      <x:c r="AX1" s="6" t="str">
        <x:v>audit_exclusion_reasons</x:v>
      </x:c>
      <x:c r="AY1" s="6" t="str">
        <x:v>audit_expected_Ki_nM_from_original</x:v>
      </x:c>
      <x:c r="AZ1" s="6" t="str">
        <x:v>audit_label_origin</x:v>
      </x:c>
      <x:c r="BA1" s="6" t="str">
        <x:v>audit_pKi</x:v>
      </x:c>
      <x:c r="BB1" s="6" t="str">
        <x:v>audit_parent_connectivity_key</x:v>
      </x:c>
      <x:c r="BC1" s="6" t="str">
        <x:v>audit_parent_inchikey</x:v>
      </x:c>
      <x:c r="BD1" s="6" t="str">
        <x:v>audit_parent_isomeric_smiles</x:v>
      </x:c>
      <x:c r="BE1" s="6" t="str">
        <x:v>audit_parent_nonisomeric_smiles</x:v>
      </x:c>
      <x:c r="BF1" s="6" t="str">
        <x:v>audit_parent_smiles</x:v>
      </x:c>
      <x:c r="BG1" s="6" t="str">
        <x:v>audit_roundtrip_minus_source_pKi</x:v>
      </x:c>
      <x:c r="BH1" s="6" t="str">
        <x:v>audit_roundtrip_pKi</x:v>
      </x:c>
      <x:c r="BI1" s="6" t="str">
        <x:v>audit_scaffold_smiles</x:v>
      </x:c>
      <x:c r="BJ1" s="6" t="str">
        <x:v>audit_source_records_for_full_identity</x:v>
      </x:c>
      <x:c r="BK1" s="6" t="str">
        <x:v>audit_standard_Ki_nM</x:v>
      </x:c>
      <x:c r="BL1" s="6" t="str">
        <x:v>audit_standard_Ki_nM_minus_original_conversion</x:v>
      </x:c>
      <x:c r="BM1" s="6" t="str">
        <x:v>audit_structure_changed_from_source</x:v>
      </x:c>
    </x:row>
    <x:row r="2" ht="51" customHeight="1">
      <x:c r="A2" s="9" t="str">
        <x:v>null</x:v>
      </x:c>
      <x:c r="B2" s="9" t="str">
        <x:v>null</x:v>
      </x:c>
      <x:c r="C2" s="9" t="str">
        <x:v>16670133</x:v>
      </x:c>
      <x:c r="D2" s="9" t="str">
        <x:v>[]</x:v>
      </x:c>
      <x:c r="E2" s="9" t="str">
        <x:v>CHEMBL3855278</x:v>
      </x:c>
      <x:c r="F2" s="9" t="str">
        <x:v>Displacement of [3H]-spiperone from human dopamine D2 receptor expressed in CHO-K1 cell membranes coexpressing Galpha16 after 120 mins by liquid scintillation counting</x:v>
      </x:c>
      <x:c r="G2" s="9" t="str">
        <x:v>B</x:v>
      </x:c>
      <x:c r="H2" s="9" t="str">
        <x:v>null</x:v>
      </x:c>
      <x:c r="I2" s="9" t="str">
        <x:v>null</x:v>
      </x:c>
      <x:c r="J2" s="9" t="str">
        <x:v>BAO_0000192</x:v>
      </x:c>
      <x:c r="K2" s="9" t="str">
        <x:v>BAO_0000219</x:v>
      </x:c>
      <x:c r="L2" s="9" t="str">
        <x:v>cell-based format</x:v>
      </x:c>
      <x:c r="M2" s="9" t="str">
        <x:v>N#Cc1ccc2c(c1)CCN(CC[C@H]1CC[C@H](NC(=O)c3ccnc4ccccc34)CC1)C2</x:v>
      </x:c>
      <x:c r="N2" s="9" t="str">
        <x:v>null</x:v>
      </x:c>
      <x:c r="O2" s="9" t="str">
        <x:v>null</x:v>
      </x:c>
      <x:c r="P2" s="9" t="str">
        <x:v>CHEMBL3853329</x:v>
      </x:c>
      <x:c r="Q2" s="9" t="str">
        <x:v>J Med Chem</x:v>
      </x:c>
      <x:c r="R2" s="13" t="n">
        <x:v>2016</x:v>
      </x:c>
      <x:c r="S2" s="9" t="str">
        <x:v>{"bei":"14.39","le":"0.26","lle":"1.47","sei":"9.14"}</x:v>
      </x:c>
      <x:c r="T2" s="9" t="str">
        <x:v>null</x:v>
      </x:c>
      <x:c r="U2" s="9" t="str">
        <x:v>CHEMBL85606</x:v>
      </x:c>
      <x:c r="V2" s="9" t="str">
        <x:v>null</x:v>
      </x:c>
      <x:c r="W2" s="9" t="str">
        <x:v>CHEMBL85606</x:v>
      </x:c>
      <x:c r="X2" s="11" t="n">
        <x:v>6.31</x:v>
      </x:c>
      <x:c r="Y2" s="13" t="n">
        <x:v>0</x:v>
      </x:c>
      <x:c r="Z2" s="9" t="str">
        <x:v>http://www.openphacts.org/units/Nanomolar</x:v>
      </x:c>
      <x:c r="AA2" s="9" t="str">
        <x:v>2796773</x:v>
      </x:c>
      <x:c r="AB2" s="9" t="str">
        <x:v>=</x:v>
      </x:c>
      <x:c r="AC2" s="9" t="str">
        <x:v>1</x:v>
      </x:c>
      <x:c r="AD2" s="13" t="n">
        <x:v>1</x:v>
      </x:c>
      <x:c r="AE2" s="9" t="str">
        <x:v>=</x:v>
      </x:c>
      <x:c r="AF2" s="9" t="str">
        <x:v>null</x:v>
      </x:c>
      <x:c r="AG2" s="9" t="str">
        <x:v>Ki</x:v>
      </x:c>
      <x:c r="AH2" s="9" t="str">
        <x:v>nM</x:v>
      </x:c>
      <x:c r="AI2" s="9" t="str">
        <x:v>null</x:v>
      </x:c>
      <x:c r="AJ2" s="11" t="n">
        <x:v>489.78</x:v>
      </x:c>
      <x:c r="AK2" s="9" t="str">
        <x:v>CHEMBL217</x:v>
      </x:c>
      <x:c r="AL2" s="9" t="str">
        <x:v>Homo sapiens</x:v>
      </x:c>
      <x:c r="AM2" s="9" t="str">
        <x:v>D(2) dopamine receptor</x:v>
      </x:c>
      <x:c r="AN2" s="9" t="str">
        <x:v>9606</x:v>
      </x:c>
      <x:c r="AO2" s="9" t="str">
        <x:v>null</x:v>
      </x:c>
      <x:c r="AP2" s="9" t="str">
        <x:v>null</x:v>
      </x:c>
      <x:c r="AQ2" s="9" t="str">
        <x:v>pKi</x:v>
      </x:c>
      <x:c r="AR2" s="9" t="str">
        <x:v>null</x:v>
      </x:c>
      <x:c r="AS2" s="9" t="str">
        <x:v>UO_0000065</x:v>
      </x:c>
      <x:c r="AT2" s="9" t="str">
        <x:v>null</x:v>
      </x:c>
      <x:c r="AU2" s="9" t="str">
        <x:v>6.31</x:v>
      </x:c>
      <x:c r="AV2" s="11" t="n">
        <x:v>0.00501</x:v>
      </x:c>
      <x:c r="AW2" s="9" t="str">
        <x:v>include</x:v>
      </x:c>
      <x:c r="AX2" s="9" t="str"/>
      <x:c r="AY2" s="11" t="n">
        <x:v>489.77881936844665</x:v>
      </x:c>
      <x:c r="AZ2" s="9" t="str">
        <x:v>source_reported_pKi</x:v>
      </x:c>
      <x:c r="BA2" s="11" t="n">
        <x:v>6.31</x:v>
      </x:c>
      <x:c r="BB2" s="9" t="str">
        <x:v>12fb7de3da853f4c88ed5c3b3893f79b17e17e82d3ac4d87c1d80ae838dbb1b2</x:v>
      </x:c>
      <x:c r="BC2" s="9" t="str">
        <x:v>OLWRVVHPJFLNPW-LSNLESRRSA-N</x:v>
      </x:c>
      <x:c r="BD2" s="9" t="str">
        <x:v>N#Cc1ccc2c(c1)CCN(CC[C@H]1CC[C@H](NC(=O)c3ccnc4ccccc34)CC1)C2</x:v>
      </x:c>
      <x:c r="BE2" s="9" t="str">
        <x:v>N#Cc1ccc2c(c1)CCN(CCC1CCC(NC(=O)c3ccnc4ccccc34)CC1)C2</x:v>
      </x:c>
      <x:c r="BF2" s="9" t="str">
        <x:v>N#Cc1ccc2c(c1)CCN(CC[C@H]1CC[C@H](NC(=O)c3ccnc4ccccc34)CC1)C2</x:v>
      </x:c>
      <x:c r="BG2" s="12" t="n">
        <x:v>-0.000001046883062905124</x:v>
      </x:c>
      <x:c r="BH2" s="11" t="n">
        <x:v>6.309998953116937</x:v>
      </x:c>
      <x:c r="BI2" s="9" t="str">
        <x:v>O=C(NC1CCC(CCN2CCc3ccccc3C2)CC1)c1ccnc2ccccc12</x:v>
      </x:c>
      <x:c r="BJ2" s="13" t="n">
        <x:v>1</x:v>
      </x:c>
      <x:c r="BK2" s="11" t="n">
        <x:v>489.78</x:v>
      </x:c>
      <x:c r="BL2" s="12" t="n">
        <x:v>0.001180631553324929</x:v>
      </x:c>
      <x:c r="BM2" s="9" t="str">
        <x:v>false</x:v>
      </x:c>
    </x:row>
    <x:row r="3" ht="51" customHeight="1">
      <x:c r="A3" s="14" t="str">
        <x:v>null</x:v>
      </x:c>
      <x:c r="B3" s="14" t="str">
        <x:v>null</x:v>
      </x:c>
      <x:c r="C3" s="14" t="str">
        <x:v>16670134</x:v>
      </x:c>
      <x:c r="D3" s="14" t="str">
        <x:v>[]</x:v>
      </x:c>
      <x:c r="E3" s="14" t="str">
        <x:v>CHEMBL3855278</x:v>
      </x:c>
      <x:c r="F3" s="14" t="str">
        <x:v>Displacement of [3H]-spiperone from human dopamine D2 receptor expressed in CHO-K1 cell membranes coexpressing Galpha16 after 120 mins by liquid scintillation counting</x:v>
      </x:c>
      <x:c r="G3" s="14" t="str">
        <x:v>B</x:v>
      </x:c>
      <x:c r="H3" s="14" t="str">
        <x:v>null</x:v>
      </x:c>
      <x:c r="I3" s="14" t="str">
        <x:v>null</x:v>
      </x:c>
      <x:c r="J3" s="14" t="str">
        <x:v>BAO_0000192</x:v>
      </x:c>
      <x:c r="K3" s="14" t="str">
        <x:v>BAO_0000219</x:v>
      </x:c>
      <x:c r="L3" s="14" t="str">
        <x:v>cell-based format</x:v>
      </x:c>
      <x:c r="M3" s="14" t="str">
        <x:v>Cc1ncoc1-c1nnc(SCCCN2CC[C@]3(C[C@H]3c3ccccc3)C2)n1C</x:v>
      </x:c>
      <x:c r="N3" s="14" t="str">
        <x:v>null</x:v>
      </x:c>
      <x:c r="O3" s="14" t="str">
        <x:v>null</x:v>
      </x:c>
      <x:c r="P3" s="14" t="str">
        <x:v>CHEMBL3853329</x:v>
      </x:c>
      <x:c r="Q3" s="14" t="str">
        <x:v>J Med Chem</x:v>
      </x:c>
      <x:c r="R3" s="17" t="n">
        <x:v>2016</x:v>
      </x:c>
      <x:c r="S3" s="14" t="str">
        <x:v>{"bei":"14.65","le":"0.28","lle":"1.86","sei":"10.00"}</x:v>
      </x:c>
      <x:c r="T3" s="14" t="str">
        <x:v>null</x:v>
      </x:c>
      <x:c r="U3" s="14" t="str">
        <x:v>CHEMBL3958494</x:v>
      </x:c>
      <x:c r="V3" s="14" t="str">
        <x:v>null</x:v>
      </x:c>
      <x:c r="W3" s="14" t="str">
        <x:v>CHEMBL3958494</x:v>
      </x:c>
      <x:c r="X3" s="15" t="n">
        <x:v>6</x:v>
      </x:c>
      <x:c r="Y3" s="17" t="n">
        <x:v>0</x:v>
      </x:c>
      <x:c r="Z3" s="14" t="str">
        <x:v>http://www.openphacts.org/units/Nanomolar</x:v>
      </x:c>
      <x:c r="AA3" s="14" t="str">
        <x:v>2796774</x:v>
      </x:c>
      <x:c r="AB3" s="14" t="str">
        <x:v>=</x:v>
      </x:c>
      <x:c r="AC3" s="14" t="str">
        <x:v>1</x:v>
      </x:c>
      <x:c r="AD3" s="17" t="n">
        <x:v>1</x:v>
      </x:c>
      <x:c r="AE3" s="14" t="str">
        <x:v>=</x:v>
      </x:c>
      <x:c r="AF3" s="14" t="str">
        <x:v>null</x:v>
      </x:c>
      <x:c r="AG3" s="14" t="str">
        <x:v>Ki</x:v>
      </x:c>
      <x:c r="AH3" s="14" t="str">
        <x:v>nM</x:v>
      </x:c>
      <x:c r="AI3" s="14" t="str">
        <x:v>null</x:v>
      </x:c>
      <x:c r="AJ3" s="15" t="n">
        <x:v>1000</x:v>
      </x:c>
      <x:c r="AK3" s="14" t="str">
        <x:v>CHEMBL217</x:v>
      </x:c>
      <x:c r="AL3" s="14" t="str">
        <x:v>Homo sapiens</x:v>
      </x:c>
      <x:c r="AM3" s="14" t="str">
        <x:v>D(2) dopamine receptor</x:v>
      </x:c>
      <x:c r="AN3" s="14" t="str">
        <x:v>9606</x:v>
      </x:c>
      <x:c r="AO3" s="14" t="str">
        <x:v>null</x:v>
      </x:c>
      <x:c r="AP3" s="14" t="str">
        <x:v>null</x:v>
      </x:c>
      <x:c r="AQ3" s="14" t="str">
        <x:v>pKi</x:v>
      </x:c>
      <x:c r="AR3" s="14" t="str">
        <x:v>null</x:v>
      </x:c>
      <x:c r="AS3" s="14" t="str">
        <x:v>UO_0000065</x:v>
      </x:c>
      <x:c r="AT3" s="14" t="str">
        <x:v>null</x:v>
      </x:c>
      <x:c r="AU3" s="14" t="str">
        <x:v>6.0</x:v>
      </x:c>
      <x:c r="AV3" s="15" t="n">
        <x:v>0.00501</x:v>
      </x:c>
      <x:c r="AW3" s="14" t="str">
        <x:v>exclude</x:v>
      </x:c>
      <x:c r="AX3" s="14" t="str">
        <x:v>multiple_source_records_for_full_parent_identity</x:v>
      </x:c>
      <x:c r="AY3" s="15" t="n">
        <x:v>1000</x:v>
      </x:c>
      <x:c r="AZ3" s="14" t="str">
        <x:v>source_reported_pKi</x:v>
      </x:c>
      <x:c r="BA3" s="15" t="n">
        <x:v>6</x:v>
      </x:c>
      <x:c r="BB3" s="14" t="str">
        <x:v>5f5097a99ca905252039130a837b04ee6e5d355221accf984a4fc65edd2b7538</x:v>
      </x:c>
      <x:c r="BC3" s="14" t="str">
        <x:v>AAPXNHMQKBDDJN-AVRDEDQJSA-N</x:v>
      </x:c>
      <x:c r="BD3" s="14" t="str">
        <x:v>Cc1ncoc1-c1nnc(SCCCN2CC[C@]3(C[C@H]3c3ccccc3)C2)n1C</x:v>
      </x:c>
      <x:c r="BE3" s="14" t="str">
        <x:v>Cc1ncoc1-c1nnc(SCCCN2CCC3(CC3c3ccccc3)C2)n1C</x:v>
      </x:c>
      <x:c r="BF3" s="14" t="str">
        <x:v>Cc1ncoc1-c1nnc(SCCCN2CC[C@]3(C[C@H]3c3ccccc3)C2)n1C</x:v>
      </x:c>
      <x:c r="BG3" s="16" t="n">
        <x:v>0</x:v>
      </x:c>
      <x:c r="BH3" s="15" t="n">
        <x:v>6</x:v>
      </x:c>
      <x:c r="BI3" s="14" t="str">
        <x:v>c1ccc(C2CC23CCN(CCCSc2nnc(-c4cnco4)[nH]2)C3)cc1</x:v>
      </x:c>
      <x:c r="BJ3" s="17" t="n">
        <x:v>2</x:v>
      </x:c>
      <x:c r="BK3" s="15" t="n">
        <x:v>1000</x:v>
      </x:c>
      <x:c r="BL3" s="16" t="n">
        <x:v>0</x:v>
      </x:c>
      <x:c r="BM3" s="14" t="str">
        <x:v>false</x:v>
      </x:c>
    </x:row>
    <x:row r="4" ht="51" customHeight="1">
      <x:c r="A4" s="9" t="str">
        <x:v>null</x:v>
      </x:c>
      <x:c r="B4" s="9" t="str">
        <x:v>null</x:v>
      </x:c>
      <x:c r="C4" s="9" t="str">
        <x:v>16670135</x:v>
      </x:c>
      <x:c r="D4" s="9" t="str">
        <x:v>[]</x:v>
      </x:c>
      <x:c r="E4" s="9" t="str">
        <x:v>CHEMBL3855278</x:v>
      </x:c>
      <x:c r="F4" s="9" t="str">
        <x:v>Displacement of [3H]-spiperone from human dopamine D2 receptor expressed in CHO-K1 cell membranes coexpressing Galpha16 after 120 mins by liquid scintillation counting</x:v>
      </x:c>
      <x:c r="G4" s="9" t="str">
        <x:v>B</x:v>
      </x:c>
      <x:c r="H4" s="9" t="str">
        <x:v>null</x:v>
      </x:c>
      <x:c r="I4" s="9" t="str">
        <x:v>null</x:v>
      </x:c>
      <x:c r="J4" s="9" t="str">
        <x:v>BAO_0000192</x:v>
      </x:c>
      <x:c r="K4" s="9" t="str">
        <x:v>BAO_0000219</x:v>
      </x:c>
      <x:c r="L4" s="9" t="str">
        <x:v>cell-based format</x:v>
      </x:c>
      <x:c r="M4" s="9" t="str">
        <x:v>Cc1ncoc1-c1nnc(SCCCN2CC[C@]3(C[C@H]3c3ccccc3)C2)n1C</x:v>
      </x:c>
      <x:c r="N4" s="9" t="str">
        <x:v>null</x:v>
      </x:c>
      <x:c r="O4" s="9" t="str">
        <x:v>null</x:v>
      </x:c>
      <x:c r="P4" s="9" t="str">
        <x:v>CHEMBL3853329</x:v>
      </x:c>
      <x:c r="Q4" s="9" t="str">
        <x:v>J Med Chem</x:v>
      </x:c>
      <x:c r="R4" s="13" t="n">
        <x:v>2016</x:v>
      </x:c>
      <x:c r="S4" s="9" t="str">
        <x:v>{"bei":"15.36","le":"0.30","lle":"2.15","sei":"10.49"}</x:v>
      </x:c>
      <x:c r="T4" s="9" t="str">
        <x:v>null</x:v>
      </x:c>
      <x:c r="U4" s="9" t="str">
        <x:v>CHEMBL3958494</x:v>
      </x:c>
      <x:c r="V4" s="9" t="str">
        <x:v>null</x:v>
      </x:c>
      <x:c r="W4" s="9" t="str">
        <x:v>CHEMBL3958494</x:v>
      </x:c>
      <x:c r="X4" s="11" t="n">
        <x:v>6.29</x:v>
      </x:c>
      <x:c r="Y4" s="13" t="n">
        <x:v>0</x:v>
      </x:c>
      <x:c r="Z4" s="9" t="str">
        <x:v>http://www.openphacts.org/units/Nanomolar</x:v>
      </x:c>
      <x:c r="AA4" s="9" t="str">
        <x:v>2796775</x:v>
      </x:c>
      <x:c r="AB4" s="9" t="str">
        <x:v>=</x:v>
      </x:c>
      <x:c r="AC4" s="9" t="str">
        <x:v>1</x:v>
      </x:c>
      <x:c r="AD4" s="13" t="n">
        <x:v>1</x:v>
      </x:c>
      <x:c r="AE4" s="9" t="str">
        <x:v>=</x:v>
      </x:c>
      <x:c r="AF4" s="9" t="str">
        <x:v>null</x:v>
      </x:c>
      <x:c r="AG4" s="9" t="str">
        <x:v>Ki</x:v>
      </x:c>
      <x:c r="AH4" s="9" t="str">
        <x:v>nM</x:v>
      </x:c>
      <x:c r="AI4" s="9" t="str">
        <x:v>null</x:v>
      </x:c>
      <x:c r="AJ4" s="11" t="n">
        <x:v>512.86</x:v>
      </x:c>
      <x:c r="AK4" s="9" t="str">
        <x:v>CHEMBL217</x:v>
      </x:c>
      <x:c r="AL4" s="9" t="str">
        <x:v>Homo sapiens</x:v>
      </x:c>
      <x:c r="AM4" s="9" t="str">
        <x:v>D(2) dopamine receptor</x:v>
      </x:c>
      <x:c r="AN4" s="9" t="str">
        <x:v>9606</x:v>
      </x:c>
      <x:c r="AO4" s="9" t="str">
        <x:v>null</x:v>
      </x:c>
      <x:c r="AP4" s="9" t="str">
        <x:v>null</x:v>
      </x:c>
      <x:c r="AQ4" s="9" t="str">
        <x:v>pKi</x:v>
      </x:c>
      <x:c r="AR4" s="9" t="str">
        <x:v>null</x:v>
      </x:c>
      <x:c r="AS4" s="9" t="str">
        <x:v>UO_0000065</x:v>
      </x:c>
      <x:c r="AT4" s="9" t="str">
        <x:v>null</x:v>
      </x:c>
      <x:c r="AU4" s="9" t="str">
        <x:v>6.29</x:v>
      </x:c>
      <x:c r="AV4" s="11" t="n">
        <x:v>0.00501</x:v>
      </x:c>
      <x:c r="AW4" s="9" t="str">
        <x:v>exclude</x:v>
      </x:c>
      <x:c r="AX4" s="9" t="str">
        <x:v>multiple_source_records_for_full_parent_identity</x:v>
      </x:c>
      <x:c r="AY4" s="11" t="n">
        <x:v>512.8613839913648</x:v>
      </x:c>
      <x:c r="AZ4" s="9" t="str">
        <x:v>source_reported_pKi</x:v>
      </x:c>
      <x:c r="BA4" s="11" t="n">
        <x:v>6.29</x:v>
      </x:c>
      <x:c r="BB4" s="9" t="str">
        <x:v>5f5097a99ca905252039130a837b04ee6e5d355221accf984a4fc65edd2b7538</x:v>
      </x:c>
      <x:c r="BC4" s="9" t="str">
        <x:v>AAPXNHMQKBDDJN-AVRDEDQJSA-N</x:v>
      </x:c>
      <x:c r="BD4" s="9" t="str">
        <x:v>Cc1ncoc1-c1nnc(SCCCN2CC[C@]3(C[C@H]3c3ccccc3)C2)n1C</x:v>
      </x:c>
      <x:c r="BE4" s="9" t="str">
        <x:v>Cc1ncoc1-c1nnc(SCCCN2CCC3(CC3c3ccccc3)C2)n1C</x:v>
      </x:c>
      <x:c r="BF4" s="9" t="str">
        <x:v>Cc1ncoc1-c1nnc(SCCCN2CC[C@]3(C[C@H]3c3ccccc3)C2)n1C</x:v>
      </x:c>
      <x:c r="BG4" s="12" t="n">
        <x:v>0.0000011719748114202844</x:v>
      </x:c>
      <x:c r="BH4" s="11" t="n">
        <x:v>6.2900011719748115</x:v>
      </x:c>
      <x:c r="BI4" s="9" t="str">
        <x:v>c1ccc(C2CC23CCN(CCCSc2nnc(-c4cnco4)[nH]2)C3)cc1</x:v>
      </x:c>
      <x:c r="BJ4" s="13" t="n">
        <x:v>2</x:v>
      </x:c>
      <x:c r="BK4" s="11" t="n">
        <x:v>512.86</x:v>
      </x:c>
      <x:c r="BL4" s="12" t="n">
        <x:v>-0.001383991364832582</x:v>
      </x:c>
      <x:c r="BM4" s="9" t="str">
        <x:v>false</x:v>
      </x:c>
    </x:row>
    <x:row r="5" ht="51" customHeight="1">
      <x:c r="A5" s="14" t="str">
        <x:v>null</x:v>
      </x:c>
      <x:c r="B5" s="14" t="str">
        <x:v>null</x:v>
      </x:c>
      <x:c r="C5" s="14" t="str">
        <x:v>16670136</x:v>
      </x:c>
      <x:c r="D5" s="14" t="str">
        <x:v>[]</x:v>
      </x:c>
      <x:c r="E5" s="14" t="str">
        <x:v>CHEMBL3855278</x:v>
      </x:c>
      <x:c r="F5" s="14" t="str">
        <x:v>Displacement of [3H]-spiperone from human dopamine D2 receptor expressed in CHO-K1 cell membranes coexpressing Galpha16 after 120 mins by liquid scintillation counting</x:v>
      </x:c>
      <x:c r="G5" s="14" t="str">
        <x:v>B</x:v>
      </x:c>
      <x:c r="H5" s="14" t="str">
        <x:v>null</x:v>
      </x:c>
      <x:c r="I5" s="14" t="str">
        <x:v>null</x:v>
      </x:c>
      <x:c r="J5" s="14" t="str">
        <x:v>BAO_0000192</x:v>
      </x:c>
      <x:c r="K5" s="14" t="str">
        <x:v>BAO_0000219</x:v>
      </x:c>
      <x:c r="L5" s="14" t="str">
        <x:v>cell-based format</x:v>
      </x:c>
      <x:c r="M5" s="14" t="str">
        <x:v>Cc1ncoc1-c1nnc(SCCCN2CC[C@@]3(C[C@@H]3c3ccccc3)C2)n1C</x:v>
      </x:c>
      <x:c r="N5" s="14" t="str">
        <x:v>null</x:v>
      </x:c>
      <x:c r="O5" s="14" t="str">
        <x:v>null</x:v>
      </x:c>
      <x:c r="P5" s="14" t="str">
        <x:v>CHEMBL3853329</x:v>
      </x:c>
      <x:c r="Q5" s="14" t="str">
        <x:v>J Med Chem</x:v>
      </x:c>
      <x:c r="R5" s="17" t="n">
        <x:v>2016</x:v>
      </x:c>
      <x:c r="S5" s="14" t="str">
        <x:v>{"bei":"15.02","le":"0.29","lle":"2.01","sei":"10.25"}</x:v>
      </x:c>
      <x:c r="T5" s="14" t="str">
        <x:v>null</x:v>
      </x:c>
      <x:c r="U5" s="14" t="str">
        <x:v>CHEMBL3901211</x:v>
      </x:c>
      <x:c r="V5" s="14" t="str">
        <x:v>null</x:v>
      </x:c>
      <x:c r="W5" s="14" t="str">
        <x:v>CHEMBL3901211</x:v>
      </x:c>
      <x:c r="X5" s="15" t="n">
        <x:v>6.15</x:v>
      </x:c>
      <x:c r="Y5" s="17" t="n">
        <x:v>0</x:v>
      </x:c>
      <x:c r="Z5" s="14" t="str">
        <x:v>http://www.openphacts.org/units/Nanomolar</x:v>
      </x:c>
      <x:c r="AA5" s="14" t="str">
        <x:v>2796776</x:v>
      </x:c>
      <x:c r="AB5" s="14" t="str">
        <x:v>=</x:v>
      </x:c>
      <x:c r="AC5" s="14" t="str">
        <x:v>1</x:v>
      </x:c>
      <x:c r="AD5" s="17" t="n">
        <x:v>1</x:v>
      </x:c>
      <x:c r="AE5" s="14" t="str">
        <x:v>=</x:v>
      </x:c>
      <x:c r="AF5" s="14" t="str">
        <x:v>null</x:v>
      </x:c>
      <x:c r="AG5" s="14" t="str">
        <x:v>Ki</x:v>
      </x:c>
      <x:c r="AH5" s="14" t="str">
        <x:v>nM</x:v>
      </x:c>
      <x:c r="AI5" s="14" t="str">
        <x:v>null</x:v>
      </x:c>
      <x:c r="AJ5" s="15" t="n">
        <x:v>707.95</x:v>
      </x:c>
      <x:c r="AK5" s="14" t="str">
        <x:v>CHEMBL217</x:v>
      </x:c>
      <x:c r="AL5" s="14" t="str">
        <x:v>Homo sapiens</x:v>
      </x:c>
      <x:c r="AM5" s="14" t="str">
        <x:v>D(2) dopamine receptor</x:v>
      </x:c>
      <x:c r="AN5" s="14" t="str">
        <x:v>9606</x:v>
      </x:c>
      <x:c r="AO5" s="14" t="str">
        <x:v>null</x:v>
      </x:c>
      <x:c r="AP5" s="14" t="str">
        <x:v>null</x:v>
      </x:c>
      <x:c r="AQ5" s="14" t="str">
        <x:v>pKi</x:v>
      </x:c>
      <x:c r="AR5" s="14" t="str">
        <x:v>null</x:v>
      </x:c>
      <x:c r="AS5" s="14" t="str">
        <x:v>UO_0000065</x:v>
      </x:c>
      <x:c r="AT5" s="14" t="str">
        <x:v>null</x:v>
      </x:c>
      <x:c r="AU5" s="14" t="str">
        <x:v>6.15</x:v>
      </x:c>
      <x:c r="AV5" s="15" t="n">
        <x:v>0.00501</x:v>
      </x:c>
      <x:c r="AW5" s="14" t="str">
        <x:v>include</x:v>
      </x:c>
      <x:c r="AX5" s="14" t="str"/>
      <x:c r="AY5" s="15" t="n">
        <x:v>707.9457843841374</x:v>
      </x:c>
      <x:c r="AZ5" s="14" t="str">
        <x:v>source_reported_pKi</x:v>
      </x:c>
      <x:c r="BA5" s="15" t="n">
        <x:v>6.15</x:v>
      </x:c>
      <x:c r="BB5" s="14" t="str">
        <x:v>5f5097a99ca905252039130a837b04ee6e5d355221accf984a4fc65edd2b7538</x:v>
      </x:c>
      <x:c r="BC5" s="14" t="str">
        <x:v>AAPXNHMQKBDDJN-XMSQKQJNSA-N</x:v>
      </x:c>
      <x:c r="BD5" s="14" t="str">
        <x:v>Cc1ncoc1-c1nnc(SCCCN2CC[C@@]3(C[C@@H]3c3ccccc3)C2)n1C</x:v>
      </x:c>
      <x:c r="BE5" s="14" t="str">
        <x:v>Cc1ncoc1-c1nnc(SCCCN2CCC3(CC3c3ccccc3)C2)n1C</x:v>
      </x:c>
      <x:c r="BF5" s="14" t="str">
        <x:v>Cc1ncoc1-c1nnc(SCCCN2CC[C@@]3(C[C@@H]3c3ccccc3)C2)n1C</x:v>
      </x:c>
      <x:c r="BG5" s="16" t="n">
        <x:v>-0.0000025860924619536263</x:v>
      </x:c>
      <x:c r="BH5" s="15" t="n">
        <x:v>6.149997413907538</x:v>
      </x:c>
      <x:c r="BI5" s="14" t="str">
        <x:v>c1ccc(C2CC23CCN(CCCSc2nnc(-c4cnco4)[nH]2)C3)cc1</x:v>
      </x:c>
      <x:c r="BJ5" s="17" t="n">
        <x:v>1</x:v>
      </x:c>
      <x:c r="BK5" s="15" t="n">
        <x:v>707.95</x:v>
      </x:c>
      <x:c r="BL5" s="16" t="n">
        <x:v>0.004215615862676714</x:v>
      </x:c>
      <x:c r="BM5" s="14" t="str">
        <x:v>false</x:v>
      </x:c>
    </x:row>
    <x:row r="6" ht="51" customHeight="1">
      <x:c r="A6" s="9" t="str">
        <x:v>null</x:v>
      </x:c>
      <x:c r="B6" s="9" t="str">
        <x:v>null</x:v>
      </x:c>
      <x:c r="C6" s="9" t="str">
        <x:v>16670137</x:v>
      </x:c>
      <x:c r="D6" s="9" t="str">
        <x:v>[]</x:v>
      </x:c>
      <x:c r="E6" s="9" t="str">
        <x:v>CHEMBL3855278</x:v>
      </x:c>
      <x:c r="F6" s="9" t="str">
        <x:v>Displacement of [3H]-spiperone from human dopamine D2 receptor expressed in CHO-K1 cell membranes coexpressing Galpha16 after 120 mins by liquid scintillation counting</x:v>
      </x:c>
      <x:c r="G6" s="9" t="str">
        <x:v>B</x:v>
      </x:c>
      <x:c r="H6" s="9" t="str">
        <x:v>null</x:v>
      </x:c>
      <x:c r="I6" s="9" t="str">
        <x:v>null</x:v>
      </x:c>
      <x:c r="J6" s="9" t="str">
        <x:v>BAO_0000192</x:v>
      </x:c>
      <x:c r="K6" s="9" t="str">
        <x:v>BAO_0000219</x:v>
      </x:c>
      <x:c r="L6" s="9" t="str">
        <x:v>cell-based format</x:v>
      </x:c>
      <x:c r="M6" s="9" t="str">
        <x:v>Cc1ncoc1-c1nnc(SCCCN2CC[C@]3(C[C@@H]3c3ccccc3)C2)n1C</x:v>
      </x:c>
      <x:c r="N6" s="9" t="str">
        <x:v>null</x:v>
      </x:c>
      <x:c r="O6" s="9" t="str">
        <x:v>null</x:v>
      </x:c>
      <x:c r="P6" s="9" t="str">
        <x:v>CHEMBL3853329</x:v>
      </x:c>
      <x:c r="Q6" s="9" t="str">
        <x:v>J Med Chem</x:v>
      </x:c>
      <x:c r="R6" s="13" t="n">
        <x:v>2016</x:v>
      </x:c>
      <x:c r="S6" s="9" t="str">
        <x:v>{"bei":"14.72","le":"0.28","lle":"1.89","sei":"10.05"}</x:v>
      </x:c>
      <x:c r="T6" s="9" t="str">
        <x:v>null</x:v>
      </x:c>
      <x:c r="U6" s="9" t="str">
        <x:v>CHEMBL3913062</x:v>
      </x:c>
      <x:c r="V6" s="9" t="str">
        <x:v>null</x:v>
      </x:c>
      <x:c r="W6" s="9" t="str">
        <x:v>CHEMBL3913062</x:v>
      </x:c>
      <x:c r="X6" s="11" t="n">
        <x:v>6.03</x:v>
      </x:c>
      <x:c r="Y6" s="13" t="n">
        <x:v>0</x:v>
      </x:c>
      <x:c r="Z6" s="9" t="str">
        <x:v>http://www.openphacts.org/units/Nanomolar</x:v>
      </x:c>
      <x:c r="AA6" s="9" t="str">
        <x:v>2796777</x:v>
      </x:c>
      <x:c r="AB6" s="9" t="str">
        <x:v>=</x:v>
      </x:c>
      <x:c r="AC6" s="9" t="str">
        <x:v>1</x:v>
      </x:c>
      <x:c r="AD6" s="13" t="n">
        <x:v>1</x:v>
      </x:c>
      <x:c r="AE6" s="9" t="str">
        <x:v>=</x:v>
      </x:c>
      <x:c r="AF6" s="9" t="str">
        <x:v>null</x:v>
      </x:c>
      <x:c r="AG6" s="9" t="str">
        <x:v>Ki</x:v>
      </x:c>
      <x:c r="AH6" s="9" t="str">
        <x:v>nM</x:v>
      </x:c>
      <x:c r="AI6" s="9" t="str">
        <x:v>null</x:v>
      </x:c>
      <x:c r="AJ6" s="11" t="n">
        <x:v>933.25</x:v>
      </x:c>
      <x:c r="AK6" s="9" t="str">
        <x:v>CHEMBL217</x:v>
      </x:c>
      <x:c r="AL6" s="9" t="str">
        <x:v>Homo sapiens</x:v>
      </x:c>
      <x:c r="AM6" s="9" t="str">
        <x:v>D(2) dopamine receptor</x:v>
      </x:c>
      <x:c r="AN6" s="9" t="str">
        <x:v>9606</x:v>
      </x:c>
      <x:c r="AO6" s="9" t="str">
        <x:v>null</x:v>
      </x:c>
      <x:c r="AP6" s="9" t="str">
        <x:v>null</x:v>
      </x:c>
      <x:c r="AQ6" s="9" t="str">
        <x:v>pKi</x:v>
      </x:c>
      <x:c r="AR6" s="9" t="str">
        <x:v>null</x:v>
      </x:c>
      <x:c r="AS6" s="9" t="str">
        <x:v>UO_0000065</x:v>
      </x:c>
      <x:c r="AT6" s="9" t="str">
        <x:v>null</x:v>
      </x:c>
      <x:c r="AU6" s="9" t="str">
        <x:v>6.03</x:v>
      </x:c>
      <x:c r="AV6" s="11" t="n">
        <x:v>0.00501</x:v>
      </x:c>
      <x:c r="AW6" s="9" t="str">
        <x:v>exclude</x:v>
      </x:c>
      <x:c r="AX6" s="9" t="str">
        <x:v>multiple_source_records_for_full_parent_identity</x:v>
      </x:c>
      <x:c r="AY6" s="11" t="n">
        <x:v>933.2543007969905</x:v>
      </x:c>
      <x:c r="AZ6" s="9" t="str">
        <x:v>source_reported_pKi</x:v>
      </x:c>
      <x:c r="BA6" s="11" t="n">
        <x:v>6.03</x:v>
      </x:c>
      <x:c r="BB6" s="9" t="str">
        <x:v>5f5097a99ca905252039130a837b04ee6e5d355221accf984a4fc65edd2b7538</x:v>
      </x:c>
      <x:c r="BC6" s="9" t="str">
        <x:v>AAPXNHMQKBDDJN-GCJKJVERSA-N</x:v>
      </x:c>
      <x:c r="BD6" s="9" t="str">
        <x:v>Cc1ncoc1-c1nnc(SCCCN2CC[C@]3(C[C@@H]3c3ccccc3)C2)n1C</x:v>
      </x:c>
      <x:c r="BE6" s="9" t="str">
        <x:v>Cc1ncoc1-c1nnc(SCCCN2CCC3(CC3c3ccccc3)C2)n1C</x:v>
      </x:c>
      <x:c r="BF6" s="9" t="str">
        <x:v>Cc1ncoc1-c1nnc(SCCCN2CC[C@]3(C[C@@H]3c3ccccc3)C2)n1C</x:v>
      </x:c>
      <x:c r="BG6" s="12" t="n">
        <x:v>0.0000020014016577363236</x:v>
      </x:c>
      <x:c r="BH6" s="11" t="n">
        <x:v>6.030002001401658</x:v>
      </x:c>
      <x:c r="BI6" s="9" t="str">
        <x:v>c1ccc(C2CC23CCN(CCCSc2nnc(-c4cnco4)[nH]2)C3)cc1</x:v>
      </x:c>
      <x:c r="BJ6" s="13" t="n">
        <x:v>2</x:v>
      </x:c>
      <x:c r="BK6" s="11" t="n">
        <x:v>933.25</x:v>
      </x:c>
      <x:c r="BL6" s="12" t="n">
        <x:v>-0.004300796990492017</x:v>
      </x:c>
      <x:c r="BM6" s="9" t="str">
        <x:v>false</x:v>
      </x:c>
    </x:row>
    <x:row r="7" ht="51" customHeight="1">
      <x:c r="A7" s="14" t="str">
        <x:v>null</x:v>
      </x:c>
      <x:c r="B7" s="14" t="str">
        <x:v>null</x:v>
      </x:c>
      <x:c r="C7" s="14" t="str">
        <x:v>16670138</x:v>
      </x:c>
      <x:c r="D7" s="14" t="str">
        <x:v>[]</x:v>
      </x:c>
      <x:c r="E7" s="14" t="str">
        <x:v>CHEMBL3855278</x:v>
      </x:c>
      <x:c r="F7" s="14" t="str">
        <x:v>Displacement of [3H]-spiperone from human dopamine D2 receptor expressed in CHO-K1 cell membranes coexpressing Galpha16 after 120 mins by liquid scintillation counting</x:v>
      </x:c>
      <x:c r="G7" s="14" t="str">
        <x:v>B</x:v>
      </x:c>
      <x:c r="H7" s="14" t="str">
        <x:v>null</x:v>
      </x:c>
      <x:c r="I7" s="14" t="str">
        <x:v>null</x:v>
      </x:c>
      <x:c r="J7" s="14" t="str">
        <x:v>BAO_0000192</x:v>
      </x:c>
      <x:c r="K7" s="14" t="str">
        <x:v>BAO_0000219</x:v>
      </x:c>
      <x:c r="L7" s="14" t="str">
        <x:v>cell-based format</x:v>
      </x:c>
      <x:c r="M7" s="14" t="str">
        <x:v>Cc1ncoc1-c1nnc(SCCCN2CC[C@]3(C[C@@H]3c3ccccc3)C2)n1C</x:v>
      </x:c>
      <x:c r="N7" s="14" t="str">
        <x:v>null</x:v>
      </x:c>
      <x:c r="O7" s="14" t="str">
        <x:v>null</x:v>
      </x:c>
      <x:c r="P7" s="14" t="str">
        <x:v>CHEMBL3853329</x:v>
      </x:c>
      <x:c r="Q7" s="14" t="str">
        <x:v>J Med Chem</x:v>
      </x:c>
      <x:c r="R7" s="17" t="n">
        <x:v>2016</x:v>
      </x:c>
      <x:c r="S7" s="14" t="str">
        <x:v>{"bei":"11.65","le":"0.22","lle":"0.63","sei":"7.95"}</x:v>
      </x:c>
      <x:c r="T7" s="14" t="str">
        <x:v>null</x:v>
      </x:c>
      <x:c r="U7" s="14" t="str">
        <x:v>CHEMBL3913062</x:v>
      </x:c>
      <x:c r="V7" s="14" t="str">
        <x:v>null</x:v>
      </x:c>
      <x:c r="W7" s="14" t="str">
        <x:v>CHEMBL3913062</x:v>
      </x:c>
      <x:c r="X7" s="15" t="n">
        <x:v>4.77</x:v>
      </x:c>
      <x:c r="Y7" s="17" t="n">
        <x:v>0</x:v>
      </x:c>
      <x:c r="Z7" s="14" t="str">
        <x:v>http://www.openphacts.org/units/Nanomolar</x:v>
      </x:c>
      <x:c r="AA7" s="14" t="str">
        <x:v>2796778</x:v>
      </x:c>
      <x:c r="AB7" s="14" t="str">
        <x:v>=</x:v>
      </x:c>
      <x:c r="AC7" s="14" t="str">
        <x:v>1</x:v>
      </x:c>
      <x:c r="AD7" s="17" t="n">
        <x:v>1</x:v>
      </x:c>
      <x:c r="AE7" s="14" t="str">
        <x:v>=</x:v>
      </x:c>
      <x:c r="AF7" s="14" t="str">
        <x:v>null</x:v>
      </x:c>
      <x:c r="AG7" s="14" t="str">
        <x:v>Ki</x:v>
      </x:c>
      <x:c r="AH7" s="14" t="str">
        <x:v>nM</x:v>
      </x:c>
      <x:c r="AI7" s="14" t="str">
        <x:v>null</x:v>
      </x:c>
      <x:c r="AJ7" s="15" t="n">
        <x:v>16982.44</x:v>
      </x:c>
      <x:c r="AK7" s="14" t="str">
        <x:v>CHEMBL217</x:v>
      </x:c>
      <x:c r="AL7" s="14" t="str">
        <x:v>Homo sapiens</x:v>
      </x:c>
      <x:c r="AM7" s="14" t="str">
        <x:v>D(2) dopamine receptor</x:v>
      </x:c>
      <x:c r="AN7" s="14" t="str">
        <x:v>9606</x:v>
      </x:c>
      <x:c r="AO7" s="14" t="str">
        <x:v>null</x:v>
      </x:c>
      <x:c r="AP7" s="14" t="str">
        <x:v>null</x:v>
      </x:c>
      <x:c r="AQ7" s="14" t="str">
        <x:v>pKi</x:v>
      </x:c>
      <x:c r="AR7" s="14" t="str">
        <x:v>null</x:v>
      </x:c>
      <x:c r="AS7" s="14" t="str">
        <x:v>UO_0000065</x:v>
      </x:c>
      <x:c r="AT7" s="14" t="str">
        <x:v>null</x:v>
      </x:c>
      <x:c r="AU7" s="14" t="str">
        <x:v>4.77</x:v>
      </x:c>
      <x:c r="AV7" s="15" t="n">
        <x:v>0.01698243652461746</x:v>
      </x:c>
      <x:c r="AW7" s="14" t="str">
        <x:v>exclude</x:v>
      </x:c>
      <x:c r="AX7" s="14" t="str">
        <x:v>multiple_source_records_for_full_parent_identity</x:v>
      </x:c>
      <x:c r="AY7" s="15" t="n">
        <x:v>16982.43652461746</x:v>
      </x:c>
      <x:c r="AZ7" s="14" t="str">
        <x:v>source_reported_pKi</x:v>
      </x:c>
      <x:c r="BA7" s="15" t="n">
        <x:v>4.77</x:v>
      </x:c>
      <x:c r="BB7" s="14" t="str">
        <x:v>5f5097a99ca905252039130a837b04ee6e5d355221accf984a4fc65edd2b7538</x:v>
      </x:c>
      <x:c r="BC7" s="14" t="str">
        <x:v>AAPXNHMQKBDDJN-GCJKJVERSA-N</x:v>
      </x:c>
      <x:c r="BD7" s="14" t="str">
        <x:v>Cc1ncoc1-c1nnc(SCCCN2CC[C@]3(C[C@@H]3c3ccccc3)C2)n1C</x:v>
      </x:c>
      <x:c r="BE7" s="14" t="str">
        <x:v>Cc1ncoc1-c1nnc(SCCCN2CCC3(CC3c3ccccc3)C2)n1C</x:v>
      </x:c>
      <x:c r="BF7" s="14" t="str">
        <x:v>Cc1ncoc1-c1nnc(SCCCN2CC[C@]3(C[C@@H]3c3ccccc3)C2)n1C</x:v>
      </x:c>
      <x:c r="BG7" s="16" t="n">
        <x:v>-8.88764875028869e-8</x:v>
      </x:c>
      <x:c r="BH7" s="15" t="n">
        <x:v>4.769999911123512</x:v>
      </x:c>
      <x:c r="BI7" s="14" t="str">
        <x:v>c1ccc(C2CC23CCN(CCCSc2nnc(-c4cnco4)[nH]2)C3)cc1</x:v>
      </x:c>
      <x:c r="BJ7" s="17" t="n">
        <x:v>2</x:v>
      </x:c>
      <x:c r="BK7" s="15" t="n">
        <x:v>16982.44</x:v>
      </x:c>
      <x:c r="BL7" s="16" t="n">
        <x:v>0.0034753825384541415</x:v>
      </x:c>
      <x:c r="BM7" s="14" t="str">
        <x:v>false</x:v>
      </x:c>
    </x:row>
    <x:row r="8" ht="51" customHeight="1">
      <x:c r="A8" s="9" t="str">
        <x:v>null</x:v>
      </x:c>
      <x:c r="B8" s="9" t="str">
        <x:v>null</x:v>
      </x:c>
      <x:c r="C8" s="9" t="str">
        <x:v>16670139</x:v>
      </x:c>
      <x:c r="D8" s="9" t="str">
        <x:v>[]</x:v>
      </x:c>
      <x:c r="E8" s="9" t="str">
        <x:v>CHEMBL3855278</x:v>
      </x:c>
      <x:c r="F8" s="9" t="str">
        <x:v>Displacement of [3H]-spiperone from human dopamine D2 receptor expressed in CHO-K1 cell membranes coexpressing Galpha16 after 120 mins by liquid scintillation counting</x:v>
      </x:c>
      <x:c r="G8" s="9" t="str">
        <x:v>B</x:v>
      </x:c>
      <x:c r="H8" s="9" t="str">
        <x:v>null</x:v>
      </x:c>
      <x:c r="I8" s="9" t="str">
        <x:v>null</x:v>
      </x:c>
      <x:c r="J8" s="9" t="str">
        <x:v>BAO_0000192</x:v>
      </x:c>
      <x:c r="K8" s="9" t="str">
        <x:v>BAO_0000219</x:v>
      </x:c>
      <x:c r="L8" s="9" t="str">
        <x:v>cell-based format</x:v>
      </x:c>
      <x:c r="M8" s="9" t="str">
        <x:v>Cc1ncoc1-c1nnc(SCCCN2CC[C@@]3(C[C@H]3c3ccccc3)C2)n1C</x:v>
      </x:c>
      <x:c r="N8" s="9" t="str">
        <x:v>null</x:v>
      </x:c>
      <x:c r="O8" s="9" t="str">
        <x:v>null</x:v>
      </x:c>
      <x:c r="P8" s="9" t="str">
        <x:v>CHEMBL3853329</x:v>
      </x:c>
      <x:c r="Q8" s="9" t="str">
        <x:v>J Med Chem</x:v>
      </x:c>
      <x:c r="R8" s="13" t="n">
        <x:v>2016</x:v>
      </x:c>
      <x:c r="S8" s="9" t="str">
        <x:v>{"bei":"14.89","le":"0.29","lle":"1.96","sei":"10.17"}</x:v>
      </x:c>
      <x:c r="T8" s="9" t="str">
        <x:v>null</x:v>
      </x:c>
      <x:c r="U8" s="9" t="str">
        <x:v>CHEMBL3983937</x:v>
      </x:c>
      <x:c r="V8" s="9" t="str">
        <x:v>null</x:v>
      </x:c>
      <x:c r="W8" s="9" t="str">
        <x:v>CHEMBL3983937</x:v>
      </x:c>
      <x:c r="X8" s="11" t="n">
        <x:v>6.1</x:v>
      </x:c>
      <x:c r="Y8" s="13" t="n">
        <x:v>0</x:v>
      </x:c>
      <x:c r="Z8" s="9" t="str">
        <x:v>http://www.openphacts.org/units/Nanomolar</x:v>
      </x:c>
      <x:c r="AA8" s="9" t="str">
        <x:v>2796779</x:v>
      </x:c>
      <x:c r="AB8" s="9" t="str">
        <x:v>=</x:v>
      </x:c>
      <x:c r="AC8" s="9" t="str">
        <x:v>1</x:v>
      </x:c>
      <x:c r="AD8" s="13" t="n">
        <x:v>1</x:v>
      </x:c>
      <x:c r="AE8" s="9" t="str">
        <x:v>=</x:v>
      </x:c>
      <x:c r="AF8" s="9" t="str">
        <x:v>null</x:v>
      </x:c>
      <x:c r="AG8" s="9" t="str">
        <x:v>Ki</x:v>
      </x:c>
      <x:c r="AH8" s="9" t="str">
        <x:v>nM</x:v>
      </x:c>
      <x:c r="AI8" s="9" t="str">
        <x:v>null</x:v>
      </x:c>
      <x:c r="AJ8" s="11" t="n">
        <x:v>794.33</x:v>
      </x:c>
      <x:c r="AK8" s="9" t="str">
        <x:v>CHEMBL217</x:v>
      </x:c>
      <x:c r="AL8" s="9" t="str">
        <x:v>Homo sapiens</x:v>
      </x:c>
      <x:c r="AM8" s="9" t="str">
        <x:v>D(2) dopamine receptor</x:v>
      </x:c>
      <x:c r="AN8" s="9" t="str">
        <x:v>9606</x:v>
      </x:c>
      <x:c r="AO8" s="9" t="str">
        <x:v>null</x:v>
      </x:c>
      <x:c r="AP8" s="9" t="str">
        <x:v>null</x:v>
      </x:c>
      <x:c r="AQ8" s="9" t="str">
        <x:v>pKi</x:v>
      </x:c>
      <x:c r="AR8" s="9" t="str">
        <x:v>null</x:v>
      </x:c>
      <x:c r="AS8" s="9" t="str">
        <x:v>UO_0000065</x:v>
      </x:c>
      <x:c r="AT8" s="9" t="str">
        <x:v>null</x:v>
      </x:c>
      <x:c r="AU8" s="9" t="str">
        <x:v>6.1</x:v>
      </x:c>
      <x:c r="AV8" s="11" t="n">
        <x:v>0.00501</x:v>
      </x:c>
      <x:c r="AW8" s="9" t="str">
        <x:v>include</x:v>
      </x:c>
      <x:c r="AX8" s="9" t="str"/>
      <x:c r="AY8" s="11" t="n">
        <x:v>794.3282347242822</x:v>
      </x:c>
      <x:c r="AZ8" s="9" t="str">
        <x:v>source_reported_pKi</x:v>
      </x:c>
      <x:c r="BA8" s="11" t="n">
        <x:v>6.1</x:v>
      </x:c>
      <x:c r="BB8" s="9" t="str">
        <x:v>5f5097a99ca905252039130a837b04ee6e5d355221accf984a4fc65edd2b7538</x:v>
      </x:c>
      <x:c r="BC8" s="9" t="str">
        <x:v>AAPXNHMQKBDDJN-PGRDOPGGSA-N</x:v>
      </x:c>
      <x:c r="BD8" s="9" t="str">
        <x:v>Cc1ncoc1-c1nnc(SCCCN2CC[C@@]3(C[C@H]3c3ccccc3)C2)n1C</x:v>
      </x:c>
      <x:c r="BE8" s="9" t="str">
        <x:v>Cc1ncoc1-c1nnc(SCCCN2CCC3(CC3c3ccccc3)C2)n1C</x:v>
      </x:c>
      <x:c r="BF8" s="9" t="str">
        <x:v>Cc1ncoc1-c1nnc(SCCCN2CC[C@@]3(C[C@H]3c3ccccc3)C2)n1C</x:v>
      </x:c>
      <x:c r="BG8" s="12" t="n">
        <x:v>-9.651534691457186e-7</x:v>
      </x:c>
      <x:c r="BH8" s="11" t="n">
        <x:v>6.0999990348465305</x:v>
      </x:c>
      <x:c r="BI8" s="9" t="str">
        <x:v>c1ccc(C2CC23CCN(CCCSc2nnc(-c4cnco4)[nH]2)C3)cc1</x:v>
      </x:c>
      <x:c r="BJ8" s="13" t="n">
        <x:v>1</x:v>
      </x:c>
      <x:c r="BK8" s="11" t="n">
        <x:v>794.33</x:v>
      </x:c>
      <x:c r="BL8" s="12" t="n">
        <x:v>0.001765275717843906</x:v>
      </x:c>
      <x:c r="BM8" s="9" t="str">
        <x:v>false</x:v>
      </x:c>
    </x:row>
    <x:row r="9" ht="51" customHeight="1">
      <x:c r="A9" s="14" t="str">
        <x:v>null</x:v>
      </x:c>
      <x:c r="B9" s="14" t="str">
        <x:v>null</x:v>
      </x:c>
      <x:c r="C9" s="14" t="str">
        <x:v>16670140</x:v>
      </x:c>
      <x:c r="D9" s="14" t="str">
        <x:v>[]</x:v>
      </x:c>
      <x:c r="E9" s="14" t="str">
        <x:v>CHEMBL3855278</x:v>
      </x:c>
      <x:c r="F9" s="14" t="str">
        <x:v>Displacement of [3H]-spiperone from human dopamine D2 receptor expressed in CHO-K1 cell membranes coexpressing Galpha16 after 120 mins by liquid scintillation counting</x:v>
      </x:c>
      <x:c r="G9" s="14" t="str">
        <x:v>B</x:v>
      </x:c>
      <x:c r="H9" s="14" t="str">
        <x:v>null</x:v>
      </x:c>
      <x:c r="I9" s="14" t="str">
        <x:v>null</x:v>
      </x:c>
      <x:c r="J9" s="14" t="str">
        <x:v>BAO_0000192</x:v>
      </x:c>
      <x:c r="K9" s="14" t="str">
        <x:v>BAO_0000219</x:v>
      </x:c>
      <x:c r="L9" s="14" t="str">
        <x:v>cell-based format</x:v>
      </x:c>
      <x:c r="M9" s="14" t="str">
        <x:v>Cc1ncoc1-c1nnc(SCCCN2CC[C@]3(C[C@H]3c3ccc(C(F)(F)F)cc3)C2)n1C</x:v>
      </x:c>
      <x:c r="N9" s="14" t="str">
        <x:v>null</x:v>
      </x:c>
      <x:c r="O9" s="14" t="str">
        <x:v>null</x:v>
      </x:c>
      <x:c r="P9" s="14" t="str">
        <x:v>CHEMBL3853329</x:v>
      </x:c>
      <x:c r="Q9" s="14" t="str">
        <x:v>J Med Chem</x:v>
      </x:c>
      <x:c r="R9" s="17" t="n">
        <x:v>2016</x:v>
      </x:c>
      <x:c r="S9" s="14" t="str">
        <x:v>{"bei":"12.94","le":"0.26","lle":"1.02","sei":"10.30"}</x:v>
      </x:c>
      <x:c r="T9" s="14" t="str">
        <x:v>null</x:v>
      </x:c>
      <x:c r="U9" s="14" t="str">
        <x:v>CHEMBL3913607</x:v>
      </x:c>
      <x:c r="V9" s="14" t="str">
        <x:v>null</x:v>
      </x:c>
      <x:c r="W9" s="14" t="str">
        <x:v>CHEMBL3913607</x:v>
      </x:c>
      <x:c r="X9" s="15" t="n">
        <x:v>6.18</x:v>
      </x:c>
      <x:c r="Y9" s="17" t="n">
        <x:v>0</x:v>
      </x:c>
      <x:c r="Z9" s="14" t="str">
        <x:v>http://www.openphacts.org/units/Nanomolar</x:v>
      </x:c>
      <x:c r="AA9" s="14" t="str">
        <x:v>2796780</x:v>
      </x:c>
      <x:c r="AB9" s="14" t="str">
        <x:v>=</x:v>
      </x:c>
      <x:c r="AC9" s="14" t="str">
        <x:v>1</x:v>
      </x:c>
      <x:c r="AD9" s="17" t="n">
        <x:v>1</x:v>
      </x:c>
      <x:c r="AE9" s="14" t="str">
        <x:v>=</x:v>
      </x:c>
      <x:c r="AF9" s="14" t="str">
        <x:v>null</x:v>
      </x:c>
      <x:c r="AG9" s="14" t="str">
        <x:v>Ki</x:v>
      </x:c>
      <x:c r="AH9" s="14" t="str">
        <x:v>nM</x:v>
      </x:c>
      <x:c r="AI9" s="14" t="str">
        <x:v>null</x:v>
      </x:c>
      <x:c r="AJ9" s="15" t="n">
        <x:v>660.69</x:v>
      </x:c>
      <x:c r="AK9" s="14" t="str">
        <x:v>CHEMBL217</x:v>
      </x:c>
      <x:c r="AL9" s="14" t="str">
        <x:v>Homo sapiens</x:v>
      </x:c>
      <x:c r="AM9" s="14" t="str">
        <x:v>D(2) dopamine receptor</x:v>
      </x:c>
      <x:c r="AN9" s="14" t="str">
        <x:v>9606</x:v>
      </x:c>
      <x:c r="AO9" s="14" t="str">
        <x:v>null</x:v>
      </x:c>
      <x:c r="AP9" s="14" t="str">
        <x:v>null</x:v>
      </x:c>
      <x:c r="AQ9" s="14" t="str">
        <x:v>pKi</x:v>
      </x:c>
      <x:c r="AR9" s="14" t="str">
        <x:v>null</x:v>
      </x:c>
      <x:c r="AS9" s="14" t="str">
        <x:v>UO_0000065</x:v>
      </x:c>
      <x:c r="AT9" s="14" t="str">
        <x:v>null</x:v>
      </x:c>
      <x:c r="AU9" s="14" t="str">
        <x:v>6.18</x:v>
      </x:c>
      <x:c r="AV9" s="15" t="n">
        <x:v>0.00501</x:v>
      </x:c>
      <x:c r="AW9" s="14" t="str">
        <x:v>exclude</x:v>
      </x:c>
      <x:c r="AX9" s="14" t="str">
        <x:v>multiple_source_records_for_full_parent_identity</x:v>
      </x:c>
      <x:c r="AY9" s="15" t="n">
        <x:v>660.6934480075964</x:v>
      </x:c>
      <x:c r="AZ9" s="14" t="str">
        <x:v>source_reported_pKi</x:v>
      </x:c>
      <x:c r="BA9" s="15" t="n">
        <x:v>6.18</x:v>
      </x:c>
      <x:c r="BB9" s="14" t="str">
        <x:v>e3a2c9462c470a8faba1f80f0df7030c9cff4d7388916c3868b2ea7a12536c64</x:v>
      </x:c>
      <x:c r="BC9" s="14" t="str">
        <x:v>MNAFRWGRFIBAQX-AVRDEDQJSA-N</x:v>
      </x:c>
      <x:c r="BD9" s="14" t="str">
        <x:v>Cc1ncoc1-c1nnc(SCCCN2CC[C@]3(C[C@H]3c3ccc(C(F)(F)F)cc3)C2)n1C</x:v>
      </x:c>
      <x:c r="BE9" s="14" t="str">
        <x:v>Cc1ncoc1-c1nnc(SCCCN2CCC3(CC3c3ccc(C(F)(F)F)cc3)C2)n1C</x:v>
      </x:c>
      <x:c r="BF9" s="14" t="str">
        <x:v>Cc1ncoc1-c1nnc(SCCCN2CC[C@]3(C[C@H]3c3ccc(C(F)(F)F)cc3)C2)n1C</x:v>
      </x:c>
      <x:c r="BG9" s="16" t="n">
        <x:v>0.000002266489223856638</x:v>
      </x:c>
      <x:c r="BH9" s="15" t="n">
        <x:v>6.180002266489224</x:v>
      </x:c>
      <x:c r="BI9" s="14" t="str">
        <x:v>c1ccc(C2CC23CCN(CCCSc2nnc(-c4cnco4)[nH]2)C3)cc1</x:v>
      </x:c>
      <x:c r="BJ9" s="17" t="n">
        <x:v>2</x:v>
      </x:c>
      <x:c r="BK9" s="15" t="n">
        <x:v>660.69</x:v>
      </x:c>
      <x:c r="BL9" s="16" t="n">
        <x:v>-0.0034480075963756462</x:v>
      </x:c>
      <x:c r="BM9" s="14" t="str">
        <x:v>false</x:v>
      </x:c>
    </x:row>
    <x:row r="10" ht="51" customHeight="1">
      <x:c r="A10" s="9" t="str">
        <x:v>null</x:v>
      </x:c>
      <x:c r="B10" s="9" t="str">
        <x:v>null</x:v>
      </x:c>
      <x:c r="C10" s="9" t="str">
        <x:v>16670141</x:v>
      </x:c>
      <x:c r="D10" s="9" t="str">
        <x:v>[]</x:v>
      </x:c>
      <x:c r="E10" s="9" t="str">
        <x:v>CHEMBL3855278</x:v>
      </x:c>
      <x:c r="F10" s="9" t="str">
        <x:v>Displacement of [3H]-spiperone from human dopamine D2 receptor expressed in CHO-K1 cell membranes coexpressing Galpha16 after 120 mins by liquid scintillation counting</x:v>
      </x:c>
      <x:c r="G10" s="9" t="str">
        <x:v>B</x:v>
      </x:c>
      <x:c r="H10" s="9" t="str">
        <x:v>null</x:v>
      </x:c>
      <x:c r="I10" s="9" t="str">
        <x:v>null</x:v>
      </x:c>
      <x:c r="J10" s="9" t="str">
        <x:v>BAO_0000192</x:v>
      </x:c>
      <x:c r="K10" s="9" t="str">
        <x:v>BAO_0000219</x:v>
      </x:c>
      <x:c r="L10" s="9" t="str">
        <x:v>cell-based format</x:v>
      </x:c>
      <x:c r="M10" s="9" t="str">
        <x:v>Cc1ncoc1-c1nnc(SCCCN2CC[C@]3(C[C@H]3c3ccc(C(F)(F)F)cc3)C2)n1C</x:v>
      </x:c>
      <x:c r="N10" s="9" t="str">
        <x:v>null</x:v>
      </x:c>
      <x:c r="O10" s="9" t="str">
        <x:v>null</x:v>
      </x:c>
      <x:c r="P10" s="9" t="str">
        <x:v>CHEMBL3853329</x:v>
      </x:c>
      <x:c r="Q10" s="9" t="str">
        <x:v>J Med Chem</x:v>
      </x:c>
      <x:c r="R10" s="13" t="n">
        <x:v>2016</x:v>
      </x:c>
      <x:c r="S10" s="9" t="str">
        <x:v>{"bei":"12.67","le":"0.25","lle":"0.89","sei":"10.09"}</x:v>
      </x:c>
      <x:c r="T10" s="9" t="str">
        <x:v>null</x:v>
      </x:c>
      <x:c r="U10" s="9" t="str">
        <x:v>CHEMBL3913607</x:v>
      </x:c>
      <x:c r="V10" s="9" t="str">
        <x:v>null</x:v>
      </x:c>
      <x:c r="W10" s="9" t="str">
        <x:v>CHEMBL3913607</x:v>
      </x:c>
      <x:c r="X10" s="11" t="n">
        <x:v>6.05</x:v>
      </x:c>
      <x:c r="Y10" s="13" t="n">
        <x:v>0</x:v>
      </x:c>
      <x:c r="Z10" s="9" t="str">
        <x:v>http://www.openphacts.org/units/Nanomolar</x:v>
      </x:c>
      <x:c r="AA10" s="9" t="str">
        <x:v>2796781</x:v>
      </x:c>
      <x:c r="AB10" s="9" t="str">
        <x:v>=</x:v>
      </x:c>
      <x:c r="AC10" s="9" t="str">
        <x:v>1</x:v>
      </x:c>
      <x:c r="AD10" s="13" t="n">
        <x:v>1</x:v>
      </x:c>
      <x:c r="AE10" s="9" t="str">
        <x:v>=</x:v>
      </x:c>
      <x:c r="AF10" s="9" t="str">
        <x:v>null</x:v>
      </x:c>
      <x:c r="AG10" s="9" t="str">
        <x:v>Ki</x:v>
      </x:c>
      <x:c r="AH10" s="9" t="str">
        <x:v>nM</x:v>
      </x:c>
      <x:c r="AI10" s="9" t="str">
        <x:v>null</x:v>
      </x:c>
      <x:c r="AJ10" s="11" t="n">
        <x:v>891.25</x:v>
      </x:c>
      <x:c r="AK10" s="9" t="str">
        <x:v>CHEMBL217</x:v>
      </x:c>
      <x:c r="AL10" s="9" t="str">
        <x:v>Homo sapiens</x:v>
      </x:c>
      <x:c r="AM10" s="9" t="str">
        <x:v>D(2) dopamine receptor</x:v>
      </x:c>
      <x:c r="AN10" s="9" t="str">
        <x:v>9606</x:v>
      </x:c>
      <x:c r="AO10" s="9" t="str">
        <x:v>null</x:v>
      </x:c>
      <x:c r="AP10" s="9" t="str">
        <x:v>null</x:v>
      </x:c>
      <x:c r="AQ10" s="9" t="str">
        <x:v>pKi</x:v>
      </x:c>
      <x:c r="AR10" s="9" t="str">
        <x:v>null</x:v>
      </x:c>
      <x:c r="AS10" s="9" t="str">
        <x:v>UO_0000065</x:v>
      </x:c>
      <x:c r="AT10" s="9" t="str">
        <x:v>null</x:v>
      </x:c>
      <x:c r="AU10" s="9" t="str">
        <x:v>6.05</x:v>
      </x:c>
      <x:c r="AV10" s="11" t="n">
        <x:v>0.00501</x:v>
      </x:c>
      <x:c r="AW10" s="9" t="str">
        <x:v>exclude</x:v>
      </x:c>
      <x:c r="AX10" s="9" t="str">
        <x:v>multiple_source_records_for_full_parent_identity</x:v>
      </x:c>
      <x:c r="AY10" s="11" t="n">
        <x:v>891.2509381337459</x:v>
      </x:c>
      <x:c r="AZ10" s="9" t="str">
        <x:v>source_reported_pKi</x:v>
      </x:c>
      <x:c r="BA10" s="11" t="n">
        <x:v>6.05</x:v>
      </x:c>
      <x:c r="BB10" s="9" t="str">
        <x:v>e3a2c9462c470a8faba1f80f0df7030c9cff4d7388916c3868b2ea7a12536c64</x:v>
      </x:c>
      <x:c r="BC10" s="9" t="str">
        <x:v>MNAFRWGRFIBAQX-AVRDEDQJSA-N</x:v>
      </x:c>
      <x:c r="BD10" s="9" t="str">
        <x:v>Cc1ncoc1-c1nnc(SCCCN2CC[C@]3(C[C@H]3c3ccc(C(F)(F)F)cc3)C2)n1C</x:v>
      </x:c>
      <x:c r="BE10" s="9" t="str">
        <x:v>Cc1ncoc1-c1nnc(SCCCN2CCC3(CC3c3ccc(C(F)(F)F)cc3)C2)n1C</x:v>
      </x:c>
      <x:c r="BF10" s="9" t="str">
        <x:v>Cc1ncoc1-c1nnc(SCCCN2CC[C@]3(C[C@H]3c3ccc(C(F)(F)F)cc3)C2)n1C</x:v>
      </x:c>
      <x:c r="BG10" s="12" t="n">
        <x:v>4.571400777919621e-7</x:v>
      </x:c>
      <x:c r="BH10" s="11" t="n">
        <x:v>6.050000457140078</x:v>
      </x:c>
      <x:c r="BI10" s="9" t="str">
        <x:v>c1ccc(C2CC23CCN(CCCSc2nnc(-c4cnco4)[nH]2)C3)cc1</x:v>
      </x:c>
      <x:c r="BJ10" s="13" t="n">
        <x:v>2</x:v>
      </x:c>
      <x:c r="BK10" s="11" t="n">
        <x:v>891.25</x:v>
      </x:c>
      <x:c r="BL10" s="12" t="n">
        <x:v>-0.0009381337458762573</x:v>
      </x:c>
      <x:c r="BM10" s="9" t="str">
        <x:v>false</x:v>
      </x:c>
    </x:row>
    <x:row r="11" ht="51" customHeight="1">
      <x:c r="A11" s="14" t="str">
        <x:v>null</x:v>
      </x:c>
      <x:c r="B11" s="14" t="str">
        <x:v>null</x:v>
      </x:c>
      <x:c r="C11" s="14" t="str">
        <x:v>16670142</x:v>
      </x:c>
      <x:c r="D11" s="14" t="str">
        <x:v>[]</x:v>
      </x:c>
      <x:c r="E11" s="14" t="str">
        <x:v>CHEMBL3855278</x:v>
      </x:c>
      <x:c r="F11" s="14" t="str">
        <x:v>Displacement of [3H]-spiperone from human dopamine D2 receptor expressed in CHO-K1 cell membranes coexpressing Galpha16 after 120 mins by liquid scintillation counting</x:v>
      </x:c>
      <x:c r="G11" s="14" t="str">
        <x:v>B</x:v>
      </x:c>
      <x:c r="H11" s="14" t="str">
        <x:v>null</x:v>
      </x:c>
      <x:c r="I11" s="14" t="str">
        <x:v>null</x:v>
      </x:c>
      <x:c r="J11" s="14" t="str">
        <x:v>BAO_0000192</x:v>
      </x:c>
      <x:c r="K11" s="14" t="str">
        <x:v>BAO_0000219</x:v>
      </x:c>
      <x:c r="L11" s="14" t="str">
        <x:v>cell-based format</x:v>
      </x:c>
      <x:c r="M11" s="14" t="str">
        <x:v>Cc1ncoc1-c1nnc(SCCCN2CC[C@@]3(C[C@@H]3c3ccc(C(F)(F)F)cc3)C2)n1C</x:v>
      </x:c>
      <x:c r="N11" s="14" t="str">
        <x:v>null</x:v>
      </x:c>
      <x:c r="O11" s="14" t="str">
        <x:v>null</x:v>
      </x:c>
      <x:c r="P11" s="14" t="str">
        <x:v>CHEMBL3853329</x:v>
      </x:c>
      <x:c r="Q11" s="14" t="str">
        <x:v>J Med Chem</x:v>
      </x:c>
      <x:c r="R11" s="17" t="n">
        <x:v>2016</x:v>
      </x:c>
      <x:c r="S11" s="14" t="str">
        <x:v>{"bei":"12.98","le":"0.26","lle":"1.04","sei":"10.34"}</x:v>
      </x:c>
      <x:c r="T11" s="14" t="str">
        <x:v>null</x:v>
      </x:c>
      <x:c r="U11" s="14" t="str">
        <x:v>CHEMBL3944642</x:v>
      </x:c>
      <x:c r="V11" s="14" t="str">
        <x:v>null</x:v>
      </x:c>
      <x:c r="W11" s="14" t="str">
        <x:v>CHEMBL3944642</x:v>
      </x:c>
      <x:c r="X11" s="15" t="n">
        <x:v>6.2</x:v>
      </x:c>
      <x:c r="Y11" s="17" t="n">
        <x:v>0</x:v>
      </x:c>
      <x:c r="Z11" s="14" t="str">
        <x:v>http://www.openphacts.org/units/Nanomolar</x:v>
      </x:c>
      <x:c r="AA11" s="14" t="str">
        <x:v>2796782</x:v>
      </x:c>
      <x:c r="AB11" s="14" t="str">
        <x:v>=</x:v>
      </x:c>
      <x:c r="AC11" s="14" t="str">
        <x:v>1</x:v>
      </x:c>
      <x:c r="AD11" s="17" t="n">
        <x:v>1</x:v>
      </x:c>
      <x:c r="AE11" s="14" t="str">
        <x:v>=</x:v>
      </x:c>
      <x:c r="AF11" s="14" t="str">
        <x:v>null</x:v>
      </x:c>
      <x:c r="AG11" s="14" t="str">
        <x:v>Ki</x:v>
      </x:c>
      <x:c r="AH11" s="14" t="str">
        <x:v>nM</x:v>
      </x:c>
      <x:c r="AI11" s="14" t="str">
        <x:v>null</x:v>
      </x:c>
      <x:c r="AJ11" s="15" t="n">
        <x:v>630.96</x:v>
      </x:c>
      <x:c r="AK11" s="14" t="str">
        <x:v>CHEMBL217</x:v>
      </x:c>
      <x:c r="AL11" s="14" t="str">
        <x:v>Homo sapiens</x:v>
      </x:c>
      <x:c r="AM11" s="14" t="str">
        <x:v>D(2) dopamine receptor</x:v>
      </x:c>
      <x:c r="AN11" s="14" t="str">
        <x:v>9606</x:v>
      </x:c>
      <x:c r="AO11" s="14" t="str">
        <x:v>null</x:v>
      </x:c>
      <x:c r="AP11" s="14" t="str">
        <x:v>null</x:v>
      </x:c>
      <x:c r="AQ11" s="14" t="str">
        <x:v>pKi</x:v>
      </x:c>
      <x:c r="AR11" s="14" t="str">
        <x:v>null</x:v>
      </x:c>
      <x:c r="AS11" s="14" t="str">
        <x:v>UO_0000065</x:v>
      </x:c>
      <x:c r="AT11" s="14" t="str">
        <x:v>null</x:v>
      </x:c>
      <x:c r="AU11" s="14" t="str">
        <x:v>6.2</x:v>
      </x:c>
      <x:c r="AV11" s="15" t="n">
        <x:v>0.00501</x:v>
      </x:c>
      <x:c r="AW11" s="14" t="str">
        <x:v>include</x:v>
      </x:c>
      <x:c r="AX11" s="14" t="str"/>
      <x:c r="AY11" s="15" t="n">
        <x:v>630.957344480193</x:v>
      </x:c>
      <x:c r="AZ11" s="14" t="str">
        <x:v>source_reported_pKi</x:v>
      </x:c>
      <x:c r="BA11" s="15" t="n">
        <x:v>6.2</x:v>
      </x:c>
      <x:c r="BB11" s="14" t="str">
        <x:v>e3a2c9462c470a8faba1f80f0df7030c9cff4d7388916c3868b2ea7a12536c64</x:v>
      </x:c>
      <x:c r="BC11" s="14" t="str">
        <x:v>MNAFRWGRFIBAQX-XMSQKQJNSA-N</x:v>
      </x:c>
      <x:c r="BD11" s="14" t="str">
        <x:v>Cc1ncoc1-c1nnc(SCCCN2CC[C@@]3(C[C@@H]3c3ccc(C(F)(F)F)cc3)C2)n1C</x:v>
      </x:c>
      <x:c r="BE11" s="14" t="str">
        <x:v>Cc1ncoc1-c1nnc(SCCCN2CCC3(CC3c3ccc(C(F)(F)F)cc3)C2)n1C</x:v>
      </x:c>
      <x:c r="BF11" s="14" t="str">
        <x:v>Cc1ncoc1-c1nnc(SCCCN2CC[C@@]3(C[C@@H]3c3ccc(C(F)(F)F)cc3)C2)n1C</x:v>
      </x:c>
      <x:c r="BG11" s="16" t="n">
        <x:v>-0.0000018278179689801277</x:v>
      </x:c>
      <x:c r="BH11" s="15" t="n">
        <x:v>6.199998172182031</x:v>
      </x:c>
      <x:c r="BI11" s="14" t="str">
        <x:v>c1ccc(C2CC23CCN(CCCSc2nnc(-c4cnco4)[nH]2)C3)cc1</x:v>
      </x:c>
      <x:c r="BJ11" s="17" t="n">
        <x:v>1</x:v>
      </x:c>
      <x:c r="BK11" s="15" t="n">
        <x:v>630.96</x:v>
      </x:c>
      <x:c r="BL11" s="16" t="n">
        <x:v>0.002655519807035489</x:v>
      </x:c>
      <x:c r="BM11" s="14" t="str">
        <x:v>false</x:v>
      </x:c>
    </x:row>
    <x:row r="12" ht="51" customHeight="1">
      <x:c r="A12" s="9" t="str">
        <x:v>null</x:v>
      </x:c>
      <x:c r="B12" s="9" t="str">
        <x:v>null</x:v>
      </x:c>
      <x:c r="C12" s="9" t="str">
        <x:v>16670143</x:v>
      </x:c>
      <x:c r="D12" s="9" t="str">
        <x:v>[]</x:v>
      </x:c>
      <x:c r="E12" s="9" t="str">
        <x:v>CHEMBL3855278</x:v>
      </x:c>
      <x:c r="F12" s="9" t="str">
        <x:v>Displacement of [3H]-spiperone from human dopamine D2 receptor expressed in CHO-K1 cell membranes coexpressing Galpha16 after 120 mins by liquid scintillation counting</x:v>
      </x:c>
      <x:c r="G12" s="9" t="str">
        <x:v>B</x:v>
      </x:c>
      <x:c r="H12" s="9" t="str">
        <x:v>null</x:v>
      </x:c>
      <x:c r="I12" s="9" t="str">
        <x:v>null</x:v>
      </x:c>
      <x:c r="J12" s="9" t="str">
        <x:v>BAO_0000192</x:v>
      </x:c>
      <x:c r="K12" s="9" t="str">
        <x:v>BAO_0000219</x:v>
      </x:c>
      <x:c r="L12" s="9" t="str">
        <x:v>cell-based format</x:v>
      </x:c>
      <x:c r="M12" s="9" t="str">
        <x:v>Cc1ncoc1-c1nnc(SCCCN2CC[C@]3(C[C@@H]3c3ccc(C(F)(F)F)cc3)C2)n1C</x:v>
      </x:c>
      <x:c r="N12" s="9" t="str">
        <x:v>null</x:v>
      </x:c>
      <x:c r="O12" s="9" t="str">
        <x:v>null</x:v>
      </x:c>
      <x:c r="P12" s="9" t="str">
        <x:v>CHEMBL3853329</x:v>
      </x:c>
      <x:c r="Q12" s="9" t="str">
        <x:v>J Med Chem</x:v>
      </x:c>
      <x:c r="R12" s="13" t="n">
        <x:v>2016</x:v>
      </x:c>
      <x:c r="S12" s="9" t="str">
        <x:v>{"bei":"13.67","le":"0.27","lle":"1.37","sei":"10.89"}</x:v>
      </x:c>
      <x:c r="T12" s="9" t="str">
        <x:v>null</x:v>
      </x:c>
      <x:c r="U12" s="9" t="str">
        <x:v>CHEMBL3935692</x:v>
      </x:c>
      <x:c r="V12" s="9" t="str">
        <x:v>null</x:v>
      </x:c>
      <x:c r="W12" s="9" t="str">
        <x:v>CHEMBL3935692</x:v>
      </x:c>
      <x:c r="X12" s="11" t="n">
        <x:v>6.53</x:v>
      </x:c>
      <x:c r="Y12" s="13" t="n">
        <x:v>0</x:v>
      </x:c>
      <x:c r="Z12" s="9" t="str">
        <x:v>http://www.openphacts.org/units/Nanomolar</x:v>
      </x:c>
      <x:c r="AA12" s="9" t="str">
        <x:v>2796783</x:v>
      </x:c>
      <x:c r="AB12" s="9" t="str">
        <x:v>=</x:v>
      </x:c>
      <x:c r="AC12" s="9" t="str">
        <x:v>1</x:v>
      </x:c>
      <x:c r="AD12" s="13" t="n">
        <x:v>1</x:v>
      </x:c>
      <x:c r="AE12" s="9" t="str">
        <x:v>=</x:v>
      </x:c>
      <x:c r="AF12" s="9" t="str">
        <x:v>null</x:v>
      </x:c>
      <x:c r="AG12" s="9" t="str">
        <x:v>Ki</x:v>
      </x:c>
      <x:c r="AH12" s="9" t="str">
        <x:v>nM</x:v>
      </x:c>
      <x:c r="AI12" s="9" t="str">
        <x:v>null</x:v>
      </x:c>
      <x:c r="AJ12" s="11" t="n">
        <x:v>295.12</x:v>
      </x:c>
      <x:c r="AK12" s="9" t="str">
        <x:v>CHEMBL217</x:v>
      </x:c>
      <x:c r="AL12" s="9" t="str">
        <x:v>Homo sapiens</x:v>
      </x:c>
      <x:c r="AM12" s="9" t="str">
        <x:v>D(2) dopamine receptor</x:v>
      </x:c>
      <x:c r="AN12" s="9" t="str">
        <x:v>9606</x:v>
      </x:c>
      <x:c r="AO12" s="9" t="str">
        <x:v>null</x:v>
      </x:c>
      <x:c r="AP12" s="9" t="str">
        <x:v>null</x:v>
      </x:c>
      <x:c r="AQ12" s="9" t="str">
        <x:v>pKi</x:v>
      </x:c>
      <x:c r="AR12" s="9" t="str">
        <x:v>null</x:v>
      </x:c>
      <x:c r="AS12" s="9" t="str">
        <x:v>UO_0000065</x:v>
      </x:c>
      <x:c r="AT12" s="9" t="str">
        <x:v>null</x:v>
      </x:c>
      <x:c r="AU12" s="9" t="str">
        <x:v>6.53</x:v>
      </x:c>
      <x:c r="AV12" s="11" t="n">
        <x:v>0.00501</x:v>
      </x:c>
      <x:c r="AW12" s="9" t="str">
        <x:v>exclude</x:v>
      </x:c>
      <x:c r="AX12" s="9" t="str">
        <x:v>multiple_source_records_for_full_parent_identity</x:v>
      </x:c>
      <x:c r="AY12" s="11" t="n">
        <x:v>295.1209226666384</x:v>
      </x:c>
      <x:c r="AZ12" s="9" t="str">
        <x:v>source_reported_pKi</x:v>
      </x:c>
      <x:c r="BA12" s="11" t="n">
        <x:v>6.53</x:v>
      </x:c>
      <x:c r="BB12" s="9" t="str">
        <x:v>e3a2c9462c470a8faba1f80f0df7030c9cff4d7388916c3868b2ea7a12536c64</x:v>
      </x:c>
      <x:c r="BC12" s="9" t="str">
        <x:v>MNAFRWGRFIBAQX-GCJKJVERSA-N</x:v>
      </x:c>
      <x:c r="BD12" s="9" t="str">
        <x:v>Cc1ncoc1-c1nnc(SCCCN2CC[C@]3(C[C@@H]3c3ccc(C(F)(F)F)cc3)C2)n1C</x:v>
      </x:c>
      <x:c r="BE12" s="9" t="str">
        <x:v>Cc1ncoc1-c1nnc(SCCCN2CCC3(CC3c3ccc(C(F)(F)F)cc3)C2)n1C</x:v>
      </x:c>
      <x:c r="BF12" s="9" t="str">
        <x:v>Cc1ncoc1-c1nnc(SCCCN2CC[C@]3(C[C@@H]3c3ccc(C(F)(F)F)cc3)C2)n1C</x:v>
      </x:c>
      <x:c r="BG12" s="12" t="n">
        <x:v>0.0000013577812527643118</x:v>
      </x:c>
      <x:c r="BH12" s="11" t="n">
        <x:v>6.530001357781253</x:v>
      </x:c>
      <x:c r="BI12" s="9" t="str">
        <x:v>c1ccc(C2CC23CCN(CCCSc2nnc(-c4cnco4)[nH]2)C3)cc1</x:v>
      </x:c>
      <x:c r="BJ12" s="13" t="n">
        <x:v>2</x:v>
      </x:c>
      <x:c r="BK12" s="11" t="n">
        <x:v>295.12</x:v>
      </x:c>
      <x:c r="BL12" s="12" t="n">
        <x:v>-0.0009226666384165583</x:v>
      </x:c>
      <x:c r="BM12" s="9" t="str">
        <x:v>false</x:v>
      </x:c>
    </x:row>
    <x:row r="13" ht="51" customHeight="1">
      <x:c r="A13" s="14" t="str">
        <x:v>null</x:v>
      </x:c>
      <x:c r="B13" s="14" t="str">
        <x:v>null</x:v>
      </x:c>
      <x:c r="C13" s="14" t="str">
        <x:v>16670144</x:v>
      </x:c>
      <x:c r="D13" s="14" t="str">
        <x:v>[]</x:v>
      </x:c>
      <x:c r="E13" s="14" t="str">
        <x:v>CHEMBL3855278</x:v>
      </x:c>
      <x:c r="F13" s="14" t="str">
        <x:v>Displacement of [3H]-spiperone from human dopamine D2 receptor expressed in CHO-K1 cell membranes coexpressing Galpha16 after 120 mins by liquid scintillation counting</x:v>
      </x:c>
      <x:c r="G13" s="14" t="str">
        <x:v>B</x:v>
      </x:c>
      <x:c r="H13" s="14" t="str">
        <x:v>null</x:v>
      </x:c>
      <x:c r="I13" s="14" t="str">
        <x:v>null</x:v>
      </x:c>
      <x:c r="J13" s="14" t="str">
        <x:v>BAO_0000192</x:v>
      </x:c>
      <x:c r="K13" s="14" t="str">
        <x:v>BAO_0000219</x:v>
      </x:c>
      <x:c r="L13" s="14" t="str">
        <x:v>cell-based format</x:v>
      </x:c>
      <x:c r="M13" s="14" t="str">
        <x:v>Cc1ncoc1-c1nnc(SCCCN2CC[C@]3(C[C@@H]3c3ccc(C(F)(F)F)cc3)C2)n1C</x:v>
      </x:c>
      <x:c r="N13" s="14" t="str">
        <x:v>null</x:v>
      </x:c>
      <x:c r="O13" s="14" t="str">
        <x:v>null</x:v>
      </x:c>
      <x:c r="P13" s="14" t="str">
        <x:v>CHEMBL3853329</x:v>
      </x:c>
      <x:c r="Q13" s="14" t="str">
        <x:v>J Med Chem</x:v>
      </x:c>
      <x:c r="R13" s="17" t="n">
        <x:v>2016</x:v>
      </x:c>
      <x:c r="S13" s="14" t="str">
        <x:v>{"bei":"13.97","le":"0.28","lle":"1.51","sei":"11.12"}</x:v>
      </x:c>
      <x:c r="T13" s="14" t="str">
        <x:v>null</x:v>
      </x:c>
      <x:c r="U13" s="14" t="str">
        <x:v>CHEMBL3935692</x:v>
      </x:c>
      <x:c r="V13" s="14" t="str">
        <x:v>null</x:v>
      </x:c>
      <x:c r="W13" s="14" t="str">
        <x:v>CHEMBL3935692</x:v>
      </x:c>
      <x:c r="X13" s="15" t="n">
        <x:v>6.67</x:v>
      </x:c>
      <x:c r="Y13" s="17" t="n">
        <x:v>0</x:v>
      </x:c>
      <x:c r="Z13" s="14" t="str">
        <x:v>http://www.openphacts.org/units/Nanomolar</x:v>
      </x:c>
      <x:c r="AA13" s="14" t="str">
        <x:v>2796784</x:v>
      </x:c>
      <x:c r="AB13" s="14" t="str">
        <x:v>=</x:v>
      </x:c>
      <x:c r="AC13" s="14" t="str">
        <x:v>1</x:v>
      </x:c>
      <x:c r="AD13" s="17" t="n">
        <x:v>1</x:v>
      </x:c>
      <x:c r="AE13" s="14" t="str">
        <x:v>=</x:v>
      </x:c>
      <x:c r="AF13" s="14" t="str">
        <x:v>null</x:v>
      </x:c>
      <x:c r="AG13" s="14" t="str">
        <x:v>Ki</x:v>
      </x:c>
      <x:c r="AH13" s="14" t="str">
        <x:v>nM</x:v>
      </x:c>
      <x:c r="AI13" s="14" t="str">
        <x:v>null</x:v>
      </x:c>
      <x:c r="AJ13" s="15" t="n">
        <x:v>213.8</x:v>
      </x:c>
      <x:c r="AK13" s="14" t="str">
        <x:v>CHEMBL217</x:v>
      </x:c>
      <x:c r="AL13" s="14" t="str">
        <x:v>Homo sapiens</x:v>
      </x:c>
      <x:c r="AM13" s="14" t="str">
        <x:v>D(2) dopamine receptor</x:v>
      </x:c>
      <x:c r="AN13" s="14" t="str">
        <x:v>9606</x:v>
      </x:c>
      <x:c r="AO13" s="14" t="str">
        <x:v>null</x:v>
      </x:c>
      <x:c r="AP13" s="14" t="str">
        <x:v>null</x:v>
      </x:c>
      <x:c r="AQ13" s="14" t="str">
        <x:v>pKi</x:v>
      </x:c>
      <x:c r="AR13" s="14" t="str">
        <x:v>null</x:v>
      </x:c>
      <x:c r="AS13" s="14" t="str">
        <x:v>UO_0000065</x:v>
      </x:c>
      <x:c r="AT13" s="14" t="str">
        <x:v>null</x:v>
      </x:c>
      <x:c r="AU13" s="14" t="str">
        <x:v>6.67</x:v>
      </x:c>
      <x:c r="AV13" s="15" t="n">
        <x:v>0.00501</x:v>
      </x:c>
      <x:c r="AW13" s="14" t="str">
        <x:v>exclude</x:v>
      </x:c>
      <x:c r="AX13" s="14" t="str">
        <x:v>multiple_source_records_for_full_parent_identity</x:v>
      </x:c>
      <x:c r="AY13" s="15" t="n">
        <x:v>213.79620895022325</x:v>
      </x:c>
      <x:c r="AZ13" s="14" t="str">
        <x:v>source_reported_pKi</x:v>
      </x:c>
      <x:c r="BA13" s="15" t="n">
        <x:v>6.67</x:v>
      </x:c>
      <x:c r="BB13" s="14" t="str">
        <x:v>e3a2c9462c470a8faba1f80f0df7030c9cff4d7388916c3868b2ea7a12536c64</x:v>
      </x:c>
      <x:c r="BC13" s="14" t="str">
        <x:v>MNAFRWGRFIBAQX-GCJKJVERSA-N</x:v>
      </x:c>
      <x:c r="BD13" s="14" t="str">
        <x:v>Cc1ncoc1-c1nnc(SCCCN2CC[C@]3(C[C@@H]3c3ccc(C(F)(F)F)cc3)C2)n1C</x:v>
      </x:c>
      <x:c r="BE13" s="14" t="str">
        <x:v>Cc1ncoc1-c1nnc(SCCCN2CCC3(CC3c3ccc(C(F)(F)F)cc3)C2)n1C</x:v>
      </x:c>
      <x:c r="BF13" s="14" t="str">
        <x:v>Cc1ncoc1-c1nnc(SCCCN2CC[C@]3(C[C@@H]3c3ccc(C(F)(F)F)cc3)C2)n1C</x:v>
      </x:c>
      <x:c r="BG13" s="16" t="n">
        <x:v>-0.000007700872759031085</x:v>
      </x:c>
      <x:c r="BH13" s="15" t="n">
        <x:v>6.669992299127241</x:v>
      </x:c>
      <x:c r="BI13" s="14" t="str">
        <x:v>c1ccc(C2CC23CCN(CCCSc2nnc(-c4cnco4)[nH]2)C3)cc1</x:v>
      </x:c>
      <x:c r="BJ13" s="17" t="n">
        <x:v>2</x:v>
      </x:c>
      <x:c r="BK13" s="15" t="n">
        <x:v>213.8</x:v>
      </x:c>
      <x:c r="BL13" s="16" t="n">
        <x:v>0.003791049776765476</x:v>
      </x:c>
      <x:c r="BM13" s="14" t="str">
        <x:v>false</x:v>
      </x:c>
    </x:row>
    <x:row r="14" ht="66" customHeight="1">
      <x:c r="A14" s="9" t="str">
        <x:v>null</x:v>
      </x:c>
      <x:c r="B14" s="9" t="str">
        <x:v>Not Determined</x:v>
      </x:c>
      <x:c r="C14" s="9" t="str">
        <x:v>16670145</x:v>
      </x:c>
      <x:c r="D14" s="9" t="str">
        <x:v>[]</x:v>
      </x:c>
      <x:c r="E14" s="9" t="str">
        <x:v>CHEMBL3855278</x:v>
      </x:c>
      <x:c r="F14" s="9" t="str">
        <x:v>Displacement of [3H]-spiperone from human dopamine D2 receptor expressed in CHO-K1 cell membranes coexpressing Galpha16 after 120 mins by liquid scintillation counting</x:v>
      </x:c>
      <x:c r="G14" s="9" t="str">
        <x:v>B</x:v>
      </x:c>
      <x:c r="H14" s="9" t="str">
        <x:v>null</x:v>
      </x:c>
      <x:c r="I14" s="9" t="str">
        <x:v>null</x:v>
      </x:c>
      <x:c r="J14" s="9" t="str">
        <x:v>BAO_0000179</x:v>
      </x:c>
      <x:c r="K14" s="9" t="str">
        <x:v>BAO_0000219</x:v>
      </x:c>
      <x:c r="L14" s="9" t="str">
        <x:v>cell-based format</x:v>
      </x:c>
      <x:c r="M14" s="9" t="str">
        <x:v>Cc1ncoc1-c1nnc(SCCCN2CC[C@@]3(C[C@H]3c3ccc(C(F)(F)F)cc3)C2)n1C</x:v>
      </x:c>
      <x:c r="N14" s="9" t="str">
        <x:v>null</x:v>
      </x:c>
      <x:c r="O14" s="9" t="str">
        <x:v>null</x:v>
      </x:c>
      <x:c r="P14" s="9" t="str">
        <x:v>CHEMBL3853329</x:v>
      </x:c>
      <x:c r="Q14" s="9" t="str">
        <x:v>J Med Chem</x:v>
      </x:c>
      <x:c r="R14" s="13" t="n">
        <x:v>2016</x:v>
      </x:c>
      <x:c r="S14" s="9" t="str">
        <x:v>null</x:v>
      </x:c>
      <x:c r="T14" s="9" t="str">
        <x:v>null</x:v>
      </x:c>
      <x:c r="U14" s="9" t="str">
        <x:v>CHEMBL3911264</x:v>
      </x:c>
      <x:c r="V14" s="9" t="str">
        <x:v>null</x:v>
      </x:c>
      <x:c r="W14" s="9" t="str">
        <x:v>CHEMBL3911264</x:v>
      </x:c>
      <x:c r="X14" s="11" t="str">
        <x:v>null</x:v>
      </x:c>
      <x:c r="Y14" s="13" t="n">
        <x:v>0</x:v>
      </x:c>
      <x:c r="Z14" s="9" t="str">
        <x:v>null</x:v>
      </x:c>
      <x:c r="AA14" s="9" t="str">
        <x:v>2796785</x:v>
      </x:c>
      <x:c r="AB14" s="9" t="str">
        <x:v>null</x:v>
      </x:c>
      <x:c r="AC14" s="9" t="str">
        <x:v>1</x:v>
      </x:c>
      <x:c r="AD14" s="13" t="n">
        <x:v>0</x:v>
      </x:c>
      <x:c r="AE14" s="9" t="str">
        <x:v>null</x:v>
      </x:c>
      <x:c r="AF14" s="9" t="str">
        <x:v>null</x:v>
      </x:c>
      <x:c r="AG14" s="9" t="str">
        <x:v>pKi</x:v>
      </x:c>
      <x:c r="AH14" s="9" t="str">
        <x:v>null</x:v>
      </x:c>
      <x:c r="AI14" s="9" t="str">
        <x:v>null</x:v>
      </x:c>
      <x:c r="AJ14" s="11" t="str">
        <x:v>null</x:v>
      </x:c>
      <x:c r="AK14" s="9" t="str">
        <x:v>CHEMBL217</x:v>
      </x:c>
      <x:c r="AL14" s="9" t="str">
        <x:v>Homo sapiens</x:v>
      </x:c>
      <x:c r="AM14" s="9" t="str">
        <x:v>D(2) dopamine receptor</x:v>
      </x:c>
      <x:c r="AN14" s="9" t="str">
        <x:v>9606</x:v>
      </x:c>
      <x:c r="AO14" s="9" t="str">
        <x:v>null</x:v>
      </x:c>
      <x:c r="AP14" s="9" t="str">
        <x:v>null</x:v>
      </x:c>
      <x:c r="AQ14" s="9" t="str">
        <x:v>pKi</x:v>
      </x:c>
      <x:c r="AR14" s="9" t="str">
        <x:v>null</x:v>
      </x:c>
      <x:c r="AS14" s="9" t="str">
        <x:v>null</x:v>
      </x:c>
      <x:c r="AT14" s="9" t="str">
        <x:v>null</x:v>
      </x:c>
      <x:c r="AU14" s="9" t="str">
        <x:v>null</x:v>
      </x:c>
      <x:c r="AV14" s="11" t="str">
        <x:v>null</x:v>
      </x:c>
      <x:c r="AW14" s="9" t="str">
        <x:v>exclude</x:v>
      </x:c>
      <x:c r="AX14" s="9" t="str">
        <x:v>nonexact_or_missing_original_relation;nonexact_or_missing_standard_relation;standard_endpoint_or_unit_not_Ki_nM;activity_comment_requires_review;missing_or_nonfinite_original_value;missing_or_nonpositive_standard_value</x:v>
      </x:c>
      <x:c r="AY14" s="11" t="str">
        <x:v>null</x:v>
      </x:c>
      <x:c r="AZ14" s="9" t="str">
        <x:v>null</x:v>
      </x:c>
      <x:c r="BA14" s="11" t="str">
        <x:v>null</x:v>
      </x:c>
      <x:c r="BB14" s="9" t="str">
        <x:v>e3a2c9462c470a8faba1f80f0df7030c9cff4d7388916c3868b2ea7a12536c64</x:v>
      </x:c>
      <x:c r="BC14" s="9" t="str">
        <x:v>MNAFRWGRFIBAQX-PGRDOPGGSA-N</x:v>
      </x:c>
      <x:c r="BD14" s="9" t="str">
        <x:v>Cc1ncoc1-c1nnc(SCCCN2CC[C@@]3(C[C@H]3c3ccc(C(F)(F)F)cc3)C2)n1C</x:v>
      </x:c>
      <x:c r="BE14" s="9" t="str">
        <x:v>Cc1ncoc1-c1nnc(SCCCN2CCC3(CC3c3ccc(C(F)(F)F)cc3)C2)n1C</x:v>
      </x:c>
      <x:c r="BF14" s="9" t="str">
        <x:v>Cc1ncoc1-c1nnc(SCCCN2CC[C@@]3(C[C@H]3c3ccc(C(F)(F)F)cc3)C2)n1C</x:v>
      </x:c>
      <x:c r="BG14" s="12" t="str">
        <x:v>null</x:v>
      </x:c>
      <x:c r="BH14" s="11" t="str">
        <x:v>null</x:v>
      </x:c>
      <x:c r="BI14" s="9" t="str">
        <x:v>c1ccc(C2CC23CCN(CCCSc2nnc(-c4cnco4)[nH]2)C3)cc1</x:v>
      </x:c>
      <x:c r="BJ14" s="13" t="n">
        <x:v>1</x:v>
      </x:c>
      <x:c r="BK14" s="11" t="str">
        <x:v>null</x:v>
      </x:c>
      <x:c r="BL14" s="12" t="str">
        <x:v>null</x:v>
      </x:c>
      <x:c r="BM14" s="9" t="str">
        <x:v>false</x:v>
      </x:c>
    </x:row>
    <x:row r="15" ht="51" customHeight="1">
      <x:c r="A15" s="14" t="str">
        <x:v>null</x:v>
      </x:c>
      <x:c r="B15" s="14" t="str">
        <x:v>null</x:v>
      </x:c>
      <x:c r="C15" s="14" t="str">
        <x:v>16670146</x:v>
      </x:c>
      <x:c r="D15" s="14" t="str">
        <x:v>[]</x:v>
      </x:c>
      <x:c r="E15" s="14" t="str">
        <x:v>CHEMBL3855278</x:v>
      </x:c>
      <x:c r="F15" s="14" t="str">
        <x:v>Displacement of [3H]-spiperone from human dopamine D2 receptor expressed in CHO-K1 cell membranes coexpressing Galpha16 after 120 mins by liquid scintillation counting</x:v>
      </x:c>
      <x:c r="G15" s="14" t="str">
        <x:v>B</x:v>
      </x:c>
      <x:c r="H15" s="14" t="str">
        <x:v>null</x:v>
      </x:c>
      <x:c r="I15" s="14" t="str">
        <x:v>null</x:v>
      </x:c>
      <x:c r="J15" s="14" t="str">
        <x:v>BAO_0000192</x:v>
      </x:c>
      <x:c r="K15" s="14" t="str">
        <x:v>BAO_0000219</x:v>
      </x:c>
      <x:c r="L15" s="14" t="str">
        <x:v>cell-based format</x:v>
      </x:c>
      <x:c r="M15" s="14" t="str">
        <x:v>Cc1ncoc1-c1nnc(SCCN2CC[C@]3(C[C@H]3c3ccc(C(F)(F)F)cc3)C2)n1C</x:v>
      </x:c>
      <x:c r="N15" s="14" t="str">
        <x:v>null</x:v>
      </x:c>
      <x:c r="O15" s="14" t="str">
        <x:v>null</x:v>
      </x:c>
      <x:c r="P15" s="14" t="str">
        <x:v>CHEMBL3853329</x:v>
      </x:c>
      <x:c r="Q15" s="14" t="str">
        <x:v>J Med Chem</x:v>
      </x:c>
      <x:c r="R15" s="17" t="n">
        <x:v>2016</x:v>
      </x:c>
      <x:c r="S15" s="14" t="str">
        <x:v>{"bei":"13.57","le":"0.27","lle":"1.52","sei":"10.49"}</x:v>
      </x:c>
      <x:c r="T15" s="14" t="str">
        <x:v>null</x:v>
      </x:c>
      <x:c r="U15" s="14" t="str">
        <x:v>CHEMBL3954568</x:v>
      </x:c>
      <x:c r="V15" s="14" t="str">
        <x:v>null</x:v>
      </x:c>
      <x:c r="W15" s="14" t="str">
        <x:v>CHEMBL3954568</x:v>
      </x:c>
      <x:c r="X15" s="15" t="n">
        <x:v>6.29</x:v>
      </x:c>
      <x:c r="Y15" s="17" t="n">
        <x:v>0</x:v>
      </x:c>
      <x:c r="Z15" s="14" t="str">
        <x:v>http://www.openphacts.org/units/Nanomolar</x:v>
      </x:c>
      <x:c r="AA15" s="14" t="str">
        <x:v>2796786</x:v>
      </x:c>
      <x:c r="AB15" s="14" t="str">
        <x:v>=</x:v>
      </x:c>
      <x:c r="AC15" s="14" t="str">
        <x:v>1</x:v>
      </x:c>
      <x:c r="AD15" s="17" t="n">
        <x:v>1</x:v>
      </x:c>
      <x:c r="AE15" s="14" t="str">
        <x:v>=</x:v>
      </x:c>
      <x:c r="AF15" s="14" t="str">
        <x:v>null</x:v>
      </x:c>
      <x:c r="AG15" s="14" t="str">
        <x:v>Ki</x:v>
      </x:c>
      <x:c r="AH15" s="14" t="str">
        <x:v>nM</x:v>
      </x:c>
      <x:c r="AI15" s="14" t="str">
        <x:v>null</x:v>
      </x:c>
      <x:c r="AJ15" s="15" t="n">
        <x:v>512.86</x:v>
      </x:c>
      <x:c r="AK15" s="14" t="str">
        <x:v>CHEMBL217</x:v>
      </x:c>
      <x:c r="AL15" s="14" t="str">
        <x:v>Homo sapiens</x:v>
      </x:c>
      <x:c r="AM15" s="14" t="str">
        <x:v>D(2) dopamine receptor</x:v>
      </x:c>
      <x:c r="AN15" s="14" t="str">
        <x:v>9606</x:v>
      </x:c>
      <x:c r="AO15" s="14" t="str">
        <x:v>null</x:v>
      </x:c>
      <x:c r="AP15" s="14" t="str">
        <x:v>null</x:v>
      </x:c>
      <x:c r="AQ15" s="14" t="str">
        <x:v>pKi</x:v>
      </x:c>
      <x:c r="AR15" s="14" t="str">
        <x:v>null</x:v>
      </x:c>
      <x:c r="AS15" s="14" t="str">
        <x:v>UO_0000065</x:v>
      </x:c>
      <x:c r="AT15" s="14" t="str">
        <x:v>null</x:v>
      </x:c>
      <x:c r="AU15" s="14" t="str">
        <x:v>6.29</x:v>
      </x:c>
      <x:c r="AV15" s="15" t="n">
        <x:v>0.00501</x:v>
      </x:c>
      <x:c r="AW15" s="14" t="str">
        <x:v>exclude</x:v>
      </x:c>
      <x:c r="AX15" s="14" t="str">
        <x:v>multiple_source_records_for_full_parent_identity</x:v>
      </x:c>
      <x:c r="AY15" s="15" t="n">
        <x:v>512.8613839913648</x:v>
      </x:c>
      <x:c r="AZ15" s="14" t="str">
        <x:v>source_reported_pKi</x:v>
      </x:c>
      <x:c r="BA15" s="15" t="n">
        <x:v>6.29</x:v>
      </x:c>
      <x:c r="BB15" s="14" t="str">
        <x:v>bbd50de4d018dd84edd1132e29be4a6288b1afe6b09fdc0525ff1bd782c8c725</x:v>
      </x:c>
      <x:c r="BC15" s="14" t="str">
        <x:v>KLQDZSYTMPJBBU-UWJYYQICSA-N</x:v>
      </x:c>
      <x:c r="BD15" s="14" t="str">
        <x:v>Cc1ncoc1-c1nnc(SCCN2CC[C@]3(C[C@H]3c3ccc(C(F)(F)F)cc3)C2)n1C</x:v>
      </x:c>
      <x:c r="BE15" s="14" t="str">
        <x:v>Cc1ncoc1-c1nnc(SCCN2CCC3(CC3c3ccc(C(F)(F)F)cc3)C2)n1C</x:v>
      </x:c>
      <x:c r="BF15" s="14" t="str">
        <x:v>Cc1ncoc1-c1nnc(SCCN2CC[C@]3(C[C@H]3c3ccc(C(F)(F)F)cc3)C2)n1C</x:v>
      </x:c>
      <x:c r="BG15" s="16" t="n">
        <x:v>0.0000011719748114202844</x:v>
      </x:c>
      <x:c r="BH15" s="15" t="n">
        <x:v>6.2900011719748115</x:v>
      </x:c>
      <x:c r="BI15" s="14" t="str">
        <x:v>c1ccc(C2CC23CCN(CCSc2nnc(-c4cnco4)[nH]2)C3)cc1</x:v>
      </x:c>
      <x:c r="BJ15" s="17" t="n">
        <x:v>2</x:v>
      </x:c>
      <x:c r="BK15" s="15" t="n">
        <x:v>512.86</x:v>
      </x:c>
      <x:c r="BL15" s="16" t="n">
        <x:v>-0.001383991364832582</x:v>
      </x:c>
      <x:c r="BM15" s="14" t="str">
        <x:v>false</x:v>
      </x:c>
    </x:row>
    <x:row r="16" ht="51" customHeight="1">
      <x:c r="A16" s="9" t="str">
        <x:v>null</x:v>
      </x:c>
      <x:c r="B16" s="9" t="str">
        <x:v>null</x:v>
      </x:c>
      <x:c r="C16" s="9" t="str">
        <x:v>16670147</x:v>
      </x:c>
      <x:c r="D16" s="9" t="str">
        <x:v>[]</x:v>
      </x:c>
      <x:c r="E16" s="9" t="str">
        <x:v>CHEMBL3855278</x:v>
      </x:c>
      <x:c r="F16" s="9" t="str">
        <x:v>Displacement of [3H]-spiperone from human dopamine D2 receptor expressed in CHO-K1 cell membranes coexpressing Galpha16 after 120 mins by liquid scintillation counting</x:v>
      </x:c>
      <x:c r="G16" s="9" t="str">
        <x:v>B</x:v>
      </x:c>
      <x:c r="H16" s="9" t="str">
        <x:v>null</x:v>
      </x:c>
      <x:c r="I16" s="9" t="str">
        <x:v>null</x:v>
      </x:c>
      <x:c r="J16" s="9" t="str">
        <x:v>BAO_0000192</x:v>
      </x:c>
      <x:c r="K16" s="9" t="str">
        <x:v>BAO_0000219</x:v>
      </x:c>
      <x:c r="L16" s="9" t="str">
        <x:v>cell-based format</x:v>
      </x:c>
      <x:c r="M16" s="9" t="str">
        <x:v>Cc1ncoc1-c1nnc(SCCN2CC[C@]3(C[C@H]3c3ccc(C(F)(F)F)cc3)C2)n1C</x:v>
      </x:c>
      <x:c r="N16" s="9" t="str">
        <x:v>null</x:v>
      </x:c>
      <x:c r="O16" s="9" t="str">
        <x:v>null</x:v>
      </x:c>
      <x:c r="P16" s="9" t="str">
        <x:v>CHEMBL3853329</x:v>
      </x:c>
      <x:c r="Q16" s="9" t="str">
        <x:v>J Med Chem</x:v>
      </x:c>
      <x:c r="R16" s="13" t="n">
        <x:v>2016</x:v>
      </x:c>
      <x:c r="S16" s="9" t="str">
        <x:v>{"bei":"12.97","le":"0.26","lle":"1.24","sei":"10.02"}</x:v>
      </x:c>
      <x:c r="T16" s="9" t="str">
        <x:v>null</x:v>
      </x:c>
      <x:c r="U16" s="9" t="str">
        <x:v>CHEMBL3954568</x:v>
      </x:c>
      <x:c r="V16" s="9" t="str">
        <x:v>null</x:v>
      </x:c>
      <x:c r="W16" s="9" t="str">
        <x:v>CHEMBL3954568</x:v>
      </x:c>
      <x:c r="X16" s="11" t="n">
        <x:v>6.01</x:v>
      </x:c>
      <x:c r="Y16" s="13" t="n">
        <x:v>0</x:v>
      </x:c>
      <x:c r="Z16" s="9" t="str">
        <x:v>http://www.openphacts.org/units/Nanomolar</x:v>
      </x:c>
      <x:c r="AA16" s="9" t="str">
        <x:v>2796787</x:v>
      </x:c>
      <x:c r="AB16" s="9" t="str">
        <x:v>=</x:v>
      </x:c>
      <x:c r="AC16" s="9" t="str">
        <x:v>1</x:v>
      </x:c>
      <x:c r="AD16" s="13" t="n">
        <x:v>1</x:v>
      </x:c>
      <x:c r="AE16" s="9" t="str">
        <x:v>=</x:v>
      </x:c>
      <x:c r="AF16" s="9" t="str">
        <x:v>null</x:v>
      </x:c>
      <x:c r="AG16" s="9" t="str">
        <x:v>Ki</x:v>
      </x:c>
      <x:c r="AH16" s="9" t="str">
        <x:v>nM</x:v>
      </x:c>
      <x:c r="AI16" s="9" t="str">
        <x:v>null</x:v>
      </x:c>
      <x:c r="AJ16" s="11" t="n">
        <x:v>977.24</x:v>
      </x:c>
      <x:c r="AK16" s="9" t="str">
        <x:v>CHEMBL217</x:v>
      </x:c>
      <x:c r="AL16" s="9" t="str">
        <x:v>Homo sapiens</x:v>
      </x:c>
      <x:c r="AM16" s="9" t="str">
        <x:v>D(2) dopamine receptor</x:v>
      </x:c>
      <x:c r="AN16" s="9" t="str">
        <x:v>9606</x:v>
      </x:c>
      <x:c r="AO16" s="9" t="str">
        <x:v>null</x:v>
      </x:c>
      <x:c r="AP16" s="9" t="str">
        <x:v>null</x:v>
      </x:c>
      <x:c r="AQ16" s="9" t="str">
        <x:v>pKi</x:v>
      </x:c>
      <x:c r="AR16" s="9" t="str">
        <x:v>null</x:v>
      </x:c>
      <x:c r="AS16" s="9" t="str">
        <x:v>UO_0000065</x:v>
      </x:c>
      <x:c r="AT16" s="9" t="str">
        <x:v>null</x:v>
      </x:c>
      <x:c r="AU16" s="9" t="str">
        <x:v>6.01</x:v>
      </x:c>
      <x:c r="AV16" s="11" t="n">
        <x:v>0.00501</x:v>
      </x:c>
      <x:c r="AW16" s="9" t="str">
        <x:v>exclude</x:v>
      </x:c>
      <x:c r="AX16" s="9" t="str">
        <x:v>multiple_source_records_for_full_parent_identity</x:v>
      </x:c>
      <x:c r="AY16" s="11" t="n">
        <x:v>977.2372209558112</x:v>
      </x:c>
      <x:c r="AZ16" s="9" t="str">
        <x:v>source_reported_pKi</x:v>
      </x:c>
      <x:c r="BA16" s="11" t="n">
        <x:v>6.01</x:v>
      </x:c>
      <x:c r="BB16" s="9" t="str">
        <x:v>bbd50de4d018dd84edd1132e29be4a6288b1afe6b09fdc0525ff1bd782c8c725</x:v>
      </x:c>
      <x:c r="BC16" s="9" t="str">
        <x:v>KLQDZSYTMPJBBU-UWJYYQICSA-N</x:v>
      </x:c>
      <x:c r="BD16" s="9" t="str">
        <x:v>Cc1ncoc1-c1nnc(SCCN2CC[C@]3(C[C@H]3c3ccc(C(F)(F)F)cc3)C2)n1C</x:v>
      </x:c>
      <x:c r="BE16" s="9" t="str">
        <x:v>Cc1ncoc1-c1nnc(SCCN2CCC3(CC3c3ccc(C(F)(F)F)cc3)C2)n1C</x:v>
      </x:c>
      <x:c r="BF16" s="9" t="str">
        <x:v>Cc1ncoc1-c1nnc(SCCN2CC[C@]3(C[C@H]3c3ccc(C(F)(F)F)cc3)C2)n1C</x:v>
      </x:c>
      <x:c r="BG16" s="12" t="n">
        <x:v>-0.0000012350346612066687</x:v>
      </x:c>
      <x:c r="BH16" s="11" t="n">
        <x:v>6.009998764965339</x:v>
      </x:c>
      <x:c r="BI16" s="9" t="str">
        <x:v>c1ccc(C2CC23CCN(CCSc2nnc(-c4cnco4)[nH]2)C3)cc1</x:v>
      </x:c>
      <x:c r="BJ16" s="13" t="n">
        <x:v>2</x:v>
      </x:c>
      <x:c r="BK16" s="11" t="n">
        <x:v>977.24</x:v>
      </x:c>
      <x:c r="BL16" s="12" t="n">
        <x:v>0.0027790441888555506</x:v>
      </x:c>
      <x:c r="BM16" s="9" t="str">
        <x:v>false</x:v>
      </x:c>
    </x:row>
    <x:row r="17" ht="51" customHeight="1">
      <x:c r="A17" s="14" t="str">
        <x:v>null</x:v>
      </x:c>
      <x:c r="B17" s="14" t="str">
        <x:v>null</x:v>
      </x:c>
      <x:c r="C17" s="14" t="str">
        <x:v>16670148</x:v>
      </x:c>
      <x:c r="D17" s="14" t="str">
        <x:v>[]</x:v>
      </x:c>
      <x:c r="E17" s="14" t="str">
        <x:v>CHEMBL3855278</x:v>
      </x:c>
      <x:c r="F17" s="14" t="str">
        <x:v>Displacement of [3H]-spiperone from human dopamine D2 receptor expressed in CHO-K1 cell membranes coexpressing Galpha16 after 120 mins by liquid scintillation counting</x:v>
      </x:c>
      <x:c r="G17" s="14" t="str">
        <x:v>B</x:v>
      </x:c>
      <x:c r="H17" s="14" t="str">
        <x:v>null</x:v>
      </x:c>
      <x:c r="I17" s="14" t="str">
        <x:v>null</x:v>
      </x:c>
      <x:c r="J17" s="14" t="str">
        <x:v>BAO_0000192</x:v>
      </x:c>
      <x:c r="K17" s="14" t="str">
        <x:v>BAO_0000219</x:v>
      </x:c>
      <x:c r="L17" s="14" t="str">
        <x:v>cell-based format</x:v>
      </x:c>
      <x:c r="M17" s="14" t="str">
        <x:v>Cc1ncoc1-c1nnc(SCCN2CC[C@@]3(C[C@@H]3c3ccc(C(F)(F)F)cc3)C2)n1C</x:v>
      </x:c>
      <x:c r="N17" s="14" t="str">
        <x:v>null</x:v>
      </x:c>
      <x:c r="O17" s="14" t="str">
        <x:v>null</x:v>
      </x:c>
      <x:c r="P17" s="14" t="str">
        <x:v>CHEMBL3853329</x:v>
      </x:c>
      <x:c r="Q17" s="14" t="str">
        <x:v>J Med Chem</x:v>
      </x:c>
      <x:c r="R17" s="17" t="n">
        <x:v>2016</x:v>
      </x:c>
      <x:c r="S17" s="14" t="str">
        <x:v>{"bei":"13.16","le":"0.26","lle":"1.33","sei":"10.17"}</x:v>
      </x:c>
      <x:c r="T17" s="14" t="str">
        <x:v>null</x:v>
      </x:c>
      <x:c r="U17" s="14" t="str">
        <x:v>CHEMBL3953365</x:v>
      </x:c>
      <x:c r="V17" s="14" t="str">
        <x:v>null</x:v>
      </x:c>
      <x:c r="W17" s="14" t="str">
        <x:v>CHEMBL3953365</x:v>
      </x:c>
      <x:c r="X17" s="15" t="n">
        <x:v>6.1</x:v>
      </x:c>
      <x:c r="Y17" s="17" t="n">
        <x:v>0</x:v>
      </x:c>
      <x:c r="Z17" s="14" t="str">
        <x:v>http://www.openphacts.org/units/Nanomolar</x:v>
      </x:c>
      <x:c r="AA17" s="14" t="str">
        <x:v>2796788</x:v>
      </x:c>
      <x:c r="AB17" s="14" t="str">
        <x:v>=</x:v>
      </x:c>
      <x:c r="AC17" s="14" t="str">
        <x:v>1</x:v>
      </x:c>
      <x:c r="AD17" s="17" t="n">
        <x:v>1</x:v>
      </x:c>
      <x:c r="AE17" s="14" t="str">
        <x:v>=</x:v>
      </x:c>
      <x:c r="AF17" s="14" t="str">
        <x:v>null</x:v>
      </x:c>
      <x:c r="AG17" s="14" t="str">
        <x:v>Ki</x:v>
      </x:c>
      <x:c r="AH17" s="14" t="str">
        <x:v>nM</x:v>
      </x:c>
      <x:c r="AI17" s="14" t="str">
        <x:v>null</x:v>
      </x:c>
      <x:c r="AJ17" s="15" t="n">
        <x:v>794.33</x:v>
      </x:c>
      <x:c r="AK17" s="14" t="str">
        <x:v>CHEMBL217</x:v>
      </x:c>
      <x:c r="AL17" s="14" t="str">
        <x:v>Homo sapiens</x:v>
      </x:c>
      <x:c r="AM17" s="14" t="str">
        <x:v>D(2) dopamine receptor</x:v>
      </x:c>
      <x:c r="AN17" s="14" t="str">
        <x:v>9606</x:v>
      </x:c>
      <x:c r="AO17" s="14" t="str">
        <x:v>null</x:v>
      </x:c>
      <x:c r="AP17" s="14" t="str">
        <x:v>null</x:v>
      </x:c>
      <x:c r="AQ17" s="14" t="str">
        <x:v>pKi</x:v>
      </x:c>
      <x:c r="AR17" s="14" t="str">
        <x:v>null</x:v>
      </x:c>
      <x:c r="AS17" s="14" t="str">
        <x:v>UO_0000065</x:v>
      </x:c>
      <x:c r="AT17" s="14" t="str">
        <x:v>null</x:v>
      </x:c>
      <x:c r="AU17" s="14" t="str">
        <x:v>6.1</x:v>
      </x:c>
      <x:c r="AV17" s="15" t="n">
        <x:v>0.00501</x:v>
      </x:c>
      <x:c r="AW17" s="14" t="str">
        <x:v>include</x:v>
      </x:c>
      <x:c r="AX17" s="14" t="str"/>
      <x:c r="AY17" s="15" t="n">
        <x:v>794.3282347242822</x:v>
      </x:c>
      <x:c r="AZ17" s="14" t="str">
        <x:v>source_reported_pKi</x:v>
      </x:c>
      <x:c r="BA17" s="15" t="n">
        <x:v>6.1</x:v>
      </x:c>
      <x:c r="BB17" s="14" t="str">
        <x:v>bbd50de4d018dd84edd1132e29be4a6288b1afe6b09fdc0525ff1bd782c8c725</x:v>
      </x:c>
      <x:c r="BC17" s="14" t="str">
        <x:v>KLQDZSYTMPJBBU-DYESRHJHSA-N</x:v>
      </x:c>
      <x:c r="BD17" s="14" t="str">
        <x:v>Cc1ncoc1-c1nnc(SCCN2CC[C@@]3(C[C@@H]3c3ccc(C(F)(F)F)cc3)C2)n1C</x:v>
      </x:c>
      <x:c r="BE17" s="14" t="str">
        <x:v>Cc1ncoc1-c1nnc(SCCN2CCC3(CC3c3ccc(C(F)(F)F)cc3)C2)n1C</x:v>
      </x:c>
      <x:c r="BF17" s="14" t="str">
        <x:v>Cc1ncoc1-c1nnc(SCCN2CC[C@@]3(C[C@@H]3c3ccc(C(F)(F)F)cc3)C2)n1C</x:v>
      </x:c>
      <x:c r="BG17" s="16" t="n">
        <x:v>-9.651534691457186e-7</x:v>
      </x:c>
      <x:c r="BH17" s="15" t="n">
        <x:v>6.0999990348465305</x:v>
      </x:c>
      <x:c r="BI17" s="14" t="str">
        <x:v>c1ccc(C2CC23CCN(CCSc2nnc(-c4cnco4)[nH]2)C3)cc1</x:v>
      </x:c>
      <x:c r="BJ17" s="17" t="n">
        <x:v>1</x:v>
      </x:c>
      <x:c r="BK17" s="15" t="n">
        <x:v>794.33</x:v>
      </x:c>
      <x:c r="BL17" s="16" t="n">
        <x:v>0.001765275717843906</x:v>
      </x:c>
      <x:c r="BM17" s="14" t="str">
        <x:v>false</x:v>
      </x:c>
    </x:row>
    <x:row r="18" ht="51" customHeight="1">
      <x:c r="A18" s="9" t="str">
        <x:v>null</x:v>
      </x:c>
      <x:c r="B18" s="9" t="str">
        <x:v>null</x:v>
      </x:c>
      <x:c r="C18" s="9" t="str">
        <x:v>16670149</x:v>
      </x:c>
      <x:c r="D18" s="9" t="str">
        <x:v>[]</x:v>
      </x:c>
      <x:c r="E18" s="9" t="str">
        <x:v>CHEMBL3855278</x:v>
      </x:c>
      <x:c r="F18" s="9" t="str">
        <x:v>Displacement of [3H]-spiperone from human dopamine D2 receptor expressed in CHO-K1 cell membranes coexpressing Galpha16 after 120 mins by liquid scintillation counting</x:v>
      </x:c>
      <x:c r="G18" s="9" t="str">
        <x:v>B</x:v>
      </x:c>
      <x:c r="H18" s="9" t="str">
        <x:v>null</x:v>
      </x:c>
      <x:c r="I18" s="9" t="str">
        <x:v>null</x:v>
      </x:c>
      <x:c r="J18" s="9" t="str">
        <x:v>BAO_0000192</x:v>
      </x:c>
      <x:c r="K18" s="9" t="str">
        <x:v>BAO_0000219</x:v>
      </x:c>
      <x:c r="L18" s="9" t="str">
        <x:v>cell-based format</x:v>
      </x:c>
      <x:c r="M18" s="9" t="str">
        <x:v>Cc1ncoc1-c1nnc(SCCN2CC[C@]3(C[C@@H]3c3ccc(C(F)(F)F)cc3)C2)n1C</x:v>
      </x:c>
      <x:c r="N18" s="9" t="str">
        <x:v>null</x:v>
      </x:c>
      <x:c r="O18" s="9" t="str">
        <x:v>null</x:v>
      </x:c>
      <x:c r="P18" s="9" t="str">
        <x:v>CHEMBL3853329</x:v>
      </x:c>
      <x:c r="Q18" s="9" t="str">
        <x:v>J Med Chem</x:v>
      </x:c>
      <x:c r="R18" s="13" t="n">
        <x:v>2016</x:v>
      </x:c>
      <x:c r="S18" s="9" t="str">
        <x:v>{"bei":"13.55","le":"0.27","lle":"1.51","sei":"10.47"}</x:v>
      </x:c>
      <x:c r="T18" s="9" t="str">
        <x:v>null</x:v>
      </x:c>
      <x:c r="U18" s="9" t="str">
        <x:v>CHEMBL3936812</x:v>
      </x:c>
      <x:c r="V18" s="9" t="str">
        <x:v>null</x:v>
      </x:c>
      <x:c r="W18" s="9" t="str">
        <x:v>CHEMBL3936812</x:v>
      </x:c>
      <x:c r="X18" s="11" t="n">
        <x:v>6.28</x:v>
      </x:c>
      <x:c r="Y18" s="13" t="n">
        <x:v>0</x:v>
      </x:c>
      <x:c r="Z18" s="9" t="str">
        <x:v>http://www.openphacts.org/units/Nanomolar</x:v>
      </x:c>
      <x:c r="AA18" s="9" t="str">
        <x:v>2796789</x:v>
      </x:c>
      <x:c r="AB18" s="9" t="str">
        <x:v>=</x:v>
      </x:c>
      <x:c r="AC18" s="9" t="str">
        <x:v>1</x:v>
      </x:c>
      <x:c r="AD18" s="13" t="n">
        <x:v>1</x:v>
      </x:c>
      <x:c r="AE18" s="9" t="str">
        <x:v>=</x:v>
      </x:c>
      <x:c r="AF18" s="9" t="str">
        <x:v>null</x:v>
      </x:c>
      <x:c r="AG18" s="9" t="str">
        <x:v>Ki</x:v>
      </x:c>
      <x:c r="AH18" s="9" t="str">
        <x:v>nM</x:v>
      </x:c>
      <x:c r="AI18" s="9" t="str">
        <x:v>null</x:v>
      </x:c>
      <x:c r="AJ18" s="11" t="n">
        <x:v>524.81</x:v>
      </x:c>
      <x:c r="AK18" s="9" t="str">
        <x:v>CHEMBL217</x:v>
      </x:c>
      <x:c r="AL18" s="9" t="str">
        <x:v>Homo sapiens</x:v>
      </x:c>
      <x:c r="AM18" s="9" t="str">
        <x:v>D(2) dopamine receptor</x:v>
      </x:c>
      <x:c r="AN18" s="9" t="str">
        <x:v>9606</x:v>
      </x:c>
      <x:c r="AO18" s="9" t="str">
        <x:v>null</x:v>
      </x:c>
      <x:c r="AP18" s="9" t="str">
        <x:v>null</x:v>
      </x:c>
      <x:c r="AQ18" s="9" t="str">
        <x:v>pKi</x:v>
      </x:c>
      <x:c r="AR18" s="9" t="str">
        <x:v>null</x:v>
      </x:c>
      <x:c r="AS18" s="9" t="str">
        <x:v>UO_0000065</x:v>
      </x:c>
      <x:c r="AT18" s="9" t="str">
        <x:v>null</x:v>
      </x:c>
      <x:c r="AU18" s="9" t="str">
        <x:v>6.28</x:v>
      </x:c>
      <x:c r="AV18" s="11" t="n">
        <x:v>0.00501</x:v>
      </x:c>
      <x:c r="AW18" s="9" t="str">
        <x:v>include</x:v>
      </x:c>
      <x:c r="AX18" s="9" t="str"/>
      <x:c r="AY18" s="11" t="n">
        <x:v>524.8074602497722</x:v>
      </x:c>
      <x:c r="AZ18" s="9" t="str">
        <x:v>source_reported_pKi</x:v>
      </x:c>
      <x:c r="BA18" s="11" t="n">
        <x:v>6.28</x:v>
      </x:c>
      <x:c r="BB18" s="9" t="str">
        <x:v>bbd50de4d018dd84edd1132e29be4a6288b1afe6b09fdc0525ff1bd782c8c725</x:v>
      </x:c>
      <x:c r="BC18" s="9" t="str">
        <x:v>KLQDZSYTMPJBBU-UTKZUKDTSA-N</x:v>
      </x:c>
      <x:c r="BD18" s="9" t="str">
        <x:v>Cc1ncoc1-c1nnc(SCCN2CC[C@]3(C[C@@H]3c3ccc(C(F)(F)F)cc3)C2)n1C</x:v>
      </x:c>
      <x:c r="BE18" s="9" t="str">
        <x:v>Cc1ncoc1-c1nnc(SCCN2CCC3(CC3c3ccc(C(F)(F)F)cc3)C2)n1C</x:v>
      </x:c>
      <x:c r="BF18" s="9" t="str">
        <x:v>Cc1ncoc1-c1nnc(SCCN2CC[C@]3(C[C@@H]3c3ccc(C(F)(F)F)cc3)C2)n1C</x:v>
      </x:c>
      <x:c r="BG18" s="12" t="n">
        <x:v>-0.0000021017171514259303</x:v>
      </x:c>
      <x:c r="BH18" s="11" t="n">
        <x:v>6.279997898282849</x:v>
      </x:c>
      <x:c r="BI18" s="9" t="str">
        <x:v>c1ccc(C2CC23CCN(CCSc2nnc(-c4cnco4)[nH]2)C3)cc1</x:v>
      </x:c>
      <x:c r="BJ18" s="13" t="n">
        <x:v>1</x:v>
      </x:c>
      <x:c r="BK18" s="11" t="n">
        <x:v>524.81</x:v>
      </x:c>
      <x:c r="BL18" s="12" t="n">
        <x:v>0.0025397502276973682</x:v>
      </x:c>
      <x:c r="BM18" s="9" t="str">
        <x:v>false</x:v>
      </x:c>
    </x:row>
    <x:row r="19" ht="51" customHeight="1">
      <x:c r="A19" s="14" t="str">
        <x:v>null</x:v>
      </x:c>
      <x:c r="B19" s="14" t="str">
        <x:v>null</x:v>
      </x:c>
      <x:c r="C19" s="14" t="str">
        <x:v>16670150</x:v>
      </x:c>
      <x:c r="D19" s="14" t="str">
        <x:v>[]</x:v>
      </x:c>
      <x:c r="E19" s="14" t="str">
        <x:v>CHEMBL3855278</x:v>
      </x:c>
      <x:c r="F19" s="14" t="str">
        <x:v>Displacement of [3H]-spiperone from human dopamine D2 receptor expressed in CHO-K1 cell membranes coexpressing Galpha16 after 120 mins by liquid scintillation counting</x:v>
      </x:c>
      <x:c r="G19" s="14" t="str">
        <x:v>B</x:v>
      </x:c>
      <x:c r="H19" s="14" t="str">
        <x:v>null</x:v>
      </x:c>
      <x:c r="I19" s="14" t="str">
        <x:v>null</x:v>
      </x:c>
      <x:c r="J19" s="14" t="str">
        <x:v>BAO_0000192</x:v>
      </x:c>
      <x:c r="K19" s="14" t="str">
        <x:v>BAO_0000219</x:v>
      </x:c>
      <x:c r="L19" s="14" t="str">
        <x:v>cell-based format</x:v>
      </x:c>
      <x:c r="M19" s="14" t="str">
        <x:v>Cc1ncoc1-c1nnc(SCCCCN2CC[C@]3(C[C@@H]3c3ccc(C(F)(F)F)cc3)C2)n1C</x:v>
      </x:c>
      <x:c r="N19" s="14" t="str">
        <x:v>null</x:v>
      </x:c>
      <x:c r="O19" s="14" t="str">
        <x:v>null</x:v>
      </x:c>
      <x:c r="P19" s="14" t="str">
        <x:v>CHEMBL3853329</x:v>
      </x:c>
      <x:c r="Q19" s="14" t="str">
        <x:v>J Med Chem</x:v>
      </x:c>
      <x:c r="R19" s="17" t="n">
        <x:v>2016</x:v>
      </x:c>
      <x:c r="S19" s="14" t="str">
        <x:v>{"bei":"12.23","le":"0.24","lle":"0.46","sei":"10.02"}</x:v>
      </x:c>
      <x:c r="T19" s="14" t="str">
        <x:v>null</x:v>
      </x:c>
      <x:c r="U19" s="14" t="str">
        <x:v>CHEMBL3908862</x:v>
      </x:c>
      <x:c r="V19" s="14" t="str">
        <x:v>null</x:v>
      </x:c>
      <x:c r="W19" s="14" t="str">
        <x:v>CHEMBL3908862</x:v>
      </x:c>
      <x:c r="X19" s="15" t="n">
        <x:v>6.01</x:v>
      </x:c>
      <x:c r="Y19" s="17" t="n">
        <x:v>0</x:v>
      </x:c>
      <x:c r="Z19" s="14" t="str">
        <x:v>http://www.openphacts.org/units/Nanomolar</x:v>
      </x:c>
      <x:c r="AA19" s="14" t="str">
        <x:v>2796790</x:v>
      </x:c>
      <x:c r="AB19" s="14" t="str">
        <x:v>=</x:v>
      </x:c>
      <x:c r="AC19" s="14" t="str">
        <x:v>1</x:v>
      </x:c>
      <x:c r="AD19" s="17" t="n">
        <x:v>1</x:v>
      </x:c>
      <x:c r="AE19" s="14" t="str">
        <x:v>=</x:v>
      </x:c>
      <x:c r="AF19" s="14" t="str">
        <x:v>null</x:v>
      </x:c>
      <x:c r="AG19" s="14" t="str">
        <x:v>Ki</x:v>
      </x:c>
      <x:c r="AH19" s="14" t="str">
        <x:v>nM</x:v>
      </x:c>
      <x:c r="AI19" s="14" t="str">
        <x:v>null</x:v>
      </x:c>
      <x:c r="AJ19" s="15" t="n">
        <x:v>977.24</x:v>
      </x:c>
      <x:c r="AK19" s="14" t="str">
        <x:v>CHEMBL217</x:v>
      </x:c>
      <x:c r="AL19" s="14" t="str">
        <x:v>Homo sapiens</x:v>
      </x:c>
      <x:c r="AM19" s="14" t="str">
        <x:v>D(2) dopamine receptor</x:v>
      </x:c>
      <x:c r="AN19" s="14" t="str">
        <x:v>9606</x:v>
      </x:c>
      <x:c r="AO19" s="14" t="str">
        <x:v>null</x:v>
      </x:c>
      <x:c r="AP19" s="14" t="str">
        <x:v>null</x:v>
      </x:c>
      <x:c r="AQ19" s="14" t="str">
        <x:v>pKi</x:v>
      </x:c>
      <x:c r="AR19" s="14" t="str">
        <x:v>null</x:v>
      </x:c>
      <x:c r="AS19" s="14" t="str">
        <x:v>UO_0000065</x:v>
      </x:c>
      <x:c r="AT19" s="14" t="str">
        <x:v>null</x:v>
      </x:c>
      <x:c r="AU19" s="14" t="str">
        <x:v>6.01</x:v>
      </x:c>
      <x:c r="AV19" s="15" t="n">
        <x:v>0.00501</x:v>
      </x:c>
      <x:c r="AW19" s="14" t="str">
        <x:v>include</x:v>
      </x:c>
      <x:c r="AX19" s="14" t="str"/>
      <x:c r="AY19" s="15" t="n">
        <x:v>977.2372209558112</x:v>
      </x:c>
      <x:c r="AZ19" s="14" t="str">
        <x:v>source_reported_pKi</x:v>
      </x:c>
      <x:c r="BA19" s="15" t="n">
        <x:v>6.01</x:v>
      </x:c>
      <x:c r="BB19" s="14" t="str">
        <x:v>cf55bd8242637111ac1412246135c5587ce155437f47e4f4b244ada77f1a0056</x:v>
      </x:c>
      <x:c r="BC19" s="14" t="str">
        <x:v>NLRLHXJCWYCRGC-XXBNENTESA-N</x:v>
      </x:c>
      <x:c r="BD19" s="14" t="str">
        <x:v>Cc1ncoc1-c1nnc(SCCCCN2CC[C@]3(C[C@@H]3c3ccc(C(F)(F)F)cc3)C2)n1C</x:v>
      </x:c>
      <x:c r="BE19" s="14" t="str">
        <x:v>Cc1ncoc1-c1nnc(SCCCCN2CCC3(CC3c3ccc(C(F)(F)F)cc3)C2)n1C</x:v>
      </x:c>
      <x:c r="BF19" s="14" t="str">
        <x:v>Cc1ncoc1-c1nnc(SCCCCN2CC[C@]3(C[C@@H]3c3ccc(C(F)(F)F)cc3)C2)n1C</x:v>
      </x:c>
      <x:c r="BG19" s="16" t="n">
        <x:v>-0.0000012350346612066687</x:v>
      </x:c>
      <x:c r="BH19" s="15" t="n">
        <x:v>6.009998764965339</x:v>
      </x:c>
      <x:c r="BI19" s="14" t="str">
        <x:v>c1ccc(C2CC23CCN(CCCCSc2nnc(-c4cnco4)[nH]2)C3)cc1</x:v>
      </x:c>
      <x:c r="BJ19" s="17" t="n">
        <x:v>1</x:v>
      </x:c>
      <x:c r="BK19" s="15" t="n">
        <x:v>977.24</x:v>
      </x:c>
      <x:c r="BL19" s="16" t="n">
        <x:v>0.0027790441888555506</x:v>
      </x:c>
      <x:c r="BM19" s="14" t="str">
        <x:v>false</x:v>
      </x:c>
    </x:row>
    <x:row r="20" ht="51" customHeight="1">
      <x:c r="A20" s="9" t="str">
        <x:v>null</x:v>
      </x:c>
      <x:c r="B20" s="9" t="str">
        <x:v>null</x:v>
      </x:c>
      <x:c r="C20" s="9" t="str">
        <x:v>16670151</x:v>
      </x:c>
      <x:c r="D20" s="9" t="str">
        <x:v>[]</x:v>
      </x:c>
      <x:c r="E20" s="9" t="str">
        <x:v>CHEMBL3855278</x:v>
      </x:c>
      <x:c r="F20" s="9" t="str">
        <x:v>Displacement of [3H]-spiperone from human dopamine D2 receptor expressed in CHO-K1 cell membranes coexpressing Galpha16 after 120 mins by liquid scintillation counting</x:v>
      </x:c>
      <x:c r="G20" s="9" t="str">
        <x:v>B</x:v>
      </x:c>
      <x:c r="H20" s="9" t="str">
        <x:v>null</x:v>
      </x:c>
      <x:c r="I20" s="9" t="str">
        <x:v>null</x:v>
      </x:c>
      <x:c r="J20" s="9" t="str">
        <x:v>BAO_0000192</x:v>
      </x:c>
      <x:c r="K20" s="9" t="str">
        <x:v>BAO_0000219</x:v>
      </x:c>
      <x:c r="L20" s="9" t="str">
        <x:v>cell-based format</x:v>
      </x:c>
      <x:c r="M20" s="9" t="str">
        <x:v>Cc1ncoc1-c1nnc(SCCCN2CC[C@]3(C[C@H]3c3ccccc3C(F)(F)F)C2)n1C</x:v>
      </x:c>
      <x:c r="N20" s="9" t="str">
        <x:v>null</x:v>
      </x:c>
      <x:c r="O20" s="9" t="str">
        <x:v>null</x:v>
      </x:c>
      <x:c r="P20" s="9" t="str">
        <x:v>CHEMBL3853329</x:v>
      </x:c>
      <x:c r="Q20" s="9" t="str">
        <x:v>J Med Chem</x:v>
      </x:c>
      <x:c r="R20" s="13" t="n">
        <x:v>2016</x:v>
      </x:c>
      <x:c r="S20" s="9" t="str">
        <x:v>{"bei":"14.47","le":"0.29","lle":"1.75","sei":"11.52"}</x:v>
      </x:c>
      <x:c r="T20" s="9" t="str">
        <x:v>null</x:v>
      </x:c>
      <x:c r="U20" s="9" t="str">
        <x:v>CHEMBL3914195</x:v>
      </x:c>
      <x:c r="V20" s="9" t="str">
        <x:v>null</x:v>
      </x:c>
      <x:c r="W20" s="9" t="str">
        <x:v>CHEMBL3914195</x:v>
      </x:c>
      <x:c r="X20" s="11" t="n">
        <x:v>6.91</x:v>
      </x:c>
      <x:c r="Y20" s="13" t="n">
        <x:v>0</x:v>
      </x:c>
      <x:c r="Z20" s="9" t="str">
        <x:v>http://www.openphacts.org/units/Nanomolar</x:v>
      </x:c>
      <x:c r="AA20" s="9" t="str">
        <x:v>2796791</x:v>
      </x:c>
      <x:c r="AB20" s="9" t="str">
        <x:v>=</x:v>
      </x:c>
      <x:c r="AC20" s="9" t="str">
        <x:v>1</x:v>
      </x:c>
      <x:c r="AD20" s="13" t="n">
        <x:v>1</x:v>
      </x:c>
      <x:c r="AE20" s="9" t="str">
        <x:v>=</x:v>
      </x:c>
      <x:c r="AF20" s="9" t="str">
        <x:v>null</x:v>
      </x:c>
      <x:c r="AG20" s="9" t="str">
        <x:v>Ki</x:v>
      </x:c>
      <x:c r="AH20" s="9" t="str">
        <x:v>nM</x:v>
      </x:c>
      <x:c r="AI20" s="9" t="str">
        <x:v>null</x:v>
      </x:c>
      <x:c r="AJ20" s="11" t="n">
        <x:v>123.03</x:v>
      </x:c>
      <x:c r="AK20" s="9" t="str">
        <x:v>CHEMBL217</x:v>
      </x:c>
      <x:c r="AL20" s="9" t="str">
        <x:v>Homo sapiens</x:v>
      </x:c>
      <x:c r="AM20" s="9" t="str">
        <x:v>D(2) dopamine receptor</x:v>
      </x:c>
      <x:c r="AN20" s="9" t="str">
        <x:v>9606</x:v>
      </x:c>
      <x:c r="AO20" s="9" t="str">
        <x:v>null</x:v>
      </x:c>
      <x:c r="AP20" s="9" t="str">
        <x:v>null</x:v>
      </x:c>
      <x:c r="AQ20" s="9" t="str">
        <x:v>pKi</x:v>
      </x:c>
      <x:c r="AR20" s="9" t="str">
        <x:v>null</x:v>
      </x:c>
      <x:c r="AS20" s="9" t="str">
        <x:v>UO_0000065</x:v>
      </x:c>
      <x:c r="AT20" s="9" t="str">
        <x:v>null</x:v>
      </x:c>
      <x:c r="AU20" s="9" t="str">
        <x:v>6.91</x:v>
      </x:c>
      <x:c r="AV20" s="11" t="n">
        <x:v>0.00501</x:v>
      </x:c>
      <x:c r="AW20" s="9" t="str">
        <x:v>exclude</x:v>
      </x:c>
      <x:c r="AX20" s="9" t="str">
        <x:v>multiple_source_records_for_full_parent_identity</x:v>
      </x:c>
      <x:c r="AY20" s="11" t="n">
        <x:v>123.02687708123811</x:v>
      </x:c>
      <x:c r="AZ20" s="9" t="str">
        <x:v>source_reported_pKi</x:v>
      </x:c>
      <x:c r="BA20" s="11" t="n">
        <x:v>6.91</x:v>
      </x:c>
      <x:c r="BB20" s="9" t="str">
        <x:v>6cc8558ed72c30e952e25a4d6337f3a3a0e3af95f919871ea82f7497a0516262</x:v>
      </x:c>
      <x:c r="BC20" s="9" t="str">
        <x:v>RRSUWPYFZSEELD-AVRDEDQJSA-N</x:v>
      </x:c>
      <x:c r="BD20" s="9" t="str">
        <x:v>Cc1ncoc1-c1nnc(SCCCN2CC[C@]3(C[C@H]3c3ccccc3C(F)(F)F)C2)n1C</x:v>
      </x:c>
      <x:c r="BE20" s="9" t="str">
        <x:v>Cc1ncoc1-c1nnc(SCCCN2CCC3(CC3c3ccccc3C(F)(F)F)C2)n1C</x:v>
      </x:c>
      <x:c r="BF20" s="9" t="str">
        <x:v>Cc1ncoc1-c1nnc(SCCCN2CC[C@]3(C[C@H]3c3ccccc3C(F)(F)F)C2)n1C</x:v>
      </x:c>
      <x:c r="BG20" s="12" t="n">
        <x:v>-0.000011024007147142356</x:v>
      </x:c>
      <x:c r="BH20" s="11" t="n">
        <x:v>6.909988975992853</x:v>
      </x:c>
      <x:c r="BI20" s="9" t="str">
        <x:v>c1ccc(C2CC23CCN(CCCSc2nnc(-c4cnco4)[nH]2)C3)cc1</x:v>
      </x:c>
      <x:c r="BJ20" s="13" t="n">
        <x:v>2</x:v>
      </x:c>
      <x:c r="BK20" s="11" t="n">
        <x:v>123.03</x:v>
      </x:c>
      <x:c r="BL20" s="12" t="n">
        <x:v>0.003122918761889082</x:v>
      </x:c>
      <x:c r="BM20" s="9" t="str">
        <x:v>false</x:v>
      </x:c>
    </x:row>
    <x:row r="21" ht="51" customHeight="1">
      <x:c r="A21" s="14" t="str">
        <x:v>null</x:v>
      </x:c>
      <x:c r="B21" s="14" t="str">
        <x:v>null</x:v>
      </x:c>
      <x:c r="C21" s="14" t="str">
        <x:v>16670152</x:v>
      </x:c>
      <x:c r="D21" s="14" t="str">
        <x:v>[]</x:v>
      </x:c>
      <x:c r="E21" s="14" t="str">
        <x:v>CHEMBL3855278</x:v>
      </x:c>
      <x:c r="F21" s="14" t="str">
        <x:v>Displacement of [3H]-spiperone from human dopamine D2 receptor expressed in CHO-K1 cell membranes coexpressing Galpha16 after 120 mins by liquid scintillation counting</x:v>
      </x:c>
      <x:c r="G21" s="14" t="str">
        <x:v>B</x:v>
      </x:c>
      <x:c r="H21" s="14" t="str">
        <x:v>null</x:v>
      </x:c>
      <x:c r="I21" s="14" t="str">
        <x:v>null</x:v>
      </x:c>
      <x:c r="J21" s="14" t="str">
        <x:v>BAO_0000192</x:v>
      </x:c>
      <x:c r="K21" s="14" t="str">
        <x:v>BAO_0000219</x:v>
      </x:c>
      <x:c r="L21" s="14" t="str">
        <x:v>cell-based format</x:v>
      </x:c>
      <x:c r="M21" s="14" t="str">
        <x:v>Cc1ncoc1-c1nnc(SCCCN2CC[C@]3(C[C@H]3c3ccccc3C(F)(F)F)C2)n1C</x:v>
      </x:c>
      <x:c r="N21" s="14" t="str">
        <x:v>null</x:v>
      </x:c>
      <x:c r="O21" s="14" t="str">
        <x:v>null</x:v>
      </x:c>
      <x:c r="P21" s="14" t="str">
        <x:v>CHEMBL3853329</x:v>
      </x:c>
      <x:c r="Q21" s="14" t="str">
        <x:v>J Med Chem</x:v>
      </x:c>
      <x:c r="R21" s="17" t="n">
        <x:v>2016</x:v>
      </x:c>
      <x:c r="S21" s="14" t="str">
        <x:v>{"bei":"12.86","le":"0.25","lle":"0.98","sei":"10.24"}</x:v>
      </x:c>
      <x:c r="T21" s="14" t="str">
        <x:v>null</x:v>
      </x:c>
      <x:c r="U21" s="14" t="str">
        <x:v>CHEMBL3914195</x:v>
      </x:c>
      <x:c r="V21" s="14" t="str">
        <x:v>null</x:v>
      </x:c>
      <x:c r="W21" s="14" t="str">
        <x:v>CHEMBL3914195</x:v>
      </x:c>
      <x:c r="X21" s="15" t="n">
        <x:v>6.14</x:v>
      </x:c>
      <x:c r="Y21" s="17" t="n">
        <x:v>0</x:v>
      </x:c>
      <x:c r="Z21" s="14" t="str">
        <x:v>http://www.openphacts.org/units/Nanomolar</x:v>
      </x:c>
      <x:c r="AA21" s="14" t="str">
        <x:v>2796792</x:v>
      </x:c>
      <x:c r="AB21" s="14" t="str">
        <x:v>=</x:v>
      </x:c>
      <x:c r="AC21" s="14" t="str">
        <x:v>1</x:v>
      </x:c>
      <x:c r="AD21" s="17" t="n">
        <x:v>1</x:v>
      </x:c>
      <x:c r="AE21" s="14" t="str">
        <x:v>=</x:v>
      </x:c>
      <x:c r="AF21" s="14" t="str">
        <x:v>null</x:v>
      </x:c>
      <x:c r="AG21" s="14" t="str">
        <x:v>Ki</x:v>
      </x:c>
      <x:c r="AH21" s="14" t="str">
        <x:v>nM</x:v>
      </x:c>
      <x:c r="AI21" s="14" t="str">
        <x:v>null</x:v>
      </x:c>
      <x:c r="AJ21" s="15" t="n">
        <x:v>724.44</x:v>
      </x:c>
      <x:c r="AK21" s="14" t="str">
        <x:v>CHEMBL217</x:v>
      </x:c>
      <x:c r="AL21" s="14" t="str">
        <x:v>Homo sapiens</x:v>
      </x:c>
      <x:c r="AM21" s="14" t="str">
        <x:v>D(2) dopamine receptor</x:v>
      </x:c>
      <x:c r="AN21" s="14" t="str">
        <x:v>9606</x:v>
      </x:c>
      <x:c r="AO21" s="14" t="str">
        <x:v>null</x:v>
      </x:c>
      <x:c r="AP21" s="14" t="str">
        <x:v>null</x:v>
      </x:c>
      <x:c r="AQ21" s="14" t="str">
        <x:v>pKi</x:v>
      </x:c>
      <x:c r="AR21" s="14" t="str">
        <x:v>null</x:v>
      </x:c>
      <x:c r="AS21" s="14" t="str">
        <x:v>UO_0000065</x:v>
      </x:c>
      <x:c r="AT21" s="14" t="str">
        <x:v>null</x:v>
      </x:c>
      <x:c r="AU21" s="14" t="str">
        <x:v>6.14</x:v>
      </x:c>
      <x:c r="AV21" s="15" t="n">
        <x:v>0.00501</x:v>
      </x:c>
      <x:c r="AW21" s="14" t="str">
        <x:v>exclude</x:v>
      </x:c>
      <x:c r="AX21" s="14" t="str">
        <x:v>multiple_source_records_for_full_parent_identity</x:v>
      </x:c>
      <x:c r="AY21" s="15" t="n">
        <x:v>724.4359600749906</x:v>
      </x:c>
      <x:c r="AZ21" s="14" t="str">
        <x:v>source_reported_pKi</x:v>
      </x:c>
      <x:c r="BA21" s="15" t="n">
        <x:v>6.14</x:v>
      </x:c>
      <x:c r="BB21" s="14" t="str">
        <x:v>6cc8558ed72c30e952e25a4d6337f3a3a0e3af95f919871ea82f7497a0516262</x:v>
      </x:c>
      <x:c r="BC21" s="14" t="str">
        <x:v>RRSUWPYFZSEELD-AVRDEDQJSA-N</x:v>
      </x:c>
      <x:c r="BD21" s="14" t="str">
        <x:v>Cc1ncoc1-c1nnc(SCCCN2CC[C@]3(C[C@H]3c3ccccc3C(F)(F)F)C2)n1C</x:v>
      </x:c>
      <x:c r="BE21" s="14" t="str">
        <x:v>Cc1ncoc1-c1nnc(SCCCN2CCC3(CC3c3ccccc3C(F)(F)F)C2)n1C</x:v>
      </x:c>
      <x:c r="BF21" s="14" t="str">
        <x:v>Cc1ncoc1-c1nnc(SCCCN2CC[C@]3(C[C@H]3c3ccccc3C(F)(F)F)C2)n1C</x:v>
      </x:c>
      <x:c r="BG21" s="16" t="n">
        <x:v>-0.0000024219010974491084</x:v>
      </x:c>
      <x:c r="BH21" s="15" t="n">
        <x:v>6.139997578098902</x:v>
      </x:c>
      <x:c r="BI21" s="14" t="str">
        <x:v>c1ccc(C2CC23CCN(CCCSc2nnc(-c4cnco4)[nH]2)C3)cc1</x:v>
      </x:c>
      <x:c r="BJ21" s="17" t="n">
        <x:v>2</x:v>
      </x:c>
      <x:c r="BK21" s="15" t="n">
        <x:v>724.44</x:v>
      </x:c>
      <x:c r="BL21" s="16" t="n">
        <x:v>0.004039925009465151</x:v>
      </x:c>
      <x:c r="BM21" s="14" t="str">
        <x:v>false</x:v>
      </x:c>
    </x:row>
    <x:row r="22" ht="51" customHeight="1">
      <x:c r="A22" s="9" t="str">
        <x:v>null</x:v>
      </x:c>
      <x:c r="B22" s="9" t="str">
        <x:v>null</x:v>
      </x:c>
      <x:c r="C22" s="9" t="str">
        <x:v>16670153</x:v>
      </x:c>
      <x:c r="D22" s="9" t="str">
        <x:v>[]</x:v>
      </x:c>
      <x:c r="E22" s="9" t="str">
        <x:v>CHEMBL3855278</x:v>
      </x:c>
      <x:c r="F22" s="9" t="str">
        <x:v>Displacement of [3H]-spiperone from human dopamine D2 receptor expressed in CHO-K1 cell membranes coexpressing Galpha16 after 120 mins by liquid scintillation counting</x:v>
      </x:c>
      <x:c r="G22" s="9" t="str">
        <x:v>B</x:v>
      </x:c>
      <x:c r="H22" s="9" t="str">
        <x:v>null</x:v>
      </x:c>
      <x:c r="I22" s="9" t="str">
        <x:v>null</x:v>
      </x:c>
      <x:c r="J22" s="9" t="str">
        <x:v>BAO_0000192</x:v>
      </x:c>
      <x:c r="K22" s="9" t="str">
        <x:v>BAO_0000219</x:v>
      </x:c>
      <x:c r="L22" s="9" t="str">
        <x:v>cell-based format</x:v>
      </x:c>
      <x:c r="M22" s="9" t="str">
        <x:v>Cc1ncoc1-c1nnc(SCCCN2CC[C@@]3(C[C@@H]3c3ccccc3C(F)(F)F)C2)n1C</x:v>
      </x:c>
      <x:c r="N22" s="9" t="str">
        <x:v>null</x:v>
      </x:c>
      <x:c r="O22" s="9" t="str">
        <x:v>null</x:v>
      </x:c>
      <x:c r="P22" s="9" t="str">
        <x:v>CHEMBL3853329</x:v>
      </x:c>
      <x:c r="Q22" s="9" t="str">
        <x:v>J Med Chem</x:v>
      </x:c>
      <x:c r="R22" s="13" t="n">
        <x:v>2016</x:v>
      </x:c>
      <x:c r="S22" s="9" t="str">
        <x:v>{"bei":"15.08","le":"0.30","lle":"2.04","sei":"12.00"}</x:v>
      </x:c>
      <x:c r="T22" s="9" t="str">
        <x:v>null</x:v>
      </x:c>
      <x:c r="U22" s="9" t="str">
        <x:v>CHEMBL3975989</x:v>
      </x:c>
      <x:c r="V22" s="9" t="str">
        <x:v>null</x:v>
      </x:c>
      <x:c r="W22" s="9" t="str">
        <x:v>CHEMBL3975989</x:v>
      </x:c>
      <x:c r="X22" s="11" t="n">
        <x:v>7.2</x:v>
      </x:c>
      <x:c r="Y22" s="13" t="n">
        <x:v>0</x:v>
      </x:c>
      <x:c r="Z22" s="9" t="str">
        <x:v>http://www.openphacts.org/units/Nanomolar</x:v>
      </x:c>
      <x:c r="AA22" s="9" t="str">
        <x:v>2796793</x:v>
      </x:c>
      <x:c r="AB22" s="9" t="str">
        <x:v>=</x:v>
      </x:c>
      <x:c r="AC22" s="9" t="str">
        <x:v>1</x:v>
      </x:c>
      <x:c r="AD22" s="13" t="n">
        <x:v>1</x:v>
      </x:c>
      <x:c r="AE22" s="9" t="str">
        <x:v>=</x:v>
      </x:c>
      <x:c r="AF22" s="9" t="str">
        <x:v>null</x:v>
      </x:c>
      <x:c r="AG22" s="9" t="str">
        <x:v>Ki</x:v>
      </x:c>
      <x:c r="AH22" s="9" t="str">
        <x:v>nM</x:v>
      </x:c>
      <x:c r="AI22" s="9" t="str">
        <x:v>null</x:v>
      </x:c>
      <x:c r="AJ22" s="11" t="n">
        <x:v>63.1</x:v>
      </x:c>
      <x:c r="AK22" s="9" t="str">
        <x:v>CHEMBL217</x:v>
      </x:c>
      <x:c r="AL22" s="9" t="str">
        <x:v>Homo sapiens</x:v>
      </x:c>
      <x:c r="AM22" s="9" t="str">
        <x:v>D(2) dopamine receptor</x:v>
      </x:c>
      <x:c r="AN22" s="9" t="str">
        <x:v>9606</x:v>
      </x:c>
      <x:c r="AO22" s="9" t="str">
        <x:v>null</x:v>
      </x:c>
      <x:c r="AP22" s="9" t="str">
        <x:v>null</x:v>
      </x:c>
      <x:c r="AQ22" s="9" t="str">
        <x:v>pKi</x:v>
      </x:c>
      <x:c r="AR22" s="9" t="str">
        <x:v>null</x:v>
      </x:c>
      <x:c r="AS22" s="9" t="str">
        <x:v>UO_0000065</x:v>
      </x:c>
      <x:c r="AT22" s="9" t="str">
        <x:v>null</x:v>
      </x:c>
      <x:c r="AU22" s="9" t="str">
        <x:v>7.2</x:v>
      </x:c>
      <x:c r="AV22" s="11" t="n">
        <x:v>0.00501</x:v>
      </x:c>
      <x:c r="AW22" s="9" t="str">
        <x:v>include</x:v>
      </x:c>
      <x:c r="AX22" s="9" t="str"/>
      <x:c r="AY22" s="11" t="n">
        <x:v>63.0957344480193</x:v>
      </x:c>
      <x:c r="AZ22" s="9" t="str">
        <x:v>source_reported_pKi</x:v>
      </x:c>
      <x:c r="BA22" s="11" t="n">
        <x:v>7.2</x:v>
      </x:c>
      <x:c r="BB22" s="9" t="str">
        <x:v>6cc8558ed72c30e952e25a4d6337f3a3a0e3af95f919871ea82f7497a0516262</x:v>
      </x:c>
      <x:c r="BC22" s="9" t="str">
        <x:v>RRSUWPYFZSEELD-XMSQKQJNSA-N</x:v>
      </x:c>
      <x:c r="BD22" s="9" t="str">
        <x:v>Cc1ncoc1-c1nnc(SCCCN2CC[C@@]3(C[C@@H]3c3ccccc3C(F)(F)F)C2)n1C</x:v>
      </x:c>
      <x:c r="BE22" s="9" t="str">
        <x:v>Cc1ncoc1-c1nnc(SCCCN2CCC3(CC3c3ccccc3C(F)(F)F)C2)n1C</x:v>
      </x:c>
      <x:c r="BF22" s="9" t="str">
        <x:v>Cc1ncoc1-c1nnc(SCCCN2CC[C@@]3(C[C@@H]3c3ccccc3C(F)(F)F)C2)n1C</x:v>
      </x:c>
      <x:c r="BG22" s="12" t="n">
        <x:v>-0.000029359244134496976</x:v>
      </x:c>
      <x:c r="BH22" s="11" t="n">
        <x:v>7.199970640755866</x:v>
      </x:c>
      <x:c r="BI22" s="9" t="str">
        <x:v>c1ccc(C2CC23CCN(CCCSc2nnc(-c4cnco4)[nH]2)C3)cc1</x:v>
      </x:c>
      <x:c r="BJ22" s="13" t="n">
        <x:v>1</x:v>
      </x:c>
      <x:c r="BK22" s="11" t="n">
        <x:v>63.1</x:v>
      </x:c>
      <x:c r="BL22" s="12" t="n">
        <x:v>0.004265551980701332</x:v>
      </x:c>
      <x:c r="BM22" s="9" t="str">
        <x:v>false</x:v>
      </x:c>
    </x:row>
    <x:row r="23" ht="51" customHeight="1">
      <x:c r="A23" s="14" t="str">
        <x:v>null</x:v>
      </x:c>
      <x:c r="B23" s="14" t="str">
        <x:v>null</x:v>
      </x:c>
      <x:c r="C23" s="14" t="str">
        <x:v>16670154</x:v>
      </x:c>
      <x:c r="D23" s="14" t="str">
        <x:v>[]</x:v>
      </x:c>
      <x:c r="E23" s="14" t="str">
        <x:v>CHEMBL3855278</x:v>
      </x:c>
      <x:c r="F23" s="14" t="str">
        <x:v>Displacement of [3H]-spiperone from human dopamine D2 receptor expressed in CHO-K1 cell membranes coexpressing Galpha16 after 120 mins by liquid scintillation counting</x:v>
      </x:c>
      <x:c r="G23" s="14" t="str">
        <x:v>B</x:v>
      </x:c>
      <x:c r="H23" s="14" t="str">
        <x:v>null</x:v>
      </x:c>
      <x:c r="I23" s="14" t="str">
        <x:v>null</x:v>
      </x:c>
      <x:c r="J23" s="14" t="str">
        <x:v>BAO_0000192</x:v>
      </x:c>
      <x:c r="K23" s="14" t="str">
        <x:v>BAO_0000219</x:v>
      </x:c>
      <x:c r="L23" s="14" t="str">
        <x:v>cell-based format</x:v>
      </x:c>
      <x:c r="M23" s="14" t="str">
        <x:v>Cc1ncoc1-c1nnc(SCCCN2CC[C@]3(C[C@@H]3c3ccccc3C(F)(F)F)C2)n1C</x:v>
      </x:c>
      <x:c r="N23" s="14" t="str">
        <x:v>null</x:v>
      </x:c>
      <x:c r="O23" s="14" t="str">
        <x:v>null</x:v>
      </x:c>
      <x:c r="P23" s="14" t="str">
        <x:v>CHEMBL3853329</x:v>
      </x:c>
      <x:c r="Q23" s="14" t="str">
        <x:v>J Med Chem</x:v>
      </x:c>
      <x:c r="R23" s="17" t="n">
        <x:v>2016</x:v>
      </x:c>
      <x:c r="S23" s="14" t="str">
        <x:v>{"bei":"12.15","le":"0.24","lle":"0.64","sei":"9.67"}</x:v>
      </x:c>
      <x:c r="T23" s="14" t="str">
        <x:v>null</x:v>
      </x:c>
      <x:c r="U23" s="14" t="str">
        <x:v>CHEMBL3905196</x:v>
      </x:c>
      <x:c r="V23" s="14" t="str">
        <x:v>null</x:v>
      </x:c>
      <x:c r="W23" s="14" t="str">
        <x:v>CHEMBL3905196</x:v>
      </x:c>
      <x:c r="X23" s="15" t="n">
        <x:v>5.8</x:v>
      </x:c>
      <x:c r="Y23" s="17" t="n">
        <x:v>0</x:v>
      </x:c>
      <x:c r="Z23" s="14" t="str">
        <x:v>http://www.openphacts.org/units/Nanomolar</x:v>
      </x:c>
      <x:c r="AA23" s="14" t="str">
        <x:v>2796794</x:v>
      </x:c>
      <x:c r="AB23" s="14" t="str">
        <x:v>=</x:v>
      </x:c>
      <x:c r="AC23" s="14" t="str">
        <x:v>1</x:v>
      </x:c>
      <x:c r="AD23" s="17" t="n">
        <x:v>1</x:v>
      </x:c>
      <x:c r="AE23" s="14" t="str">
        <x:v>=</x:v>
      </x:c>
      <x:c r="AF23" s="14" t="str">
        <x:v>null</x:v>
      </x:c>
      <x:c r="AG23" s="14" t="str">
        <x:v>Ki</x:v>
      </x:c>
      <x:c r="AH23" s="14" t="str">
        <x:v>nM</x:v>
      </x:c>
      <x:c r="AI23" s="14" t="str">
        <x:v>null</x:v>
      </x:c>
      <x:c r="AJ23" s="15" t="n">
        <x:v>1584.89</x:v>
      </x:c>
      <x:c r="AK23" s="14" t="str">
        <x:v>CHEMBL217</x:v>
      </x:c>
      <x:c r="AL23" s="14" t="str">
        <x:v>Homo sapiens</x:v>
      </x:c>
      <x:c r="AM23" s="14" t="str">
        <x:v>D(2) dopamine receptor</x:v>
      </x:c>
      <x:c r="AN23" s="14" t="str">
        <x:v>9606</x:v>
      </x:c>
      <x:c r="AO23" s="14" t="str">
        <x:v>null</x:v>
      </x:c>
      <x:c r="AP23" s="14" t="str">
        <x:v>null</x:v>
      </x:c>
      <x:c r="AQ23" s="14" t="str">
        <x:v>pKi</x:v>
      </x:c>
      <x:c r="AR23" s="14" t="str">
        <x:v>null</x:v>
      </x:c>
      <x:c r="AS23" s="14" t="str">
        <x:v>UO_0000065</x:v>
      </x:c>
      <x:c r="AT23" s="14" t="str">
        <x:v>null</x:v>
      </x:c>
      <x:c r="AU23" s="14" t="str">
        <x:v>5.8</x:v>
      </x:c>
      <x:c r="AV23" s="15" t="n">
        <x:v>0.00501</x:v>
      </x:c>
      <x:c r="AW23" s="14" t="str">
        <x:v>include</x:v>
      </x:c>
      <x:c r="AX23" s="14" t="str"/>
      <x:c r="AY23" s="15" t="n">
        <x:v>1584.893192461114</x:v>
      </x:c>
      <x:c r="AZ23" s="14" t="str">
        <x:v>source_reported_pKi</x:v>
      </x:c>
      <x:c r="BA23" s="15" t="n">
        <x:v>5.8</x:v>
      </x:c>
      <x:c r="BB23" s="14" t="str">
        <x:v>6cc8558ed72c30e952e25a4d6337f3a3a0e3af95f919871ea82f7497a0516262</x:v>
      </x:c>
      <x:c r="BC23" s="14" t="str">
        <x:v>RRSUWPYFZSEELD-GCJKJVERSA-N</x:v>
      </x:c>
      <x:c r="BD23" s="14" t="str">
        <x:v>Cc1ncoc1-c1nnc(SCCCN2CC[C@]3(C[C@@H]3c3ccccc3C(F)(F)F)C2)n1C</x:v>
      </x:c>
      <x:c r="BE23" s="14" t="str">
        <x:v>Cc1ncoc1-c1nnc(SCCCN2CCC3(CC3c3ccccc3C(F)(F)F)C2)n1C</x:v>
      </x:c>
      <x:c r="BF23" s="14" t="str">
        <x:v>Cc1ncoc1-c1nnc(SCCCN2CC[C@]3(C[C@@H]3c3ccccc3C(F)(F)F)C2)n1C</x:v>
      </x:c>
      <x:c r="BG23" s="16" t="n">
        <x:v>8.74803203210206e-7</x:v>
      </x:c>
      <x:c r="BH23" s="15" t="n">
        <x:v>5.800000874803203</x:v>
      </x:c>
      <x:c r="BI23" s="14" t="str">
        <x:v>c1ccc(C2CC23CCN(CCCSc2nnc(-c4cnco4)[nH]2)C3)cc1</x:v>
      </x:c>
      <x:c r="BJ23" s="17" t="n">
        <x:v>1</x:v>
      </x:c>
      <x:c r="BK23" s="15" t="n">
        <x:v>1584.89</x:v>
      </x:c>
      <x:c r="BL23" s="16" t="n">
        <x:v>-0.003192461113940226</x:v>
      </x:c>
      <x:c r="BM23" s="14" t="str">
        <x:v>false</x:v>
      </x:c>
    </x:row>
    <x:row r="24" ht="51" customHeight="1">
      <x:c r="A24" s="9" t="str">
        <x:v>null</x:v>
      </x:c>
      <x:c r="B24" s="9" t="str">
        <x:v>null</x:v>
      </x:c>
      <x:c r="C24" s="9" t="str">
        <x:v>16670155</x:v>
      </x:c>
      <x:c r="D24" s="9" t="str">
        <x:v>[]</x:v>
      </x:c>
      <x:c r="E24" s="9" t="str">
        <x:v>CHEMBL3855278</x:v>
      </x:c>
      <x:c r="F24" s="9" t="str">
        <x:v>Displacement of [3H]-spiperone from human dopamine D2 receptor expressed in CHO-K1 cell membranes coexpressing Galpha16 after 120 mins by liquid scintillation counting</x:v>
      </x:c>
      <x:c r="G24" s="9" t="str">
        <x:v>B</x:v>
      </x:c>
      <x:c r="H24" s="9" t="str">
        <x:v>null</x:v>
      </x:c>
      <x:c r="I24" s="9" t="str">
        <x:v>null</x:v>
      </x:c>
      <x:c r="J24" s="9" t="str">
        <x:v>BAO_0000192</x:v>
      </x:c>
      <x:c r="K24" s="9" t="str">
        <x:v>BAO_0000219</x:v>
      </x:c>
      <x:c r="L24" s="9" t="str">
        <x:v>cell-based format</x:v>
      </x:c>
      <x:c r="M24" s="9" t="str">
        <x:v>Cc1ncoc1-c1nnc(SCCCN2CC[C@]3(C[C@H]3c3ccc(F)cc3)C2)n1C</x:v>
      </x:c>
      <x:c r="N24" s="9" t="str">
        <x:v>null</x:v>
      </x:c>
      <x:c r="O24" s="9" t="str">
        <x:v>null</x:v>
      </x:c>
      <x:c r="P24" s="9" t="str">
        <x:v>CHEMBL3853329</x:v>
      </x:c>
      <x:c r="Q24" s="9" t="str">
        <x:v>J Med Chem</x:v>
      </x:c>
      <x:c r="R24" s="13" t="n">
        <x:v>2016</x:v>
      </x:c>
      <x:c r="S24" s="9" t="str">
        <x:v>{"bei":"14.06","le":"0.27","lle":"1.73","sei":"10.02"}</x:v>
      </x:c>
      <x:c r="T24" s="9" t="str">
        <x:v>null</x:v>
      </x:c>
      <x:c r="U24" s="9" t="str">
        <x:v>CHEMBL3950264</x:v>
      </x:c>
      <x:c r="V24" s="9" t="str">
        <x:v>null</x:v>
      </x:c>
      <x:c r="W24" s="9" t="str">
        <x:v>CHEMBL3950264</x:v>
      </x:c>
      <x:c r="X24" s="11" t="n">
        <x:v>6.01</x:v>
      </x:c>
      <x:c r="Y24" s="13" t="n">
        <x:v>0</x:v>
      </x:c>
      <x:c r="Z24" s="9" t="str">
        <x:v>http://www.openphacts.org/units/Nanomolar</x:v>
      </x:c>
      <x:c r="AA24" s="9" t="str">
        <x:v>2796795</x:v>
      </x:c>
      <x:c r="AB24" s="9" t="str">
        <x:v>=</x:v>
      </x:c>
      <x:c r="AC24" s="9" t="str">
        <x:v>1</x:v>
      </x:c>
      <x:c r="AD24" s="13" t="n">
        <x:v>1</x:v>
      </x:c>
      <x:c r="AE24" s="9" t="str">
        <x:v>=</x:v>
      </x:c>
      <x:c r="AF24" s="9" t="str">
        <x:v>null</x:v>
      </x:c>
      <x:c r="AG24" s="9" t="str">
        <x:v>Ki</x:v>
      </x:c>
      <x:c r="AH24" s="9" t="str">
        <x:v>nM</x:v>
      </x:c>
      <x:c r="AI24" s="9" t="str">
        <x:v>null</x:v>
      </x:c>
      <x:c r="AJ24" s="11" t="n">
        <x:v>977.24</x:v>
      </x:c>
      <x:c r="AK24" s="9" t="str">
        <x:v>CHEMBL217</x:v>
      </x:c>
      <x:c r="AL24" s="9" t="str">
        <x:v>Homo sapiens</x:v>
      </x:c>
      <x:c r="AM24" s="9" t="str">
        <x:v>D(2) dopamine receptor</x:v>
      </x:c>
      <x:c r="AN24" s="9" t="str">
        <x:v>9606</x:v>
      </x:c>
      <x:c r="AO24" s="9" t="str">
        <x:v>null</x:v>
      </x:c>
      <x:c r="AP24" s="9" t="str">
        <x:v>null</x:v>
      </x:c>
      <x:c r="AQ24" s="9" t="str">
        <x:v>pKi</x:v>
      </x:c>
      <x:c r="AR24" s="9" t="str">
        <x:v>null</x:v>
      </x:c>
      <x:c r="AS24" s="9" t="str">
        <x:v>UO_0000065</x:v>
      </x:c>
      <x:c r="AT24" s="9" t="str">
        <x:v>null</x:v>
      </x:c>
      <x:c r="AU24" s="9" t="str">
        <x:v>6.01</x:v>
      </x:c>
      <x:c r="AV24" s="11" t="n">
        <x:v>0.00501</x:v>
      </x:c>
      <x:c r="AW24" s="9" t="str">
        <x:v>exclude</x:v>
      </x:c>
      <x:c r="AX24" s="9" t="str">
        <x:v>multiple_source_records_for_full_parent_identity</x:v>
      </x:c>
      <x:c r="AY24" s="11" t="n">
        <x:v>977.2372209558112</x:v>
      </x:c>
      <x:c r="AZ24" s="9" t="str">
        <x:v>source_reported_pKi</x:v>
      </x:c>
      <x:c r="BA24" s="11" t="n">
        <x:v>6.01</x:v>
      </x:c>
      <x:c r="BB24" s="9" t="str">
        <x:v>11dae94f2537e3de53d4676993b2e8692184d1b1025b7614e70e1fcad4b3efb8</x:v>
      </x:c>
      <x:c r="BC24" s="9" t="str">
        <x:v>XRDPJIJIWYVCKW-AVRDEDQJSA-N</x:v>
      </x:c>
      <x:c r="BD24" s="9" t="str">
        <x:v>Cc1ncoc1-c1nnc(SCCCN2CC[C@]3(C[C@H]3c3ccc(F)cc3)C2)n1C</x:v>
      </x:c>
      <x:c r="BE24" s="9" t="str">
        <x:v>Cc1ncoc1-c1nnc(SCCCN2CCC3(CC3c3ccc(F)cc3)C2)n1C</x:v>
      </x:c>
      <x:c r="BF24" s="9" t="str">
        <x:v>Cc1ncoc1-c1nnc(SCCCN2CC[C@]3(C[C@H]3c3ccc(F)cc3)C2)n1C</x:v>
      </x:c>
      <x:c r="BG24" s="12" t="n">
        <x:v>-0.0000012350346612066687</x:v>
      </x:c>
      <x:c r="BH24" s="11" t="n">
        <x:v>6.009998764965339</x:v>
      </x:c>
      <x:c r="BI24" s="9" t="str">
        <x:v>c1ccc(C2CC23CCN(CCCSc2nnc(-c4cnco4)[nH]2)C3)cc1</x:v>
      </x:c>
      <x:c r="BJ24" s="13" t="n">
        <x:v>2</x:v>
      </x:c>
      <x:c r="BK24" s="11" t="n">
        <x:v>977.24</x:v>
      </x:c>
      <x:c r="BL24" s="12" t="n">
        <x:v>0.0027790441888555506</x:v>
      </x:c>
      <x:c r="BM24" s="9" t="str">
        <x:v>false</x:v>
      </x:c>
    </x:row>
    <x:row r="25" ht="51" customHeight="1">
      <x:c r="A25" s="14" t="str">
        <x:v>null</x:v>
      </x:c>
      <x:c r="B25" s="14" t="str">
        <x:v>null</x:v>
      </x:c>
      <x:c r="C25" s="14" t="str">
        <x:v>16670156</x:v>
      </x:c>
      <x:c r="D25" s="14" t="str">
        <x:v>[]</x:v>
      </x:c>
      <x:c r="E25" s="14" t="str">
        <x:v>CHEMBL3855278</x:v>
      </x:c>
      <x:c r="F25" s="14" t="str">
        <x:v>Displacement of [3H]-spiperone from human dopamine D2 receptor expressed in CHO-K1 cell membranes coexpressing Galpha16 after 120 mins by liquid scintillation counting</x:v>
      </x:c>
      <x:c r="G25" s="14" t="str">
        <x:v>B</x:v>
      </x:c>
      <x:c r="H25" s="14" t="str">
        <x:v>null</x:v>
      </x:c>
      <x:c r="I25" s="14" t="str">
        <x:v>null</x:v>
      </x:c>
      <x:c r="J25" s="14" t="str">
        <x:v>BAO_0000192</x:v>
      </x:c>
      <x:c r="K25" s="14" t="str">
        <x:v>BAO_0000219</x:v>
      </x:c>
      <x:c r="L25" s="14" t="str">
        <x:v>cell-based format</x:v>
      </x:c>
      <x:c r="M25" s="14" t="str">
        <x:v>Cc1ncoc1-c1nnc(SCCCN2CC[C@]3(C[C@H]3c3ccc(F)cc3)C2)n1C</x:v>
      </x:c>
      <x:c r="N25" s="14" t="str">
        <x:v>null</x:v>
      </x:c>
      <x:c r="O25" s="14" t="str">
        <x:v>null</x:v>
      </x:c>
      <x:c r="P25" s="14" t="str">
        <x:v>CHEMBL3853329</x:v>
      </x:c>
      <x:c r="Q25" s="14" t="str">
        <x:v>J Med Chem</x:v>
      </x:c>
      <x:c r="R25" s="17" t="n">
        <x:v>2016</x:v>
      </x:c>
      <x:c r="S25" s="14" t="str">
        <x:v>{"bei":"13.94","le":"0.27","lle":"1.68","sei":"9.94"}</x:v>
      </x:c>
      <x:c r="T25" s="14" t="str">
        <x:v>null</x:v>
      </x:c>
      <x:c r="U25" s="14" t="str">
        <x:v>CHEMBL3950264</x:v>
      </x:c>
      <x:c r="V25" s="14" t="str">
        <x:v>null</x:v>
      </x:c>
      <x:c r="W25" s="14" t="str">
        <x:v>CHEMBL3950264</x:v>
      </x:c>
      <x:c r="X25" s="15" t="n">
        <x:v>5.96</x:v>
      </x:c>
      <x:c r="Y25" s="17" t="n">
        <x:v>0</x:v>
      </x:c>
      <x:c r="Z25" s="14" t="str">
        <x:v>http://www.openphacts.org/units/Nanomolar</x:v>
      </x:c>
      <x:c r="AA25" s="14" t="str">
        <x:v>2796796</x:v>
      </x:c>
      <x:c r="AB25" s="14" t="str">
        <x:v>=</x:v>
      </x:c>
      <x:c r="AC25" s="14" t="str">
        <x:v>1</x:v>
      </x:c>
      <x:c r="AD25" s="17" t="n">
        <x:v>1</x:v>
      </x:c>
      <x:c r="AE25" s="14" t="str">
        <x:v>=</x:v>
      </x:c>
      <x:c r="AF25" s="14" t="str">
        <x:v>null</x:v>
      </x:c>
      <x:c r="AG25" s="14" t="str">
        <x:v>Ki</x:v>
      </x:c>
      <x:c r="AH25" s="14" t="str">
        <x:v>nM</x:v>
      </x:c>
      <x:c r="AI25" s="14" t="str">
        <x:v>null</x:v>
      </x:c>
      <x:c r="AJ25" s="15" t="n">
        <x:v>1096.48</x:v>
      </x:c>
      <x:c r="AK25" s="14" t="str">
        <x:v>CHEMBL217</x:v>
      </x:c>
      <x:c r="AL25" s="14" t="str">
        <x:v>Homo sapiens</x:v>
      </x:c>
      <x:c r="AM25" s="14" t="str">
        <x:v>D(2) dopamine receptor</x:v>
      </x:c>
      <x:c r="AN25" s="14" t="str">
        <x:v>9606</x:v>
      </x:c>
      <x:c r="AO25" s="14" t="str">
        <x:v>null</x:v>
      </x:c>
      <x:c r="AP25" s="14" t="str">
        <x:v>null</x:v>
      </x:c>
      <x:c r="AQ25" s="14" t="str">
        <x:v>pKi</x:v>
      </x:c>
      <x:c r="AR25" s="14" t="str">
        <x:v>null</x:v>
      </x:c>
      <x:c r="AS25" s="14" t="str">
        <x:v>UO_0000065</x:v>
      </x:c>
      <x:c r="AT25" s="14" t="str">
        <x:v>null</x:v>
      </x:c>
      <x:c r="AU25" s="14" t="str">
        <x:v>5.96</x:v>
      </x:c>
      <x:c r="AV25" s="15" t="n">
        <x:v>0.00501</x:v>
      </x:c>
      <x:c r="AW25" s="14" t="str">
        <x:v>exclude</x:v>
      </x:c>
      <x:c r="AX25" s="14" t="str">
        <x:v>multiple_source_records_for_full_parent_identity</x:v>
      </x:c>
      <x:c r="AY25" s="15" t="n">
        <x:v>1096.4781961431852</x:v>
      </x:c>
      <x:c r="AZ25" s="14" t="str">
        <x:v>source_reported_pKi</x:v>
      </x:c>
      <x:c r="BA25" s="15" t="n">
        <x:v>5.96</x:v>
      </x:c>
      <x:c r="BB25" s="14" t="str">
        <x:v>11dae94f2537e3de53d4676993b2e8692184d1b1025b7614e70e1fcad4b3efb8</x:v>
      </x:c>
      <x:c r="BC25" s="14" t="str">
        <x:v>XRDPJIJIWYVCKW-AVRDEDQJSA-N</x:v>
      </x:c>
      <x:c r="BD25" s="14" t="str">
        <x:v>Cc1ncoc1-c1nnc(SCCCN2CC[C@]3(C[C@H]3c3ccc(F)cc3)C2)n1C</x:v>
      </x:c>
      <x:c r="BE25" s="14" t="str">
        <x:v>Cc1ncoc1-c1nnc(SCCCN2CCC3(CC3c3ccc(F)cc3)C2)n1C</x:v>
      </x:c>
      <x:c r="BF25" s="14" t="str">
        <x:v>Cc1ncoc1-c1nnc(SCCCN2CC[C@]3(C[C@H]3c3ccc(F)cc3)C2)n1C</x:v>
      </x:c>
      <x:c r="BG25" s="16" t="n">
        <x:v>-7.144733196184916e-7</x:v>
      </x:c>
      <x:c r="BH25" s="15" t="n">
        <x:v>5.95999928552668</x:v>
      </x:c>
      <x:c r="BI25" s="14" t="str">
        <x:v>c1ccc(C2CC23CCN(CCCSc2nnc(-c4cnco4)[nH]2)C3)cc1</x:v>
      </x:c>
      <x:c r="BJ25" s="17" t="n">
        <x:v>2</x:v>
      </x:c>
      <x:c r="BK25" s="15" t="n">
        <x:v>1096.48</x:v>
      </x:c>
      <x:c r="BL25" s="16" t="n">
        <x:v>0.0018038568148313061</x:v>
      </x:c>
      <x:c r="BM25" s="14" t="str">
        <x:v>false</x:v>
      </x:c>
    </x:row>
    <x:row r="26" ht="51" customHeight="1">
      <x:c r="A26" s="9" t="str">
        <x:v>null</x:v>
      </x:c>
      <x:c r="B26" s="9" t="str">
        <x:v>null</x:v>
      </x:c>
      <x:c r="C26" s="9" t="str">
        <x:v>16670157</x:v>
      </x:c>
      <x:c r="D26" s="9" t="str">
        <x:v>[]</x:v>
      </x:c>
      <x:c r="E26" s="9" t="str">
        <x:v>CHEMBL3855278</x:v>
      </x:c>
      <x:c r="F26" s="9" t="str">
        <x:v>Displacement of [3H]-spiperone from human dopamine D2 receptor expressed in CHO-K1 cell membranes coexpressing Galpha16 after 120 mins by liquid scintillation counting</x:v>
      </x:c>
      <x:c r="G26" s="9" t="str">
        <x:v>B</x:v>
      </x:c>
      <x:c r="H26" s="9" t="str">
        <x:v>null</x:v>
      </x:c>
      <x:c r="I26" s="9" t="str">
        <x:v>null</x:v>
      </x:c>
      <x:c r="J26" s="9" t="str">
        <x:v>BAO_0000192</x:v>
      </x:c>
      <x:c r="K26" s="9" t="str">
        <x:v>BAO_0000219</x:v>
      </x:c>
      <x:c r="L26" s="9" t="str">
        <x:v>cell-based format</x:v>
      </x:c>
      <x:c r="M26" s="9" t="str">
        <x:v>Cc1ncoc1-c1nnc(SCCCN2CC[C@@]3(C[C@@H]3c3ccc(F)cc3)C2)n1C</x:v>
      </x:c>
      <x:c r="N26" s="9" t="str">
        <x:v>null</x:v>
      </x:c>
      <x:c r="O26" s="9" t="str">
        <x:v>null</x:v>
      </x:c>
      <x:c r="P26" s="9" t="str">
        <x:v>CHEMBL3853329</x:v>
      </x:c>
      <x:c r="Q26" s="9" t="str">
        <x:v>J Med Chem</x:v>
      </x:c>
      <x:c r="R26" s="13" t="n">
        <x:v>2016</x:v>
      </x:c>
      <x:c r="S26" s="9" t="str">
        <x:v>{"bei":"14.27","le":"0.28","lle":"1.82","sei":"10.17"}</x:v>
      </x:c>
      <x:c r="T26" s="9" t="str">
        <x:v>null</x:v>
      </x:c>
      <x:c r="U26" s="9" t="str">
        <x:v>CHEMBL3912029</x:v>
      </x:c>
      <x:c r="V26" s="9" t="str">
        <x:v>null</x:v>
      </x:c>
      <x:c r="W26" s="9" t="str">
        <x:v>CHEMBL3912029</x:v>
      </x:c>
      <x:c r="X26" s="11" t="n">
        <x:v>6.1</x:v>
      </x:c>
      <x:c r="Y26" s="13" t="n">
        <x:v>0</x:v>
      </x:c>
      <x:c r="Z26" s="9" t="str">
        <x:v>http://www.openphacts.org/units/Nanomolar</x:v>
      </x:c>
      <x:c r="AA26" s="9" t="str">
        <x:v>2796797</x:v>
      </x:c>
      <x:c r="AB26" s="9" t="str">
        <x:v>=</x:v>
      </x:c>
      <x:c r="AC26" s="9" t="str">
        <x:v>1</x:v>
      </x:c>
      <x:c r="AD26" s="13" t="n">
        <x:v>1</x:v>
      </x:c>
      <x:c r="AE26" s="9" t="str">
        <x:v>=</x:v>
      </x:c>
      <x:c r="AF26" s="9" t="str">
        <x:v>null</x:v>
      </x:c>
      <x:c r="AG26" s="9" t="str">
        <x:v>Ki</x:v>
      </x:c>
      <x:c r="AH26" s="9" t="str">
        <x:v>nM</x:v>
      </x:c>
      <x:c r="AI26" s="9" t="str">
        <x:v>null</x:v>
      </x:c>
      <x:c r="AJ26" s="11" t="n">
        <x:v>794.33</x:v>
      </x:c>
      <x:c r="AK26" s="9" t="str">
        <x:v>CHEMBL217</x:v>
      </x:c>
      <x:c r="AL26" s="9" t="str">
        <x:v>Homo sapiens</x:v>
      </x:c>
      <x:c r="AM26" s="9" t="str">
        <x:v>D(2) dopamine receptor</x:v>
      </x:c>
      <x:c r="AN26" s="9" t="str">
        <x:v>9606</x:v>
      </x:c>
      <x:c r="AO26" s="9" t="str">
        <x:v>null</x:v>
      </x:c>
      <x:c r="AP26" s="9" t="str">
        <x:v>null</x:v>
      </x:c>
      <x:c r="AQ26" s="9" t="str">
        <x:v>pKi</x:v>
      </x:c>
      <x:c r="AR26" s="9" t="str">
        <x:v>null</x:v>
      </x:c>
      <x:c r="AS26" s="9" t="str">
        <x:v>UO_0000065</x:v>
      </x:c>
      <x:c r="AT26" s="9" t="str">
        <x:v>null</x:v>
      </x:c>
      <x:c r="AU26" s="9" t="str">
        <x:v>6.1</x:v>
      </x:c>
      <x:c r="AV26" s="11" t="n">
        <x:v>0.00501</x:v>
      </x:c>
      <x:c r="AW26" s="9" t="str">
        <x:v>include</x:v>
      </x:c>
      <x:c r="AX26" s="9" t="str"/>
      <x:c r="AY26" s="11" t="n">
        <x:v>794.3282347242822</x:v>
      </x:c>
      <x:c r="AZ26" s="9" t="str">
        <x:v>source_reported_pKi</x:v>
      </x:c>
      <x:c r="BA26" s="11" t="n">
        <x:v>6.1</x:v>
      </x:c>
      <x:c r="BB26" s="9" t="str">
        <x:v>11dae94f2537e3de53d4676993b2e8692184d1b1025b7614e70e1fcad4b3efb8</x:v>
      </x:c>
      <x:c r="BC26" s="9" t="str">
        <x:v>XRDPJIJIWYVCKW-XMSQKQJNSA-N</x:v>
      </x:c>
      <x:c r="BD26" s="9" t="str">
        <x:v>Cc1ncoc1-c1nnc(SCCCN2CC[C@@]3(C[C@@H]3c3ccc(F)cc3)C2)n1C</x:v>
      </x:c>
      <x:c r="BE26" s="9" t="str">
        <x:v>Cc1ncoc1-c1nnc(SCCCN2CCC3(CC3c3ccc(F)cc3)C2)n1C</x:v>
      </x:c>
      <x:c r="BF26" s="9" t="str">
        <x:v>Cc1ncoc1-c1nnc(SCCCN2CC[C@@]3(C[C@@H]3c3ccc(F)cc3)C2)n1C</x:v>
      </x:c>
      <x:c r="BG26" s="12" t="n">
        <x:v>-9.651534691457186e-7</x:v>
      </x:c>
      <x:c r="BH26" s="11" t="n">
        <x:v>6.0999990348465305</x:v>
      </x:c>
      <x:c r="BI26" s="9" t="str">
        <x:v>c1ccc(C2CC23CCN(CCCSc2nnc(-c4cnco4)[nH]2)C3)cc1</x:v>
      </x:c>
      <x:c r="BJ26" s="13" t="n">
        <x:v>1</x:v>
      </x:c>
      <x:c r="BK26" s="11" t="n">
        <x:v>794.33</x:v>
      </x:c>
      <x:c r="BL26" s="12" t="n">
        <x:v>0.001765275717843906</x:v>
      </x:c>
      <x:c r="BM26" s="9" t="str">
        <x:v>false</x:v>
      </x:c>
    </x:row>
    <x:row r="27" ht="51" customHeight="1">
      <x:c r="A27" s="14" t="str">
        <x:v>null</x:v>
      </x:c>
      <x:c r="B27" s="14" t="str">
        <x:v>null</x:v>
      </x:c>
      <x:c r="C27" s="14" t="str">
        <x:v>16670158</x:v>
      </x:c>
      <x:c r="D27" s="14" t="str">
        <x:v>[]</x:v>
      </x:c>
      <x:c r="E27" s="14" t="str">
        <x:v>CHEMBL3855278</x:v>
      </x:c>
      <x:c r="F27" s="14" t="str">
        <x:v>Displacement of [3H]-spiperone from human dopamine D2 receptor expressed in CHO-K1 cell membranes coexpressing Galpha16 after 120 mins by liquid scintillation counting</x:v>
      </x:c>
      <x:c r="G27" s="14" t="str">
        <x:v>B</x:v>
      </x:c>
      <x:c r="H27" s="14" t="str">
        <x:v>null</x:v>
      </x:c>
      <x:c r="I27" s="14" t="str">
        <x:v>null</x:v>
      </x:c>
      <x:c r="J27" s="14" t="str">
        <x:v>BAO_0000192</x:v>
      </x:c>
      <x:c r="K27" s="14" t="str">
        <x:v>BAO_0000219</x:v>
      </x:c>
      <x:c r="L27" s="14" t="str">
        <x:v>cell-based format</x:v>
      </x:c>
      <x:c r="M27" s="14" t="str">
        <x:v>Cc1ncoc1-c1nnc(SCCCN2CC[C@]3(C[C@@H]3c3ccc(F)cc3)C2)n1C</x:v>
      </x:c>
      <x:c r="N27" s="14" t="str">
        <x:v>null</x:v>
      </x:c>
      <x:c r="O27" s="14" t="str">
        <x:v>null</x:v>
      </x:c>
      <x:c r="P27" s="14" t="str">
        <x:v>CHEMBL3853329</x:v>
      </x:c>
      <x:c r="Q27" s="14" t="str">
        <x:v>J Med Chem</x:v>
      </x:c>
      <x:c r="R27" s="17" t="n">
        <x:v>2016</x:v>
      </x:c>
      <x:c r="S27" s="14" t="str">
        <x:v>{"bei":"14.90","le":"0.29","lle":"2.09","sei":"10.62"}</x:v>
      </x:c>
      <x:c r="T27" s="14" t="str">
        <x:v>null</x:v>
      </x:c>
      <x:c r="U27" s="14" t="str">
        <x:v>CHEMBL3922143</x:v>
      </x:c>
      <x:c r="V27" s="14" t="str">
        <x:v>null</x:v>
      </x:c>
      <x:c r="W27" s="14" t="str">
        <x:v>CHEMBL3922143</x:v>
      </x:c>
      <x:c r="X27" s="15" t="n">
        <x:v>6.37</x:v>
      </x:c>
      <x:c r="Y27" s="17" t="n">
        <x:v>0</x:v>
      </x:c>
      <x:c r="Z27" s="14" t="str">
        <x:v>http://www.openphacts.org/units/Nanomolar</x:v>
      </x:c>
      <x:c r="AA27" s="14" t="str">
        <x:v>2796798</x:v>
      </x:c>
      <x:c r="AB27" s="14" t="str">
        <x:v>=</x:v>
      </x:c>
      <x:c r="AC27" s="14" t="str">
        <x:v>1</x:v>
      </x:c>
      <x:c r="AD27" s="17" t="n">
        <x:v>1</x:v>
      </x:c>
      <x:c r="AE27" s="14" t="str">
        <x:v>=</x:v>
      </x:c>
      <x:c r="AF27" s="14" t="str">
        <x:v>null</x:v>
      </x:c>
      <x:c r="AG27" s="14" t="str">
        <x:v>Ki</x:v>
      </x:c>
      <x:c r="AH27" s="14" t="str">
        <x:v>nM</x:v>
      </x:c>
      <x:c r="AI27" s="14" t="str">
        <x:v>null</x:v>
      </x:c>
      <x:c r="AJ27" s="15" t="n">
        <x:v>426.58</x:v>
      </x:c>
      <x:c r="AK27" s="14" t="str">
        <x:v>CHEMBL217</x:v>
      </x:c>
      <x:c r="AL27" s="14" t="str">
        <x:v>Homo sapiens</x:v>
      </x:c>
      <x:c r="AM27" s="14" t="str">
        <x:v>D(2) dopamine receptor</x:v>
      </x:c>
      <x:c r="AN27" s="14" t="str">
        <x:v>9606</x:v>
      </x:c>
      <x:c r="AO27" s="14" t="str">
        <x:v>null</x:v>
      </x:c>
      <x:c r="AP27" s="14" t="str">
        <x:v>null</x:v>
      </x:c>
      <x:c r="AQ27" s="14" t="str">
        <x:v>pKi</x:v>
      </x:c>
      <x:c r="AR27" s="14" t="str">
        <x:v>null</x:v>
      </x:c>
      <x:c r="AS27" s="14" t="str">
        <x:v>UO_0000065</x:v>
      </x:c>
      <x:c r="AT27" s="14" t="str">
        <x:v>null</x:v>
      </x:c>
      <x:c r="AU27" s="14" t="str">
        <x:v>6.37</x:v>
      </x:c>
      <x:c r="AV27" s="15" t="n">
        <x:v>0.00501</x:v>
      </x:c>
      <x:c r="AW27" s="14" t="str">
        <x:v>exclude</x:v>
      </x:c>
      <x:c r="AX27" s="14" t="str">
        <x:v>multiple_source_records_for_full_parent_identity</x:v>
      </x:c>
      <x:c r="AY27" s="15" t="n">
        <x:v>426.57951880159254</x:v>
      </x:c>
      <x:c r="AZ27" s="14" t="str">
        <x:v>source_reported_pKi</x:v>
      </x:c>
      <x:c r="BA27" s="15" t="n">
        <x:v>6.37</x:v>
      </x:c>
      <x:c r="BB27" s="14" t="str">
        <x:v>11dae94f2537e3de53d4676993b2e8692184d1b1025b7614e70e1fcad4b3efb8</x:v>
      </x:c>
      <x:c r="BC27" s="14" t="str">
        <x:v>XRDPJIJIWYVCKW-GCJKJVERSA-N</x:v>
      </x:c>
      <x:c r="BD27" s="14" t="str">
        <x:v>Cc1ncoc1-c1nnc(SCCCN2CC[C@]3(C[C@@H]3c3ccc(F)cc3)C2)n1C</x:v>
      </x:c>
      <x:c r="BE27" s="14" t="str">
        <x:v>Cc1ncoc1-c1nnc(SCCCN2CCC3(CC3c3ccc(F)cc3)C2)n1C</x:v>
      </x:c>
      <x:c r="BF27" s="14" t="str">
        <x:v>Cc1ncoc1-c1nnc(SCCCN2CC[C@]3(C[C@@H]3c3ccc(F)cc3)C2)n1C</x:v>
      </x:c>
      <x:c r="BG27" s="16" t="n">
        <x:v>-4.899009118375375e-7</x:v>
      </x:c>
      <x:c r="BH27" s="15" t="n">
        <x:v>6.369999510099088</x:v>
      </x:c>
      <x:c r="BI27" s="14" t="str">
        <x:v>c1ccc(C2CC23CCN(CCCSc2nnc(-c4cnco4)[nH]2)C3)cc1</x:v>
      </x:c>
      <x:c r="BJ27" s="17" t="n">
        <x:v>2</x:v>
      </x:c>
      <x:c r="BK27" s="15" t="n">
        <x:v>426.58</x:v>
      </x:c>
      <x:c r="BL27" s="16" t="n">
        <x:v>0.0004811984074422071</x:v>
      </x:c>
      <x:c r="BM27" s="14" t="str">
        <x:v>false</x:v>
      </x:c>
    </x:row>
    <x:row r="28" ht="51" customHeight="1">
      <x:c r="A28" s="9" t="str">
        <x:v>null</x:v>
      </x:c>
      <x:c r="B28" s="9" t="str">
        <x:v>null</x:v>
      </x:c>
      <x:c r="C28" s="9" t="str">
        <x:v>16670159</x:v>
      </x:c>
      <x:c r="D28" s="9" t="str">
        <x:v>[]</x:v>
      </x:c>
      <x:c r="E28" s="9" t="str">
        <x:v>CHEMBL3855278</x:v>
      </x:c>
      <x:c r="F28" s="9" t="str">
        <x:v>Displacement of [3H]-spiperone from human dopamine D2 receptor expressed in CHO-K1 cell membranes coexpressing Galpha16 after 120 mins by liquid scintillation counting</x:v>
      </x:c>
      <x:c r="G28" s="9" t="str">
        <x:v>B</x:v>
      </x:c>
      <x:c r="H28" s="9" t="str">
        <x:v>null</x:v>
      </x:c>
      <x:c r="I28" s="9" t="str">
        <x:v>null</x:v>
      </x:c>
      <x:c r="J28" s="9" t="str">
        <x:v>BAO_0000192</x:v>
      </x:c>
      <x:c r="K28" s="9" t="str">
        <x:v>BAO_0000219</x:v>
      </x:c>
      <x:c r="L28" s="9" t="str">
        <x:v>cell-based format</x:v>
      </x:c>
      <x:c r="M28" s="9" t="str">
        <x:v>Cc1ncoc1-c1nnc(SCCCN2CC[C@]3(C[C@@H]3c3ccc(F)cc3)C2)n1C</x:v>
      </x:c>
      <x:c r="N28" s="9" t="str">
        <x:v>null</x:v>
      </x:c>
      <x:c r="O28" s="9" t="str">
        <x:v>null</x:v>
      </x:c>
      <x:c r="P28" s="9" t="str">
        <x:v>CHEMBL3853329</x:v>
      </x:c>
      <x:c r="Q28" s="9" t="str">
        <x:v>J Med Chem</x:v>
      </x:c>
      <x:c r="R28" s="13" t="n">
        <x:v>2016</x:v>
      </x:c>
      <x:c r="S28" s="9" t="str">
        <x:v>{"bei":"11.91","le":"0.23","lle":"0.81","sei":"8.49"}</x:v>
      </x:c>
      <x:c r="T28" s="9" t="str">
        <x:v>null</x:v>
      </x:c>
      <x:c r="U28" s="9" t="str">
        <x:v>CHEMBL3922143</x:v>
      </x:c>
      <x:c r="V28" s="9" t="str">
        <x:v>null</x:v>
      </x:c>
      <x:c r="W28" s="9" t="str">
        <x:v>CHEMBL3922143</x:v>
      </x:c>
      <x:c r="X28" s="11" t="n">
        <x:v>5.09</x:v>
      </x:c>
      <x:c r="Y28" s="13" t="n">
        <x:v>0</x:v>
      </x:c>
      <x:c r="Z28" s="9" t="str">
        <x:v>http://www.openphacts.org/units/Nanomolar</x:v>
      </x:c>
      <x:c r="AA28" s="9" t="str">
        <x:v>2796799</x:v>
      </x:c>
      <x:c r="AB28" s="9" t="str">
        <x:v>=</x:v>
      </x:c>
      <x:c r="AC28" s="9" t="str">
        <x:v>1</x:v>
      </x:c>
      <x:c r="AD28" s="13" t="n">
        <x:v>1</x:v>
      </x:c>
      <x:c r="AE28" s="9" t="str">
        <x:v>=</x:v>
      </x:c>
      <x:c r="AF28" s="9" t="str">
        <x:v>null</x:v>
      </x:c>
      <x:c r="AG28" s="9" t="str">
        <x:v>Ki</x:v>
      </x:c>
      <x:c r="AH28" s="9" t="str">
        <x:v>nM</x:v>
      </x:c>
      <x:c r="AI28" s="9" t="str">
        <x:v>null</x:v>
      </x:c>
      <x:c r="AJ28" s="11" t="n">
        <x:v>8128.31</x:v>
      </x:c>
      <x:c r="AK28" s="9" t="str">
        <x:v>CHEMBL217</x:v>
      </x:c>
      <x:c r="AL28" s="9" t="str">
        <x:v>Homo sapiens</x:v>
      </x:c>
      <x:c r="AM28" s="9" t="str">
        <x:v>D(2) dopamine receptor</x:v>
      </x:c>
      <x:c r="AN28" s="9" t="str">
        <x:v>9606</x:v>
      </x:c>
      <x:c r="AO28" s="9" t="str">
        <x:v>null</x:v>
      </x:c>
      <x:c r="AP28" s="9" t="str">
        <x:v>null</x:v>
      </x:c>
      <x:c r="AQ28" s="9" t="str">
        <x:v>pKi</x:v>
      </x:c>
      <x:c r="AR28" s="9" t="str">
        <x:v>null</x:v>
      </x:c>
      <x:c r="AS28" s="9" t="str">
        <x:v>UO_0000065</x:v>
      </x:c>
      <x:c r="AT28" s="9" t="str">
        <x:v>null</x:v>
      </x:c>
      <x:c r="AU28" s="9" t="str">
        <x:v>5.09</x:v>
      </x:c>
      <x:c r="AV28" s="11" t="n">
        <x:v>0.008128305161640995</x:v>
      </x:c>
      <x:c r="AW28" s="9" t="str">
        <x:v>exclude</x:v>
      </x:c>
      <x:c r="AX28" s="9" t="str">
        <x:v>multiple_source_records_for_full_parent_identity</x:v>
      </x:c>
      <x:c r="AY28" s="11" t="n">
        <x:v>8128.305161640995</x:v>
      </x:c>
      <x:c r="AZ28" s="9" t="str">
        <x:v>source_reported_pKi</x:v>
      </x:c>
      <x:c r="BA28" s="11" t="n">
        <x:v>5.09</x:v>
      </x:c>
      <x:c r="BB28" s="9" t="str">
        <x:v>11dae94f2537e3de53d4676993b2e8692184d1b1025b7614e70e1fcad4b3efb8</x:v>
      </x:c>
      <x:c r="BC28" s="9" t="str">
        <x:v>XRDPJIJIWYVCKW-GCJKJVERSA-N</x:v>
      </x:c>
      <x:c r="BD28" s="9" t="str">
        <x:v>Cc1ncoc1-c1nnc(SCCCN2CC[C@]3(C[C@@H]3c3ccc(F)cc3)C2)n1C</x:v>
      </x:c>
      <x:c r="BE28" s="9" t="str">
        <x:v>Cc1ncoc1-c1nnc(SCCCN2CCC3(CC3c3ccc(F)cc3)C2)n1C</x:v>
      </x:c>
      <x:c r="BF28" s="9" t="str">
        <x:v>Cc1ncoc1-c1nnc(SCCCN2CC[C@]3(C[C@@H]3c3ccc(F)cc3)C2)n1C</x:v>
      </x:c>
      <x:c r="BG28" s="12" t="n">
        <x:v>-2.5851293106171624e-7</x:v>
      </x:c>
      <x:c r="BH28" s="11" t="n">
        <x:v>5.089999741487069</x:v>
      </x:c>
      <x:c r="BI28" s="9" t="str">
        <x:v>c1ccc(C2CC23CCN(CCCSc2nnc(-c4cnco4)[nH]2)C3)cc1</x:v>
      </x:c>
      <x:c r="BJ28" s="13" t="n">
        <x:v>2</x:v>
      </x:c>
      <x:c r="BK28" s="11" t="n">
        <x:v>8128.31</x:v>
      </x:c>
      <x:c r="BL28" s="12" t="n">
        <x:v>0.0048383590055891545</x:v>
      </x:c>
      <x:c r="BM28" s="9" t="str">
        <x:v>false</x:v>
      </x:c>
    </x:row>
    <x:row r="29" ht="51" customHeight="1">
      <x:c r="A29" s="14" t="str">
        <x:v>null</x:v>
      </x:c>
      <x:c r="B29" s="14" t="str">
        <x:v>null</x:v>
      </x:c>
      <x:c r="C29" s="14" t="str">
        <x:v>16670160</x:v>
      </x:c>
      <x:c r="D29" s="14" t="str">
        <x:v>[]</x:v>
      </x:c>
      <x:c r="E29" s="14" t="str">
        <x:v>CHEMBL3855278</x:v>
      </x:c>
      <x:c r="F29" s="14" t="str">
        <x:v>Displacement of [3H]-spiperone from human dopamine D2 receptor expressed in CHO-K1 cell membranes coexpressing Galpha16 after 120 mins by liquid scintillation counting</x:v>
      </x:c>
      <x:c r="G29" s="14" t="str">
        <x:v>B</x:v>
      </x:c>
      <x:c r="H29" s="14" t="str">
        <x:v>null</x:v>
      </x:c>
      <x:c r="I29" s="14" t="str">
        <x:v>null</x:v>
      </x:c>
      <x:c r="J29" s="14" t="str">
        <x:v>BAO_0000192</x:v>
      </x:c>
      <x:c r="K29" s="14" t="str">
        <x:v>BAO_0000219</x:v>
      </x:c>
      <x:c r="L29" s="14" t="str">
        <x:v>cell-based format</x:v>
      </x:c>
      <x:c r="M29" s="14" t="str">
        <x:v>Cc1ncoc1-c1nnc(SCCCN2CC[C@@]3(C[C@H]3c3ccc(F)cc3)C2)n1C</x:v>
      </x:c>
      <x:c r="N29" s="14" t="str">
        <x:v>null</x:v>
      </x:c>
      <x:c r="O29" s="14" t="str">
        <x:v>null</x:v>
      </x:c>
      <x:c r="P29" s="14" t="str">
        <x:v>CHEMBL3853329</x:v>
      </x:c>
      <x:c r="Q29" s="14" t="str">
        <x:v>J Med Chem</x:v>
      </x:c>
      <x:c r="R29" s="17" t="n">
        <x:v>2016</x:v>
      </x:c>
      <x:c r="S29" s="14" t="str">
        <x:v>{"bei":"15.48","le":"0.30","lle":"2.34","sei":"11.04"}</x:v>
      </x:c>
      <x:c r="T29" s="14" t="str">
        <x:v>null</x:v>
      </x:c>
      <x:c r="U29" s="14" t="str">
        <x:v>CHEMBL3963783</x:v>
      </x:c>
      <x:c r="V29" s="14" t="str">
        <x:v>null</x:v>
      </x:c>
      <x:c r="W29" s="14" t="str">
        <x:v>CHEMBL3963783</x:v>
      </x:c>
      <x:c r="X29" s="15" t="n">
        <x:v>6.62</x:v>
      </x:c>
      <x:c r="Y29" s="17" t="n">
        <x:v>0</x:v>
      </x:c>
      <x:c r="Z29" s="14" t="str">
        <x:v>http://www.openphacts.org/units/Nanomolar</x:v>
      </x:c>
      <x:c r="AA29" s="14" t="str">
        <x:v>2796800</x:v>
      </x:c>
      <x:c r="AB29" s="14" t="str">
        <x:v>=</x:v>
      </x:c>
      <x:c r="AC29" s="14" t="str">
        <x:v>1</x:v>
      </x:c>
      <x:c r="AD29" s="17" t="n">
        <x:v>1</x:v>
      </x:c>
      <x:c r="AE29" s="14" t="str">
        <x:v>=</x:v>
      </x:c>
      <x:c r="AF29" s="14" t="str">
        <x:v>null</x:v>
      </x:c>
      <x:c r="AG29" s="14" t="str">
        <x:v>Ki</x:v>
      </x:c>
      <x:c r="AH29" s="14" t="str">
        <x:v>nM</x:v>
      </x:c>
      <x:c r="AI29" s="14" t="str">
        <x:v>null</x:v>
      </x:c>
      <x:c r="AJ29" s="15" t="n">
        <x:v>239.88</x:v>
      </x:c>
      <x:c r="AK29" s="14" t="str">
        <x:v>CHEMBL217</x:v>
      </x:c>
      <x:c r="AL29" s="14" t="str">
        <x:v>Homo sapiens</x:v>
      </x:c>
      <x:c r="AM29" s="14" t="str">
        <x:v>D(2) dopamine receptor</x:v>
      </x:c>
      <x:c r="AN29" s="14" t="str">
        <x:v>9606</x:v>
      </x:c>
      <x:c r="AO29" s="14" t="str">
        <x:v>null</x:v>
      </x:c>
      <x:c r="AP29" s="14" t="str">
        <x:v>null</x:v>
      </x:c>
      <x:c r="AQ29" s="14" t="str">
        <x:v>pKi</x:v>
      </x:c>
      <x:c r="AR29" s="14" t="str">
        <x:v>null</x:v>
      </x:c>
      <x:c r="AS29" s="14" t="str">
        <x:v>UO_0000065</x:v>
      </x:c>
      <x:c r="AT29" s="14" t="str">
        <x:v>null</x:v>
      </x:c>
      <x:c r="AU29" s="14" t="str">
        <x:v>6.62</x:v>
      </x:c>
      <x:c r="AV29" s="15" t="n">
        <x:v>0.00501</x:v>
      </x:c>
      <x:c r="AW29" s="14" t="str">
        <x:v>include</x:v>
      </x:c>
      <x:c r="AX29" s="14" t="str"/>
      <x:c r="AY29" s="15" t="n">
        <x:v>239.88329190194898</x:v>
      </x:c>
      <x:c r="AZ29" s="14" t="str">
        <x:v>source_reported_pKi</x:v>
      </x:c>
      <x:c r="BA29" s="15" t="n">
        <x:v>6.62</x:v>
      </x:c>
      <x:c r="BB29" s="14" t="str">
        <x:v>11dae94f2537e3de53d4676993b2e8692184d1b1025b7614e70e1fcad4b3efb8</x:v>
      </x:c>
      <x:c r="BC29" s="14" t="str">
        <x:v>XRDPJIJIWYVCKW-PGRDOPGGSA-N</x:v>
      </x:c>
      <x:c r="BD29" s="14" t="str">
        <x:v>Cc1ncoc1-c1nnc(SCCCN2CC[C@@]3(C[C@H]3c3ccc(F)cc3)C2)n1C</x:v>
      </x:c>
      <x:c r="BE29" s="14" t="str">
        <x:v>Cc1ncoc1-c1nnc(SCCCN2CCC3(CC3c3ccc(F)cc3)C2)n1C</x:v>
      </x:c>
      <x:c r="BF29" s="14" t="str">
        <x:v>Cc1ncoc1-c1nnc(SCCCN2CC[C@@]3(C[C@H]3c3ccc(F)cc3)C2)n1C</x:v>
      </x:c>
      <x:c r="BG29" s="16" t="n">
        <x:v>0.000005959834258106866</x:v>
      </x:c>
      <x:c r="BH29" s="15" t="n">
        <x:v>6.620005959834258</x:v>
      </x:c>
      <x:c r="BI29" s="14" t="str">
        <x:v>c1ccc(C2CC23CCN(CCCSc2nnc(-c4cnco4)[nH]2)C3)cc1</x:v>
      </x:c>
      <x:c r="BJ29" s="17" t="n">
        <x:v>1</x:v>
      </x:c>
      <x:c r="BK29" s="15" t="n">
        <x:v>239.88</x:v>
      </x:c>
      <x:c r="BL29" s="16" t="n">
        <x:v>-0.0032919019489838774</x:v>
      </x:c>
      <x:c r="BM29" s="14" t="str">
        <x:v>false</x:v>
      </x:c>
    </x:row>
    <x:row r="30" ht="51" customHeight="1">
      <x:c r="A30" s="9" t="str">
        <x:v>null</x:v>
      </x:c>
      <x:c r="B30" s="9" t="str">
        <x:v>null</x:v>
      </x:c>
      <x:c r="C30" s="9" t="str">
        <x:v>16670161</x:v>
      </x:c>
      <x:c r="D30" s="9" t="str">
        <x:v>[]</x:v>
      </x:c>
      <x:c r="E30" s="9" t="str">
        <x:v>CHEMBL3855278</x:v>
      </x:c>
      <x:c r="F30" s="9" t="str">
        <x:v>Displacement of [3H]-spiperone from human dopamine D2 receptor expressed in CHO-K1 cell membranes coexpressing Galpha16 after 120 mins by liquid scintillation counting</x:v>
      </x:c>
      <x:c r="G30" s="9" t="str">
        <x:v>B</x:v>
      </x:c>
      <x:c r="H30" s="9" t="str">
        <x:v>null</x:v>
      </x:c>
      <x:c r="I30" s="9" t="str">
        <x:v>null</x:v>
      </x:c>
      <x:c r="J30" s="9" t="str">
        <x:v>BAO_0000192</x:v>
      </x:c>
      <x:c r="K30" s="9" t="str">
        <x:v>BAO_0000219</x:v>
      </x:c>
      <x:c r="L30" s="9" t="str">
        <x:v>cell-based format</x:v>
      </x:c>
      <x:c r="M30" s="9" t="str">
        <x:v>Cc1ncoc1-c1nnc(SCCCN2CC[C@]3(C[C@H]3c3ccc(F)cc3F)C2)n1C</x:v>
      </x:c>
      <x:c r="N30" s="9" t="str">
        <x:v>null</x:v>
      </x:c>
      <x:c r="O30" s="9" t="str">
        <x:v>null</x:v>
      </x:c>
      <x:c r="P30" s="9" t="str">
        <x:v>CHEMBL3853329</x:v>
      </x:c>
      <x:c r="Q30" s="9" t="str">
        <x:v>J Med Chem</x:v>
      </x:c>
      <x:c r="R30" s="13" t="n">
        <x:v>2016</x:v>
      </x:c>
      <x:c r="S30" s="9" t="str">
        <x:v>{"bei":"14.07","le":"0.28","lle":"1.85","sei":"10.45"}</x:v>
      </x:c>
      <x:c r="T30" s="9" t="str">
        <x:v>null</x:v>
      </x:c>
      <x:c r="U30" s="9" t="str">
        <x:v>CHEMBL3908548</x:v>
      </x:c>
      <x:c r="V30" s="9" t="str">
        <x:v>null</x:v>
      </x:c>
      <x:c r="W30" s="9" t="str">
        <x:v>CHEMBL3908548</x:v>
      </x:c>
      <x:c r="X30" s="11" t="n">
        <x:v>6.27</x:v>
      </x:c>
      <x:c r="Y30" s="13" t="n">
        <x:v>0</x:v>
      </x:c>
      <x:c r="Z30" s="9" t="str">
        <x:v>http://www.openphacts.org/units/Nanomolar</x:v>
      </x:c>
      <x:c r="AA30" s="9" t="str">
        <x:v>2796801</x:v>
      </x:c>
      <x:c r="AB30" s="9" t="str">
        <x:v>=</x:v>
      </x:c>
      <x:c r="AC30" s="9" t="str">
        <x:v>1</x:v>
      </x:c>
      <x:c r="AD30" s="13" t="n">
        <x:v>1</x:v>
      </x:c>
      <x:c r="AE30" s="9" t="str">
        <x:v>=</x:v>
      </x:c>
      <x:c r="AF30" s="9" t="str">
        <x:v>null</x:v>
      </x:c>
      <x:c r="AG30" s="9" t="str">
        <x:v>Ki</x:v>
      </x:c>
      <x:c r="AH30" s="9" t="str">
        <x:v>nM</x:v>
      </x:c>
      <x:c r="AI30" s="9" t="str">
        <x:v>null</x:v>
      </x:c>
      <x:c r="AJ30" s="11" t="n">
        <x:v>537.03</x:v>
      </x:c>
      <x:c r="AK30" s="9" t="str">
        <x:v>CHEMBL217</x:v>
      </x:c>
      <x:c r="AL30" s="9" t="str">
        <x:v>Homo sapiens</x:v>
      </x:c>
      <x:c r="AM30" s="9" t="str">
        <x:v>D(2) dopamine receptor</x:v>
      </x:c>
      <x:c r="AN30" s="9" t="str">
        <x:v>9606</x:v>
      </x:c>
      <x:c r="AO30" s="9" t="str">
        <x:v>null</x:v>
      </x:c>
      <x:c r="AP30" s="9" t="str">
        <x:v>null</x:v>
      </x:c>
      <x:c r="AQ30" s="9" t="str">
        <x:v>pKi</x:v>
      </x:c>
      <x:c r="AR30" s="9" t="str">
        <x:v>null</x:v>
      </x:c>
      <x:c r="AS30" s="9" t="str">
        <x:v>UO_0000065</x:v>
      </x:c>
      <x:c r="AT30" s="9" t="str">
        <x:v>null</x:v>
      </x:c>
      <x:c r="AU30" s="9" t="str">
        <x:v>6.27</x:v>
      </x:c>
      <x:c r="AV30" s="11" t="n">
        <x:v>0.00501</x:v>
      </x:c>
      <x:c r="AW30" s="9" t="str">
        <x:v>exclude</x:v>
      </x:c>
      <x:c r="AX30" s="9" t="str">
        <x:v>multiple_source_records_for_full_parent_identity</x:v>
      </x:c>
      <x:c r="AY30" s="11" t="n">
        <x:v>537.0317963702532</x:v>
      </x:c>
      <x:c r="AZ30" s="9" t="str">
        <x:v>source_reported_pKi</x:v>
      </x:c>
      <x:c r="BA30" s="11" t="n">
        <x:v>6.27</x:v>
      </x:c>
      <x:c r="BB30" s="9" t="str">
        <x:v>c9bb72c84834730b0cbc7844a15d094f61b850161fa051c0501826f0896ec0e8</x:v>
      </x:c>
      <x:c r="BC30" s="9" t="str">
        <x:v>XIHOJUYAGODVFH-JTSKRJEESA-N</x:v>
      </x:c>
      <x:c r="BD30" s="9" t="str">
        <x:v>Cc1ncoc1-c1nnc(SCCCN2CC[C@]3(C[C@H]3c3ccc(F)cc3F)C2)n1C</x:v>
      </x:c>
      <x:c r="BE30" s="9" t="str">
        <x:v>Cc1ncoc1-c1nnc(SCCCN2CCC3(CC3c3ccc(F)cc3F)C2)n1C</x:v>
      </x:c>
      <x:c r="BF30" s="9" t="str">
        <x:v>Cc1ncoc1-c1nnc(SCCCN2CC[C@]3(C[C@H]3c3ccc(F)cc3F)C2)n1C</x:v>
      </x:c>
      <x:c r="BG30" s="12" t="n">
        <x:v>0.000001452716578143054</x:v>
      </x:c>
      <x:c r="BH30" s="11" t="n">
        <x:v>6.270001452716578</x:v>
      </x:c>
      <x:c r="BI30" s="9" t="str">
        <x:v>c1ccc(C2CC23CCN(CCCSc2nnc(-c4cnco4)[nH]2)C3)cc1</x:v>
      </x:c>
      <x:c r="BJ30" s="13" t="n">
        <x:v>2</x:v>
      </x:c>
      <x:c r="BK30" s="11" t="n">
        <x:v>537.03</x:v>
      </x:c>
      <x:c r="BL30" s="12" t="n">
        <x:v>-0.001796370253259738</x:v>
      </x:c>
      <x:c r="BM30" s="9" t="str">
        <x:v>false</x:v>
      </x:c>
    </x:row>
    <x:row r="31" ht="51" customHeight="1">
      <x:c r="A31" s="14" t="str">
        <x:v>null</x:v>
      </x:c>
      <x:c r="B31" s="14" t="str">
        <x:v>null</x:v>
      </x:c>
      <x:c r="C31" s="14" t="str">
        <x:v>16670162</x:v>
      </x:c>
      <x:c r="D31" s="14" t="str">
        <x:v>[]</x:v>
      </x:c>
      <x:c r="E31" s="14" t="str">
        <x:v>CHEMBL3855278</x:v>
      </x:c>
      <x:c r="F31" s="14" t="str">
        <x:v>Displacement of [3H]-spiperone from human dopamine D2 receptor expressed in CHO-K1 cell membranes coexpressing Galpha16 after 120 mins by liquid scintillation counting</x:v>
      </x:c>
      <x:c r="G31" s="14" t="str">
        <x:v>B</x:v>
      </x:c>
      <x:c r="H31" s="14" t="str">
        <x:v>null</x:v>
      </x:c>
      <x:c r="I31" s="14" t="str">
        <x:v>null</x:v>
      </x:c>
      <x:c r="J31" s="14" t="str">
        <x:v>BAO_0000192</x:v>
      </x:c>
      <x:c r="K31" s="14" t="str">
        <x:v>BAO_0000219</x:v>
      </x:c>
      <x:c r="L31" s="14" t="str">
        <x:v>cell-based format</x:v>
      </x:c>
      <x:c r="M31" s="14" t="str">
        <x:v>Cc1ncoc1-c1nnc(SCCCN2CC[C@]3(C[C@H]3c3ccc(F)cc3F)C2)n1C</x:v>
      </x:c>
      <x:c r="N31" s="14" t="str">
        <x:v>null</x:v>
      </x:c>
      <x:c r="O31" s="14" t="str">
        <x:v>null</x:v>
      </x:c>
      <x:c r="P31" s="14" t="str">
        <x:v>CHEMBL3853329</x:v>
      </x:c>
      <x:c r="Q31" s="14" t="str">
        <x:v>J Med Chem</x:v>
      </x:c>
      <x:c r="R31" s="17" t="n">
        <x:v>2016</x:v>
      </x:c>
      <x:c r="S31" s="14" t="str">
        <x:v>{"bei":"13.85","le":"0.27","lle":"1.75","sei":"10.29"}</x:v>
      </x:c>
      <x:c r="T31" s="14" t="str">
        <x:v>null</x:v>
      </x:c>
      <x:c r="U31" s="14" t="str">
        <x:v>CHEMBL3908548</x:v>
      </x:c>
      <x:c r="V31" s="14" t="str">
        <x:v>null</x:v>
      </x:c>
      <x:c r="W31" s="14" t="str">
        <x:v>CHEMBL3908548</x:v>
      </x:c>
      <x:c r="X31" s="15" t="n">
        <x:v>6.17</x:v>
      </x:c>
      <x:c r="Y31" s="17" t="n">
        <x:v>0</x:v>
      </x:c>
      <x:c r="Z31" s="14" t="str">
        <x:v>http://www.openphacts.org/units/Nanomolar</x:v>
      </x:c>
      <x:c r="AA31" s="14" t="str">
        <x:v>2796802</x:v>
      </x:c>
      <x:c r="AB31" s="14" t="str">
        <x:v>=</x:v>
      </x:c>
      <x:c r="AC31" s="14" t="str">
        <x:v>1</x:v>
      </x:c>
      <x:c r="AD31" s="17" t="n">
        <x:v>1</x:v>
      </x:c>
      <x:c r="AE31" s="14" t="str">
        <x:v>=</x:v>
      </x:c>
      <x:c r="AF31" s="14" t="str">
        <x:v>null</x:v>
      </x:c>
      <x:c r="AG31" s="14" t="str">
        <x:v>Ki</x:v>
      </x:c>
      <x:c r="AH31" s="14" t="str">
        <x:v>nM</x:v>
      </x:c>
      <x:c r="AI31" s="14" t="str">
        <x:v>null</x:v>
      </x:c>
      <x:c r="AJ31" s="15" t="n">
        <x:v>676.08</x:v>
      </x:c>
      <x:c r="AK31" s="14" t="str">
        <x:v>CHEMBL217</x:v>
      </x:c>
      <x:c r="AL31" s="14" t="str">
        <x:v>Homo sapiens</x:v>
      </x:c>
      <x:c r="AM31" s="14" t="str">
        <x:v>D(2) dopamine receptor</x:v>
      </x:c>
      <x:c r="AN31" s="14" t="str">
        <x:v>9606</x:v>
      </x:c>
      <x:c r="AO31" s="14" t="str">
        <x:v>null</x:v>
      </x:c>
      <x:c r="AP31" s="14" t="str">
        <x:v>null</x:v>
      </x:c>
      <x:c r="AQ31" s="14" t="str">
        <x:v>pKi</x:v>
      </x:c>
      <x:c r="AR31" s="14" t="str">
        <x:v>null</x:v>
      </x:c>
      <x:c r="AS31" s="14" t="str">
        <x:v>UO_0000065</x:v>
      </x:c>
      <x:c r="AT31" s="14" t="str">
        <x:v>null</x:v>
      </x:c>
      <x:c r="AU31" s="14" t="str">
        <x:v>6.17</x:v>
      </x:c>
      <x:c r="AV31" s="15" t="n">
        <x:v>0.00501</x:v>
      </x:c>
      <x:c r="AW31" s="14" t="str">
        <x:v>exclude</x:v>
      </x:c>
      <x:c r="AX31" s="14" t="str">
        <x:v>multiple_source_records_for_full_parent_identity</x:v>
      </x:c>
      <x:c r="AY31" s="15" t="n">
        <x:v>676.0829753919819</x:v>
      </x:c>
      <x:c r="AZ31" s="14" t="str">
        <x:v>source_reported_pKi</x:v>
      </x:c>
      <x:c r="BA31" s="15" t="n">
        <x:v>6.17</x:v>
      </x:c>
      <x:c r="BB31" s="14" t="str">
        <x:v>c9bb72c84834730b0cbc7844a15d094f61b850161fa051c0501826f0896ec0e8</x:v>
      </x:c>
      <x:c r="BC31" s="14" t="str">
        <x:v>XIHOJUYAGODVFH-JTSKRJEESA-N</x:v>
      </x:c>
      <x:c r="BD31" s="14" t="str">
        <x:v>Cc1ncoc1-c1nnc(SCCCN2CC[C@]3(C[C@H]3c3ccc(F)cc3F)C2)n1C</x:v>
      </x:c>
      <x:c r="BE31" s="14" t="str">
        <x:v>Cc1ncoc1-c1nnc(SCCCN2CCC3(CC3c3ccc(F)cc3F)C2)n1C</x:v>
      </x:c>
      <x:c r="BF31" s="14" t="str">
        <x:v>Cc1ncoc1-c1nnc(SCCCN2CC[C@]3(C[C@H]3c3ccc(F)cc3F)C2)n1C</x:v>
      </x:c>
      <x:c r="BG31" s="16" t="n">
        <x:v>0.0000019113026201722505</x:v>
      </x:c>
      <x:c r="BH31" s="15" t="n">
        <x:v>6.17000191130262</x:v>
      </x:c>
      <x:c r="BI31" s="14" t="str">
        <x:v>c1ccc(C2CC23CCN(CCCSc2nnc(-c4cnco4)[nH]2)C3)cc1</x:v>
      </x:c>
      <x:c r="BJ31" s="17" t="n">
        <x:v>2</x:v>
      </x:c>
      <x:c r="BK31" s="15" t="n">
        <x:v>676.08</x:v>
      </x:c>
      <x:c r="BL31" s="16" t="n">
        <x:v>-0.0029753919818631402</x:v>
      </x:c>
      <x:c r="BM31" s="14" t="str">
        <x:v>false</x:v>
      </x:c>
    </x:row>
    <x:row r="32" ht="51" customHeight="1">
      <x:c r="A32" s="9" t="str">
        <x:v>null</x:v>
      </x:c>
      <x:c r="B32" s="9" t="str">
        <x:v>null</x:v>
      </x:c>
      <x:c r="C32" s="9" t="str">
        <x:v>16670163</x:v>
      </x:c>
      <x:c r="D32" s="9" t="str">
        <x:v>[]</x:v>
      </x:c>
      <x:c r="E32" s="9" t="str">
        <x:v>CHEMBL3855278</x:v>
      </x:c>
      <x:c r="F32" s="9" t="str">
        <x:v>Displacement of [3H]-spiperone from human dopamine D2 receptor expressed in CHO-K1 cell membranes coexpressing Galpha16 after 120 mins by liquid scintillation counting</x:v>
      </x:c>
      <x:c r="G32" s="9" t="str">
        <x:v>B</x:v>
      </x:c>
      <x:c r="H32" s="9" t="str">
        <x:v>null</x:v>
      </x:c>
      <x:c r="I32" s="9" t="str">
        <x:v>null</x:v>
      </x:c>
      <x:c r="J32" s="9" t="str">
        <x:v>BAO_0000192</x:v>
      </x:c>
      <x:c r="K32" s="9" t="str">
        <x:v>BAO_0000219</x:v>
      </x:c>
      <x:c r="L32" s="9" t="str">
        <x:v>cell-based format</x:v>
      </x:c>
      <x:c r="M32" s="9" t="str">
        <x:v>Cc1ncoc1-c1nnc(SCCCN2CC[C@@]3(C[C@@H]3c3ccc(F)cc3F)C2)n1C</x:v>
      </x:c>
      <x:c r="N32" s="9" t="str">
        <x:v>null</x:v>
      </x:c>
      <x:c r="O32" s="9" t="str">
        <x:v>null</x:v>
      </x:c>
      <x:c r="P32" s="9" t="str">
        <x:v>CHEMBL3853329</x:v>
      </x:c>
      <x:c r="Q32" s="9" t="str">
        <x:v>J Med Chem</x:v>
      </x:c>
      <x:c r="R32" s="13" t="n">
        <x:v>2016</x:v>
      </x:c>
      <x:c r="S32" s="9" t="str">
        <x:v>{"bei":"13.51","le":"0.27","lle":"1.60","sei":"10.04"}</x:v>
      </x:c>
      <x:c r="T32" s="9" t="str">
        <x:v>null</x:v>
      </x:c>
      <x:c r="U32" s="9" t="str">
        <x:v>CHEMBL3945775</x:v>
      </x:c>
      <x:c r="V32" s="9" t="str">
        <x:v>null</x:v>
      </x:c>
      <x:c r="W32" s="9" t="str">
        <x:v>CHEMBL3945775</x:v>
      </x:c>
      <x:c r="X32" s="11" t="n">
        <x:v>6.02</x:v>
      </x:c>
      <x:c r="Y32" s="13" t="n">
        <x:v>0</x:v>
      </x:c>
      <x:c r="Z32" s="9" t="str">
        <x:v>http://www.openphacts.org/units/Nanomolar</x:v>
      </x:c>
      <x:c r="AA32" s="9" t="str">
        <x:v>2796803</x:v>
      </x:c>
      <x:c r="AB32" s="9" t="str">
        <x:v>=</x:v>
      </x:c>
      <x:c r="AC32" s="9" t="str">
        <x:v>1</x:v>
      </x:c>
      <x:c r="AD32" s="13" t="n">
        <x:v>1</x:v>
      </x:c>
      <x:c r="AE32" s="9" t="str">
        <x:v>=</x:v>
      </x:c>
      <x:c r="AF32" s="9" t="str">
        <x:v>null</x:v>
      </x:c>
      <x:c r="AG32" s="9" t="str">
        <x:v>Ki</x:v>
      </x:c>
      <x:c r="AH32" s="9" t="str">
        <x:v>nM</x:v>
      </x:c>
      <x:c r="AI32" s="9" t="str">
        <x:v>null</x:v>
      </x:c>
      <x:c r="AJ32" s="11" t="n">
        <x:v>954.99</x:v>
      </x:c>
      <x:c r="AK32" s="9" t="str">
        <x:v>CHEMBL217</x:v>
      </x:c>
      <x:c r="AL32" s="9" t="str">
        <x:v>Homo sapiens</x:v>
      </x:c>
      <x:c r="AM32" s="9" t="str">
        <x:v>D(2) dopamine receptor</x:v>
      </x:c>
      <x:c r="AN32" s="9" t="str">
        <x:v>9606</x:v>
      </x:c>
      <x:c r="AO32" s="9" t="str">
        <x:v>null</x:v>
      </x:c>
      <x:c r="AP32" s="9" t="str">
        <x:v>null</x:v>
      </x:c>
      <x:c r="AQ32" s="9" t="str">
        <x:v>pKi</x:v>
      </x:c>
      <x:c r="AR32" s="9" t="str">
        <x:v>null</x:v>
      </x:c>
      <x:c r="AS32" s="9" t="str">
        <x:v>UO_0000065</x:v>
      </x:c>
      <x:c r="AT32" s="9" t="str">
        <x:v>null</x:v>
      </x:c>
      <x:c r="AU32" s="9" t="str">
        <x:v>6.02</x:v>
      </x:c>
      <x:c r="AV32" s="11" t="n">
        <x:v>0.00501</x:v>
      </x:c>
      <x:c r="AW32" s="9" t="str">
        <x:v>include</x:v>
      </x:c>
      <x:c r="AX32" s="9" t="str"/>
      <x:c r="AY32" s="11" t="n">
        <x:v>954.9925860214369</x:v>
      </x:c>
      <x:c r="AZ32" s="9" t="str">
        <x:v>source_reported_pKi</x:v>
      </x:c>
      <x:c r="BA32" s="11" t="n">
        <x:v>6.02</x:v>
      </x:c>
      <x:c r="BB32" s="9" t="str">
        <x:v>c9bb72c84834730b0cbc7844a15d094f61b850161fa051c0501826f0896ec0e8</x:v>
      </x:c>
      <x:c r="BC32" s="9" t="str">
        <x:v>XIHOJUYAGODVFH-VGOFRKELSA-N</x:v>
      </x:c>
      <x:c r="BD32" s="9" t="str">
        <x:v>Cc1ncoc1-c1nnc(SCCCN2CC[C@@]3(C[C@@H]3c3ccc(F)cc3F)C2)n1C</x:v>
      </x:c>
      <x:c r="BE32" s="9" t="str">
        <x:v>Cc1ncoc1-c1nnc(SCCCN2CCC3(CC3c3ccc(F)cc3F)C2)n1C</x:v>
      </x:c>
      <x:c r="BF32" s="9" t="str">
        <x:v>Cc1ncoc1-c1nnc(SCCCN2CC[C@@]3(C[C@@H]3c3ccc(F)cc3F)C2)n1C</x:v>
      </x:c>
      <x:c r="BG32" s="12" t="n">
        <x:v>0.0000011760262612625638</x:v>
      </x:c>
      <x:c r="BH32" s="11" t="n">
        <x:v>6.020001176026261</x:v>
      </x:c>
      <x:c r="BI32" s="9" t="str">
        <x:v>c1ccc(C2CC23CCN(CCCSc2nnc(-c4cnco4)[nH]2)C3)cc1</x:v>
      </x:c>
      <x:c r="BJ32" s="13" t="n">
        <x:v>1</x:v>
      </x:c>
      <x:c r="BK32" s="11" t="n">
        <x:v>954.99</x:v>
      </x:c>
      <x:c r="BL32" s="12" t="n">
        <x:v>-0.002586021436854935</x:v>
      </x:c>
      <x:c r="BM32" s="9" t="str">
        <x:v>false</x:v>
      </x:c>
    </x:row>
    <x:row r="33" ht="51" customHeight="1">
      <x:c r="A33" s="14" t="str">
        <x:v>null</x:v>
      </x:c>
      <x:c r="B33" s="14" t="str">
        <x:v>null</x:v>
      </x:c>
      <x:c r="C33" s="14" t="str">
        <x:v>16670164</x:v>
      </x:c>
      <x:c r="D33" s="14" t="str">
        <x:v>[]</x:v>
      </x:c>
      <x:c r="E33" s="14" t="str">
        <x:v>CHEMBL3855278</x:v>
      </x:c>
      <x:c r="F33" s="14" t="str">
        <x:v>Displacement of [3H]-spiperone from human dopamine D2 receptor expressed in CHO-K1 cell membranes coexpressing Galpha16 after 120 mins by liquid scintillation counting</x:v>
      </x:c>
      <x:c r="G33" s="14" t="str">
        <x:v>B</x:v>
      </x:c>
      <x:c r="H33" s="14" t="str">
        <x:v>null</x:v>
      </x:c>
      <x:c r="I33" s="14" t="str">
        <x:v>null</x:v>
      </x:c>
      <x:c r="J33" s="14" t="str">
        <x:v>BAO_0000192</x:v>
      </x:c>
      <x:c r="K33" s="14" t="str">
        <x:v>BAO_0000219</x:v>
      </x:c>
      <x:c r="L33" s="14" t="str">
        <x:v>cell-based format</x:v>
      </x:c>
      <x:c r="M33" s="14" t="str">
        <x:v>Cc1ncoc1-c1nnc(SCCCN2CC[C@]3(C[C@@H]3c3ccc(F)cc3F)C2)n1C</x:v>
      </x:c>
      <x:c r="N33" s="14" t="str">
        <x:v>null</x:v>
      </x:c>
      <x:c r="O33" s="14" t="str">
        <x:v>null</x:v>
      </x:c>
      <x:c r="P33" s="14" t="str">
        <x:v>CHEMBL3853329</x:v>
      </x:c>
      <x:c r="Q33" s="14" t="str">
        <x:v>J Med Chem</x:v>
      </x:c>
      <x:c r="R33" s="17" t="n">
        <x:v>2016</x:v>
      </x:c>
      <x:c r="S33" s="14" t="str">
        <x:v>{"bei":"14.66","le":"0.29","lle":"2.11","sei":"10.89"}</x:v>
      </x:c>
      <x:c r="T33" s="14" t="str">
        <x:v>null</x:v>
      </x:c>
      <x:c r="U33" s="14" t="str">
        <x:v>CHEMBL3917887</x:v>
      </x:c>
      <x:c r="V33" s="14" t="str">
        <x:v>null</x:v>
      </x:c>
      <x:c r="W33" s="14" t="str">
        <x:v>CHEMBL3917887</x:v>
      </x:c>
      <x:c r="X33" s="15" t="n">
        <x:v>6.53</x:v>
      </x:c>
      <x:c r="Y33" s="17" t="n">
        <x:v>0</x:v>
      </x:c>
      <x:c r="Z33" s="14" t="str">
        <x:v>http://www.openphacts.org/units/Nanomolar</x:v>
      </x:c>
      <x:c r="AA33" s="14" t="str">
        <x:v>2796804</x:v>
      </x:c>
      <x:c r="AB33" s="14" t="str">
        <x:v>=</x:v>
      </x:c>
      <x:c r="AC33" s="14" t="str">
        <x:v>1</x:v>
      </x:c>
      <x:c r="AD33" s="17" t="n">
        <x:v>1</x:v>
      </x:c>
      <x:c r="AE33" s="14" t="str">
        <x:v>=</x:v>
      </x:c>
      <x:c r="AF33" s="14" t="str">
        <x:v>null</x:v>
      </x:c>
      <x:c r="AG33" s="14" t="str">
        <x:v>Ki</x:v>
      </x:c>
      <x:c r="AH33" s="14" t="str">
        <x:v>nM</x:v>
      </x:c>
      <x:c r="AI33" s="14" t="str">
        <x:v>null</x:v>
      </x:c>
      <x:c r="AJ33" s="15" t="n">
        <x:v>295.12</x:v>
      </x:c>
      <x:c r="AK33" s="14" t="str">
        <x:v>CHEMBL217</x:v>
      </x:c>
      <x:c r="AL33" s="14" t="str">
        <x:v>Homo sapiens</x:v>
      </x:c>
      <x:c r="AM33" s="14" t="str">
        <x:v>D(2) dopamine receptor</x:v>
      </x:c>
      <x:c r="AN33" s="14" t="str">
        <x:v>9606</x:v>
      </x:c>
      <x:c r="AO33" s="14" t="str">
        <x:v>null</x:v>
      </x:c>
      <x:c r="AP33" s="14" t="str">
        <x:v>null</x:v>
      </x:c>
      <x:c r="AQ33" s="14" t="str">
        <x:v>pKi</x:v>
      </x:c>
      <x:c r="AR33" s="14" t="str">
        <x:v>null</x:v>
      </x:c>
      <x:c r="AS33" s="14" t="str">
        <x:v>UO_0000065</x:v>
      </x:c>
      <x:c r="AT33" s="14" t="str">
        <x:v>null</x:v>
      </x:c>
      <x:c r="AU33" s="14" t="str">
        <x:v>6.53</x:v>
      </x:c>
      <x:c r="AV33" s="15" t="n">
        <x:v>0.00501</x:v>
      </x:c>
      <x:c r="AW33" s="14" t="str">
        <x:v>exclude</x:v>
      </x:c>
      <x:c r="AX33" s="14" t="str">
        <x:v>multiple_source_records_for_full_parent_identity</x:v>
      </x:c>
      <x:c r="AY33" s="15" t="n">
        <x:v>295.1209226666384</x:v>
      </x:c>
      <x:c r="AZ33" s="14" t="str">
        <x:v>source_reported_pKi</x:v>
      </x:c>
      <x:c r="BA33" s="15" t="n">
        <x:v>6.53</x:v>
      </x:c>
      <x:c r="BB33" s="14" t="str">
        <x:v>c9bb72c84834730b0cbc7844a15d094f61b850161fa051c0501826f0896ec0e8</x:v>
      </x:c>
      <x:c r="BC33" s="14" t="str">
        <x:v>XIHOJUYAGODVFH-VGSWGCGISA-N</x:v>
      </x:c>
      <x:c r="BD33" s="14" t="str">
        <x:v>Cc1ncoc1-c1nnc(SCCCN2CC[C@]3(C[C@@H]3c3ccc(F)cc3F)C2)n1C</x:v>
      </x:c>
      <x:c r="BE33" s="14" t="str">
        <x:v>Cc1ncoc1-c1nnc(SCCCN2CCC3(CC3c3ccc(F)cc3F)C2)n1C</x:v>
      </x:c>
      <x:c r="BF33" s="14" t="str">
        <x:v>Cc1ncoc1-c1nnc(SCCCN2CC[C@]3(C[C@@H]3c3ccc(F)cc3F)C2)n1C</x:v>
      </x:c>
      <x:c r="BG33" s="16" t="n">
        <x:v>0.0000013577812527643118</x:v>
      </x:c>
      <x:c r="BH33" s="15" t="n">
        <x:v>6.530001357781253</x:v>
      </x:c>
      <x:c r="BI33" s="14" t="str">
        <x:v>c1ccc(C2CC23CCN(CCCSc2nnc(-c4cnco4)[nH]2)C3)cc1</x:v>
      </x:c>
      <x:c r="BJ33" s="17" t="n">
        <x:v>2</x:v>
      </x:c>
      <x:c r="BK33" s="15" t="n">
        <x:v>295.12</x:v>
      </x:c>
      <x:c r="BL33" s="16" t="n">
        <x:v>-0.0009226666384165583</x:v>
      </x:c>
      <x:c r="BM33" s="14" t="str">
        <x:v>false</x:v>
      </x:c>
    </x:row>
    <x:row r="34" ht="81" customHeight="1">
      <x:c r="A34" s="9" t="str">
        <x:v>null</x:v>
      </x:c>
      <x:c r="B34" s="9" t="str">
        <x:v>Not Determined</x:v>
      </x:c>
      <x:c r="C34" s="9" t="str">
        <x:v>16670165</x:v>
      </x:c>
      <x:c r="D34" s="9" t="str">
        <x:v>[]</x:v>
      </x:c>
      <x:c r="E34" s="9" t="str">
        <x:v>CHEMBL3855278</x:v>
      </x:c>
      <x:c r="F34" s="9" t="str">
        <x:v>Displacement of [3H]-spiperone from human dopamine D2 receptor expressed in CHO-K1 cell membranes coexpressing Galpha16 after 120 mins by liquid scintillation counting</x:v>
      </x:c>
      <x:c r="G34" s="9" t="str">
        <x:v>B</x:v>
      </x:c>
      <x:c r="H34" s="9" t="str">
        <x:v>null</x:v>
      </x:c>
      <x:c r="I34" s="9" t="str">
        <x:v>null</x:v>
      </x:c>
      <x:c r="J34" s="9" t="str">
        <x:v>BAO_0000179</x:v>
      </x:c>
      <x:c r="K34" s="9" t="str">
        <x:v>BAO_0000219</x:v>
      </x:c>
      <x:c r="L34" s="9" t="str">
        <x:v>cell-based format</x:v>
      </x:c>
      <x:c r="M34" s="9" t="str">
        <x:v>Cc1ncoc1-c1nnc(SCCCN2CC[C@]3(C[C@@H]3c3ccc(F)cc3F)C2)n1C</x:v>
      </x:c>
      <x:c r="N34" s="9" t="str">
        <x:v>null</x:v>
      </x:c>
      <x:c r="O34" s="9" t="str">
        <x:v>null</x:v>
      </x:c>
      <x:c r="P34" s="9" t="str">
        <x:v>CHEMBL3853329</x:v>
      </x:c>
      <x:c r="Q34" s="9" t="str">
        <x:v>J Med Chem</x:v>
      </x:c>
      <x:c r="R34" s="13" t="n">
        <x:v>2016</x:v>
      </x:c>
      <x:c r="S34" s="9" t="str">
        <x:v>null</x:v>
      </x:c>
      <x:c r="T34" s="9" t="str">
        <x:v>null</x:v>
      </x:c>
      <x:c r="U34" s="9" t="str">
        <x:v>CHEMBL3917887</x:v>
      </x:c>
      <x:c r="V34" s="9" t="str">
        <x:v>null</x:v>
      </x:c>
      <x:c r="W34" s="9" t="str">
        <x:v>CHEMBL3917887</x:v>
      </x:c>
      <x:c r="X34" s="11" t="str">
        <x:v>null</x:v>
      </x:c>
      <x:c r="Y34" s="13" t="n">
        <x:v>0</x:v>
      </x:c>
      <x:c r="Z34" s="9" t="str">
        <x:v>null</x:v>
      </x:c>
      <x:c r="AA34" s="9" t="str">
        <x:v>2796805</x:v>
      </x:c>
      <x:c r="AB34" s="9" t="str">
        <x:v>null</x:v>
      </x:c>
      <x:c r="AC34" s="9" t="str">
        <x:v>1</x:v>
      </x:c>
      <x:c r="AD34" s="13" t="n">
        <x:v>0</x:v>
      </x:c>
      <x:c r="AE34" s="9" t="str">
        <x:v>null</x:v>
      </x:c>
      <x:c r="AF34" s="9" t="str">
        <x:v>null</x:v>
      </x:c>
      <x:c r="AG34" s="9" t="str">
        <x:v>pKi</x:v>
      </x:c>
      <x:c r="AH34" s="9" t="str">
        <x:v>null</x:v>
      </x:c>
      <x:c r="AI34" s="9" t="str">
        <x:v>null</x:v>
      </x:c>
      <x:c r="AJ34" s="11" t="str">
        <x:v>null</x:v>
      </x:c>
      <x:c r="AK34" s="9" t="str">
        <x:v>CHEMBL217</x:v>
      </x:c>
      <x:c r="AL34" s="9" t="str">
        <x:v>Homo sapiens</x:v>
      </x:c>
      <x:c r="AM34" s="9" t="str">
        <x:v>D(2) dopamine receptor</x:v>
      </x:c>
      <x:c r="AN34" s="9" t="str">
        <x:v>9606</x:v>
      </x:c>
      <x:c r="AO34" s="9" t="str">
        <x:v>null</x:v>
      </x:c>
      <x:c r="AP34" s="9" t="str">
        <x:v>null</x:v>
      </x:c>
      <x:c r="AQ34" s="9" t="str">
        <x:v>pKi</x:v>
      </x:c>
      <x:c r="AR34" s="9" t="str">
        <x:v>null</x:v>
      </x:c>
      <x:c r="AS34" s="9" t="str">
        <x:v>null</x:v>
      </x:c>
      <x:c r="AT34" s="9" t="str">
        <x:v>null</x:v>
      </x:c>
      <x:c r="AU34" s="9" t="str">
        <x:v>null</x:v>
      </x:c>
      <x:c r="AV34" s="11" t="str">
        <x:v>null</x:v>
      </x:c>
      <x:c r="AW34" s="9" t="str">
        <x:v>exclude</x:v>
      </x:c>
      <x:c r="AX34" s="9" t="str">
        <x:v>nonexact_or_missing_original_relation;nonexact_or_missing_standard_relation;standard_endpoint_or_unit_not_Ki_nM;activity_comment_requires_review;missing_or_nonfinite_original_value;missing_or_nonpositive_standard_value;multiple_source_records_for_full_parent_identity</x:v>
      </x:c>
      <x:c r="AY34" s="11" t="str">
        <x:v>null</x:v>
      </x:c>
      <x:c r="AZ34" s="9" t="str">
        <x:v>null</x:v>
      </x:c>
      <x:c r="BA34" s="11" t="str">
        <x:v>null</x:v>
      </x:c>
      <x:c r="BB34" s="9" t="str">
        <x:v>c9bb72c84834730b0cbc7844a15d094f61b850161fa051c0501826f0896ec0e8</x:v>
      </x:c>
      <x:c r="BC34" s="9" t="str">
        <x:v>XIHOJUYAGODVFH-VGSWGCGISA-N</x:v>
      </x:c>
      <x:c r="BD34" s="9" t="str">
        <x:v>Cc1ncoc1-c1nnc(SCCCN2CC[C@]3(C[C@@H]3c3ccc(F)cc3F)C2)n1C</x:v>
      </x:c>
      <x:c r="BE34" s="9" t="str">
        <x:v>Cc1ncoc1-c1nnc(SCCCN2CCC3(CC3c3ccc(F)cc3F)C2)n1C</x:v>
      </x:c>
      <x:c r="BF34" s="9" t="str">
        <x:v>Cc1ncoc1-c1nnc(SCCCN2CC[C@]3(C[C@@H]3c3ccc(F)cc3F)C2)n1C</x:v>
      </x:c>
      <x:c r="BG34" s="12" t="str">
        <x:v>null</x:v>
      </x:c>
      <x:c r="BH34" s="11" t="str">
        <x:v>null</x:v>
      </x:c>
      <x:c r="BI34" s="9" t="str">
        <x:v>c1ccc(C2CC23CCN(CCCSc2nnc(-c4cnco4)[nH]2)C3)cc1</x:v>
      </x:c>
      <x:c r="BJ34" s="13" t="n">
        <x:v>2</x:v>
      </x:c>
      <x:c r="BK34" s="11" t="str">
        <x:v>null</x:v>
      </x:c>
      <x:c r="BL34" s="12" t="str">
        <x:v>null</x:v>
      </x:c>
      <x:c r="BM34" s="9" t="str">
        <x:v>false</x:v>
      </x:c>
    </x:row>
    <x:row r="35" ht="51" customHeight="1">
      <x:c r="A35" s="14" t="str">
        <x:v>null</x:v>
      </x:c>
      <x:c r="B35" s="14" t="str">
        <x:v>null</x:v>
      </x:c>
      <x:c r="C35" s="14" t="str">
        <x:v>16670166</x:v>
      </x:c>
      <x:c r="D35" s="14" t="str">
        <x:v>[]</x:v>
      </x:c>
      <x:c r="E35" s="14" t="str">
        <x:v>CHEMBL3855278</x:v>
      </x:c>
      <x:c r="F35" s="14" t="str">
        <x:v>Displacement of [3H]-spiperone from human dopamine D2 receptor expressed in CHO-K1 cell membranes coexpressing Galpha16 after 120 mins by liquid scintillation counting</x:v>
      </x:c>
      <x:c r="G35" s="14" t="str">
        <x:v>B</x:v>
      </x:c>
      <x:c r="H35" s="14" t="str">
        <x:v>null</x:v>
      </x:c>
      <x:c r="I35" s="14" t="str">
        <x:v>null</x:v>
      </x:c>
      <x:c r="J35" s="14" t="str">
        <x:v>BAO_0000192</x:v>
      </x:c>
      <x:c r="K35" s="14" t="str">
        <x:v>BAO_0000219</x:v>
      </x:c>
      <x:c r="L35" s="14" t="str">
        <x:v>cell-based format</x:v>
      </x:c>
      <x:c r="M35" s="14" t="str">
        <x:v>Cc1ncoc1-c1nnc(SCCCN2CC[C@@]3(C[C@H]3c3ccc(F)cc3F)C2)n1C</x:v>
      </x:c>
      <x:c r="N35" s="14" t="str">
        <x:v>null</x:v>
      </x:c>
      <x:c r="O35" s="14" t="str">
        <x:v>null</x:v>
      </x:c>
      <x:c r="P35" s="14" t="str">
        <x:v>CHEMBL3853329</x:v>
      </x:c>
      <x:c r="Q35" s="14" t="str">
        <x:v>J Med Chem</x:v>
      </x:c>
      <x:c r="R35" s="17" t="n">
        <x:v>2016</x:v>
      </x:c>
      <x:c r="S35" s="14" t="str">
        <x:v>{"bei":"14.79","le":"0.29","lle":"2.17","sei":"10.99"}</x:v>
      </x:c>
      <x:c r="T35" s="14" t="str">
        <x:v>null</x:v>
      </x:c>
      <x:c r="U35" s="14" t="str">
        <x:v>CHEMBL3926847</x:v>
      </x:c>
      <x:c r="V35" s="14" t="str">
        <x:v>null</x:v>
      </x:c>
      <x:c r="W35" s="14" t="str">
        <x:v>CHEMBL3926847</x:v>
      </x:c>
      <x:c r="X35" s="15" t="n">
        <x:v>6.59</x:v>
      </x:c>
      <x:c r="Y35" s="17" t="n">
        <x:v>0</x:v>
      </x:c>
      <x:c r="Z35" s="14" t="str">
        <x:v>http://www.openphacts.org/units/Nanomolar</x:v>
      </x:c>
      <x:c r="AA35" s="14" t="str">
        <x:v>2796806</x:v>
      </x:c>
      <x:c r="AB35" s="14" t="str">
        <x:v>=</x:v>
      </x:c>
      <x:c r="AC35" s="14" t="str">
        <x:v>1</x:v>
      </x:c>
      <x:c r="AD35" s="17" t="n">
        <x:v>1</x:v>
      </x:c>
      <x:c r="AE35" s="14" t="str">
        <x:v>=</x:v>
      </x:c>
      <x:c r="AF35" s="14" t="str">
        <x:v>null</x:v>
      </x:c>
      <x:c r="AG35" s="14" t="str">
        <x:v>Ki</x:v>
      </x:c>
      <x:c r="AH35" s="14" t="str">
        <x:v>nM</x:v>
      </x:c>
      <x:c r="AI35" s="14" t="str">
        <x:v>null</x:v>
      </x:c>
      <x:c r="AJ35" s="15" t="n">
        <x:v>257.04</x:v>
      </x:c>
      <x:c r="AK35" s="14" t="str">
        <x:v>CHEMBL217</x:v>
      </x:c>
      <x:c r="AL35" s="14" t="str">
        <x:v>Homo sapiens</x:v>
      </x:c>
      <x:c r="AM35" s="14" t="str">
        <x:v>D(2) dopamine receptor</x:v>
      </x:c>
      <x:c r="AN35" s="14" t="str">
        <x:v>9606</x:v>
      </x:c>
      <x:c r="AO35" s="14" t="str">
        <x:v>null</x:v>
      </x:c>
      <x:c r="AP35" s="14" t="str">
        <x:v>null</x:v>
      </x:c>
      <x:c r="AQ35" s="14" t="str">
        <x:v>pKi</x:v>
      </x:c>
      <x:c r="AR35" s="14" t="str">
        <x:v>null</x:v>
      </x:c>
      <x:c r="AS35" s="14" t="str">
        <x:v>UO_0000065</x:v>
      </x:c>
      <x:c r="AT35" s="14" t="str">
        <x:v>null</x:v>
      </x:c>
      <x:c r="AU35" s="14" t="str">
        <x:v>6.59</x:v>
      </x:c>
      <x:c r="AV35" s="15" t="n">
        <x:v>0.00501</x:v>
      </x:c>
      <x:c r="AW35" s="14" t="str">
        <x:v>include</x:v>
      </x:c>
      <x:c r="AX35" s="14" t="str"/>
      <x:c r="AY35" s="15" t="n">
        <x:v>257.03957827688646</x:v>
      </x:c>
      <x:c r="AZ35" s="14" t="str">
        <x:v>source_reported_pKi</x:v>
      </x:c>
      <x:c r="BA35" s="15" t="n">
        <x:v>6.59</x:v>
      </x:c>
      <x:c r="BB35" s="14" t="str">
        <x:v>c9bb72c84834730b0cbc7844a15d094f61b850161fa051c0501826f0896ec0e8</x:v>
      </x:c>
      <x:c r="BC35" s="14" t="str">
        <x:v>XIHOJUYAGODVFH-HTAPYJJXSA-N</x:v>
      </x:c>
      <x:c r="BD35" s="14" t="str">
        <x:v>Cc1ncoc1-c1nnc(SCCCN2CC[C@@]3(C[C@H]3c3ccc(F)cc3F)C2)n1C</x:v>
      </x:c>
      <x:c r="BE35" s="14" t="str">
        <x:v>Cc1ncoc1-c1nnc(SCCCN2CCC3(CC3c3ccc(F)cc3F)C2)n1C</x:v>
      </x:c>
      <x:c r="BF35" s="14" t="str">
        <x:v>Cc1ncoc1-c1nnc(SCCCN2CC[C@@]3(C[C@H]3c3ccc(F)cc3F)C2)n1C</x:v>
      </x:c>
      <x:c r="BG35" s="16" t="n">
        <x:v>-7.125434615673498e-7</x:v>
      </x:c>
      <x:c r="BH35" s="15" t="n">
        <x:v>6.589999287456538</x:v>
      </x:c>
      <x:c r="BI35" s="14" t="str">
        <x:v>c1ccc(C2CC23CCN(CCCSc2nnc(-c4cnco4)[nH]2)C3)cc1</x:v>
      </x:c>
      <x:c r="BJ35" s="17" t="n">
        <x:v>1</x:v>
      </x:c>
      <x:c r="BK35" s="15" t="n">
        <x:v>257.04</x:v>
      </x:c>
      <x:c r="BL35" s="16" t="n">
        <x:v>0.00042172311356125647</x:v>
      </x:c>
      <x:c r="BM35" s="14" t="str">
        <x:v>false</x:v>
      </x:c>
    </x:row>
    <x:row r="36" ht="51" customHeight="1">
      <x:c r="A36" s="9" t="str">
        <x:v>null</x:v>
      </x:c>
      <x:c r="B36" s="9" t="str">
        <x:v>null</x:v>
      </x:c>
      <x:c r="C36" s="9" t="str">
        <x:v>16670167</x:v>
      </x:c>
      <x:c r="D36" s="9" t="str">
        <x:v>[]</x:v>
      </x:c>
      <x:c r="E36" s="9" t="str">
        <x:v>CHEMBL3855278</x:v>
      </x:c>
      <x:c r="F36" s="9" t="str">
        <x:v>Displacement of [3H]-spiperone from human dopamine D2 receptor expressed in CHO-K1 cell membranes coexpressing Galpha16 after 120 mins by liquid scintillation counting</x:v>
      </x:c>
      <x:c r="G36" s="9" t="str">
        <x:v>B</x:v>
      </x:c>
      <x:c r="H36" s="9" t="str">
        <x:v>null</x:v>
      </x:c>
      <x:c r="I36" s="9" t="str">
        <x:v>null</x:v>
      </x:c>
      <x:c r="J36" s="9" t="str">
        <x:v>BAO_0000192</x:v>
      </x:c>
      <x:c r="K36" s="9" t="str">
        <x:v>BAO_0000219</x:v>
      </x:c>
      <x:c r="L36" s="9" t="str">
        <x:v>cell-based format</x:v>
      </x:c>
      <x:c r="M36" s="9" t="str">
        <x:v>Cc1ncoc1-c1nnc(SCCCN2CC[C@]3(C[C@H]3c3ccc(C(F)(F)F)cc3F)C2)n1C</x:v>
      </x:c>
      <x:c r="N36" s="9" t="str">
        <x:v>null</x:v>
      </x:c>
      <x:c r="O36" s="9" t="str">
        <x:v>null</x:v>
      </x:c>
      <x:c r="P36" s="9" t="str">
        <x:v>CHEMBL3853329</x:v>
      </x:c>
      <x:c r="Q36" s="9" t="str">
        <x:v>J Med Chem</x:v>
      </x:c>
      <x:c r="R36" s="13" t="n">
        <x:v>2016</x:v>
      </x:c>
      <x:c r="S36" s="9" t="str">
        <x:v>{"bei":"13.12","le":"0.26","lle":"1.20","sei":"10.84"}</x:v>
      </x:c>
      <x:c r="T36" s="9" t="str">
        <x:v>null</x:v>
      </x:c>
      <x:c r="U36" s="9" t="str">
        <x:v>CHEMBL3935776</x:v>
      </x:c>
      <x:c r="V36" s="9" t="str">
        <x:v>null</x:v>
      </x:c>
      <x:c r="W36" s="9" t="str">
        <x:v>CHEMBL3935776</x:v>
      </x:c>
      <x:c r="X36" s="11" t="n">
        <x:v>6.5</x:v>
      </x:c>
      <x:c r="Y36" s="13" t="n">
        <x:v>0</x:v>
      </x:c>
      <x:c r="Z36" s="9" t="str">
        <x:v>http://www.openphacts.org/units/Nanomolar</x:v>
      </x:c>
      <x:c r="AA36" s="9" t="str">
        <x:v>2796807</x:v>
      </x:c>
      <x:c r="AB36" s="9" t="str">
        <x:v>=</x:v>
      </x:c>
      <x:c r="AC36" s="9" t="str">
        <x:v>1</x:v>
      </x:c>
      <x:c r="AD36" s="13" t="n">
        <x:v>1</x:v>
      </x:c>
      <x:c r="AE36" s="9" t="str">
        <x:v>=</x:v>
      </x:c>
      <x:c r="AF36" s="9" t="str">
        <x:v>null</x:v>
      </x:c>
      <x:c r="AG36" s="9" t="str">
        <x:v>Ki</x:v>
      </x:c>
      <x:c r="AH36" s="9" t="str">
        <x:v>nM</x:v>
      </x:c>
      <x:c r="AI36" s="9" t="str">
        <x:v>null</x:v>
      </x:c>
      <x:c r="AJ36" s="11" t="n">
        <x:v>316.23</x:v>
      </x:c>
      <x:c r="AK36" s="9" t="str">
        <x:v>CHEMBL217</x:v>
      </x:c>
      <x:c r="AL36" s="9" t="str">
        <x:v>Homo sapiens</x:v>
      </x:c>
      <x:c r="AM36" s="9" t="str">
        <x:v>D(2) dopamine receptor</x:v>
      </x:c>
      <x:c r="AN36" s="9" t="str">
        <x:v>9606</x:v>
      </x:c>
      <x:c r="AO36" s="9" t="str">
        <x:v>null</x:v>
      </x:c>
      <x:c r="AP36" s="9" t="str">
        <x:v>null</x:v>
      </x:c>
      <x:c r="AQ36" s="9" t="str">
        <x:v>pKi</x:v>
      </x:c>
      <x:c r="AR36" s="9" t="str">
        <x:v>null</x:v>
      </x:c>
      <x:c r="AS36" s="9" t="str">
        <x:v>UO_0000065</x:v>
      </x:c>
      <x:c r="AT36" s="9" t="str">
        <x:v>null</x:v>
      </x:c>
      <x:c r="AU36" s="9" t="str">
        <x:v>6.5</x:v>
      </x:c>
      <x:c r="AV36" s="11" t="n">
        <x:v>0.00501</x:v>
      </x:c>
      <x:c r="AW36" s="9" t="str">
        <x:v>exclude</x:v>
      </x:c>
      <x:c r="AX36" s="9" t="str">
        <x:v>multiple_source_records_for_full_parent_identity</x:v>
      </x:c>
      <x:c r="AY36" s="11" t="n">
        <x:v>316.22776601683796</x:v>
      </x:c>
      <x:c r="AZ36" s="9" t="str">
        <x:v>source_reported_pKi</x:v>
      </x:c>
      <x:c r="BA36" s="11" t="n">
        <x:v>6.5</x:v>
      </x:c>
      <x:c r="BB36" s="9" t="str">
        <x:v>3a87350678a10d266285c519cd6d008e1adf4761974c26280d14b6f7333b44bd</x:v>
      </x:c>
      <x:c r="BC36" s="9" t="str">
        <x:v>ZIQDGXNDXRMRPM-JTSKRJEESA-N</x:v>
      </x:c>
      <x:c r="BD36" s="9" t="str">
        <x:v>Cc1ncoc1-c1nnc(SCCCN2CC[C@]3(C[C@H]3c3ccc(C(F)(F)F)cc3F)C2)n1C</x:v>
      </x:c>
      <x:c r="BE36" s="9" t="str">
        <x:v>Cc1ncoc1-c1nnc(SCCCN2CCC3(CC3c3ccc(C(F)(F)F)cc3F)C2)n1C</x:v>
      </x:c>
      <x:c r="BF36" s="9" t="str">
        <x:v>Cc1ncoc1-c1nnc(SCCCN2CC[C@]3(C[C@H]3c3ccc(C(F)(F)F)cc3F)C2)n1C</x:v>
      </x:c>
      <x:c r="BG36" s="12" t="n">
        <x:v>-0.0000030680516935888136</x:v>
      </x:c>
      <x:c r="BH36" s="11" t="n">
        <x:v>6.499996931948306</x:v>
      </x:c>
      <x:c r="BI36" s="9" t="str">
        <x:v>c1ccc(C2CC23CCN(CCCSc2nnc(-c4cnco4)[nH]2)C3)cc1</x:v>
      </x:c>
      <x:c r="BJ36" s="13" t="n">
        <x:v>2</x:v>
      </x:c>
      <x:c r="BK36" s="11" t="n">
        <x:v>316.23</x:v>
      </x:c>
      <x:c r="BL36" s="12" t="n">
        <x:v>0.0022339831620570294</x:v>
      </x:c>
      <x:c r="BM36" s="9" t="str">
        <x:v>false</x:v>
      </x:c>
    </x:row>
    <x:row r="37" ht="51" customHeight="1">
      <x:c r="A37" s="14" t="str">
        <x:v>null</x:v>
      </x:c>
      <x:c r="B37" s="14" t="str">
        <x:v>null</x:v>
      </x:c>
      <x:c r="C37" s="14" t="str">
        <x:v>16670168</x:v>
      </x:c>
      <x:c r="D37" s="14" t="str">
        <x:v>[]</x:v>
      </x:c>
      <x:c r="E37" s="14" t="str">
        <x:v>CHEMBL3855278</x:v>
      </x:c>
      <x:c r="F37" s="14" t="str">
        <x:v>Displacement of [3H]-spiperone from human dopamine D2 receptor expressed in CHO-K1 cell membranes coexpressing Galpha16 after 120 mins by liquid scintillation counting</x:v>
      </x:c>
      <x:c r="G37" s="14" t="str">
        <x:v>B</x:v>
      </x:c>
      <x:c r="H37" s="14" t="str">
        <x:v>null</x:v>
      </x:c>
      <x:c r="I37" s="14" t="str">
        <x:v>null</x:v>
      </x:c>
      <x:c r="J37" s="14" t="str">
        <x:v>BAO_0000192</x:v>
      </x:c>
      <x:c r="K37" s="14" t="str">
        <x:v>BAO_0000219</x:v>
      </x:c>
      <x:c r="L37" s="14" t="str">
        <x:v>cell-based format</x:v>
      </x:c>
      <x:c r="M37" s="14" t="str">
        <x:v>Cc1ncoc1-c1nnc(SCCCN2CC[C@]3(C[C@H]3c3ccc(C(F)(F)F)cc3F)C2)n1C</x:v>
      </x:c>
      <x:c r="N37" s="14" t="str">
        <x:v>null</x:v>
      </x:c>
      <x:c r="O37" s="14" t="str">
        <x:v>null</x:v>
      </x:c>
      <x:c r="P37" s="14" t="str">
        <x:v>CHEMBL3853329</x:v>
      </x:c>
      <x:c r="Q37" s="14" t="str">
        <x:v>J Med Chem</x:v>
      </x:c>
      <x:c r="R37" s="17" t="n">
        <x:v>2016</x:v>
      </x:c>
      <x:c r="S37" s="14" t="str">
        <x:v>{"bei":"13.14","le":"0.26","lle":"1.21","sei":"10.85"}</x:v>
      </x:c>
      <x:c r="T37" s="14" t="str">
        <x:v>null</x:v>
      </x:c>
      <x:c r="U37" s="14" t="str">
        <x:v>CHEMBL3935776</x:v>
      </x:c>
      <x:c r="V37" s="14" t="str">
        <x:v>null</x:v>
      </x:c>
      <x:c r="W37" s="14" t="str">
        <x:v>CHEMBL3935776</x:v>
      </x:c>
      <x:c r="X37" s="15" t="n">
        <x:v>6.51</x:v>
      </x:c>
      <x:c r="Y37" s="17" t="n">
        <x:v>0</x:v>
      </x:c>
      <x:c r="Z37" s="14" t="str">
        <x:v>http://www.openphacts.org/units/Nanomolar</x:v>
      </x:c>
      <x:c r="AA37" s="14" t="str">
        <x:v>2796808</x:v>
      </x:c>
      <x:c r="AB37" s="14" t="str">
        <x:v>=</x:v>
      </x:c>
      <x:c r="AC37" s="14" t="str">
        <x:v>1</x:v>
      </x:c>
      <x:c r="AD37" s="17" t="n">
        <x:v>1</x:v>
      </x:c>
      <x:c r="AE37" s="14" t="str">
        <x:v>=</x:v>
      </x:c>
      <x:c r="AF37" s="14" t="str">
        <x:v>null</x:v>
      </x:c>
      <x:c r="AG37" s="14" t="str">
        <x:v>Ki</x:v>
      </x:c>
      <x:c r="AH37" s="14" t="str">
        <x:v>nM</x:v>
      </x:c>
      <x:c r="AI37" s="14" t="str">
        <x:v>null</x:v>
      </x:c>
      <x:c r="AJ37" s="15" t="n">
        <x:v>309.03</x:v>
      </x:c>
      <x:c r="AK37" s="14" t="str">
        <x:v>CHEMBL217</x:v>
      </x:c>
      <x:c r="AL37" s="14" t="str">
        <x:v>Homo sapiens</x:v>
      </x:c>
      <x:c r="AM37" s="14" t="str">
        <x:v>D(2) dopamine receptor</x:v>
      </x:c>
      <x:c r="AN37" s="14" t="str">
        <x:v>9606</x:v>
      </x:c>
      <x:c r="AO37" s="14" t="str">
        <x:v>null</x:v>
      </x:c>
      <x:c r="AP37" s="14" t="str">
        <x:v>null</x:v>
      </x:c>
      <x:c r="AQ37" s="14" t="str">
        <x:v>pKi</x:v>
      </x:c>
      <x:c r="AR37" s="14" t="str">
        <x:v>null</x:v>
      </x:c>
      <x:c r="AS37" s="14" t="str">
        <x:v>UO_0000065</x:v>
      </x:c>
      <x:c r="AT37" s="14" t="str">
        <x:v>null</x:v>
      </x:c>
      <x:c r="AU37" s="14" t="str">
        <x:v>6.51</x:v>
      </x:c>
      <x:c r="AV37" s="15" t="n">
        <x:v>0.00501</x:v>
      </x:c>
      <x:c r="AW37" s="14" t="str">
        <x:v>exclude</x:v>
      </x:c>
      <x:c r="AX37" s="14" t="str">
        <x:v>multiple_source_records_for_full_parent_identity</x:v>
      </x:c>
      <x:c r="AY37" s="15" t="n">
        <x:v>309.0295432513592</x:v>
      </x:c>
      <x:c r="AZ37" s="14" t="str">
        <x:v>source_reported_pKi</x:v>
      </x:c>
      <x:c r="BA37" s="15" t="n">
        <x:v>6.51</x:v>
      </x:c>
      <x:c r="BB37" s="14" t="str">
        <x:v>3a87350678a10d266285c519cd6d008e1adf4761974c26280d14b6f7333b44bd</x:v>
      </x:c>
      <x:c r="BC37" s="14" t="str">
        <x:v>ZIQDGXNDXRMRPM-JTSKRJEESA-N</x:v>
      </x:c>
      <x:c r="BD37" s="14" t="str">
        <x:v>Cc1ncoc1-c1nnc(SCCCN2CC[C@]3(C[C@H]3c3ccc(C(F)(F)F)cc3F)C2)n1C</x:v>
      </x:c>
      <x:c r="BE37" s="14" t="str">
        <x:v>Cc1ncoc1-c1nnc(SCCCN2CCC3(CC3c3ccc(C(F)(F)F)cc3F)C2)n1C</x:v>
      </x:c>
      <x:c r="BF37" s="14" t="str">
        <x:v>Cc1ncoc1-c1nnc(SCCCN2CC[C@]3(C[C@H]3c3ccc(C(F)(F)F)cc3F)C2)n1C</x:v>
      </x:c>
      <x:c r="BG37" s="16" t="n">
        <x:v>-6.418909519467775e-7</x:v>
      </x:c>
      <x:c r="BH37" s="15" t="n">
        <x:v>6.509999358109048</x:v>
      </x:c>
      <x:c r="BI37" s="14" t="str">
        <x:v>c1ccc(C2CC23CCN(CCCSc2nnc(-c4cnco4)[nH]2)C3)cc1</x:v>
      </x:c>
      <x:c r="BJ37" s="17" t="n">
        <x:v>2</x:v>
      </x:c>
      <x:c r="BK37" s="15" t="n">
        <x:v>309.03</x:v>
      </x:c>
      <x:c r="BL37" s="16" t="n">
        <x:v>0.0004567486407722754</x:v>
      </x:c>
      <x:c r="BM37" s="14" t="str">
        <x:v>false</x:v>
      </x:c>
    </x:row>
    <x:row r="38" ht="51" customHeight="1">
      <x:c r="A38" s="9" t="str">
        <x:v>null</x:v>
      </x:c>
      <x:c r="B38" s="9" t="str">
        <x:v>null</x:v>
      </x:c>
      <x:c r="C38" s="9" t="str">
        <x:v>16670169</x:v>
      </x:c>
      <x:c r="D38" s="9" t="str">
        <x:v>[]</x:v>
      </x:c>
      <x:c r="E38" s="9" t="str">
        <x:v>CHEMBL3855278</x:v>
      </x:c>
      <x:c r="F38" s="9" t="str">
        <x:v>Displacement of [3H]-spiperone from human dopamine D2 receptor expressed in CHO-K1 cell membranes coexpressing Galpha16 after 120 mins by liquid scintillation counting</x:v>
      </x:c>
      <x:c r="G38" s="9" t="str">
        <x:v>B</x:v>
      </x:c>
      <x:c r="H38" s="9" t="str">
        <x:v>null</x:v>
      </x:c>
      <x:c r="I38" s="9" t="str">
        <x:v>null</x:v>
      </x:c>
      <x:c r="J38" s="9" t="str">
        <x:v>BAO_0000192</x:v>
      </x:c>
      <x:c r="K38" s="9" t="str">
        <x:v>BAO_0000219</x:v>
      </x:c>
      <x:c r="L38" s="9" t="str">
        <x:v>cell-based format</x:v>
      </x:c>
      <x:c r="M38" s="9" t="str">
        <x:v>Cc1ncoc1-c1nnc(SCCCN2CC[C@@]3(C[C@@H]3c3ccc(C(F)(F)F)cc3F)C2)n1C</x:v>
      </x:c>
      <x:c r="N38" s="9" t="str">
        <x:v>null</x:v>
      </x:c>
      <x:c r="O38" s="9" t="str">
        <x:v>null</x:v>
      </x:c>
      <x:c r="P38" s="9" t="str">
        <x:v>CHEMBL3853329</x:v>
      </x:c>
      <x:c r="Q38" s="9" t="str">
        <x:v>J Med Chem</x:v>
      </x:c>
      <x:c r="R38" s="13" t="n">
        <x:v>2016</x:v>
      </x:c>
      <x:c r="S38" s="9" t="str">
        <x:v>{"bei":"12.13","le":"0.24","lle":"0.71","sei":"10.02"}</x:v>
      </x:c>
      <x:c r="T38" s="9" t="str">
        <x:v>null</x:v>
      </x:c>
      <x:c r="U38" s="9" t="str">
        <x:v>CHEMBL3901587</x:v>
      </x:c>
      <x:c r="V38" s="9" t="str">
        <x:v>null</x:v>
      </x:c>
      <x:c r="W38" s="9" t="str">
        <x:v>CHEMBL3901587</x:v>
      </x:c>
      <x:c r="X38" s="11" t="n">
        <x:v>6.01</x:v>
      </x:c>
      <x:c r="Y38" s="13" t="n">
        <x:v>0</x:v>
      </x:c>
      <x:c r="Z38" s="9" t="str">
        <x:v>http://www.openphacts.org/units/Nanomolar</x:v>
      </x:c>
      <x:c r="AA38" s="9" t="str">
        <x:v>2796809</x:v>
      </x:c>
      <x:c r="AB38" s="9" t="str">
        <x:v>=</x:v>
      </x:c>
      <x:c r="AC38" s="9" t="str">
        <x:v>1</x:v>
      </x:c>
      <x:c r="AD38" s="13" t="n">
        <x:v>1</x:v>
      </x:c>
      <x:c r="AE38" s="9" t="str">
        <x:v>=</x:v>
      </x:c>
      <x:c r="AF38" s="9" t="str">
        <x:v>null</x:v>
      </x:c>
      <x:c r="AG38" s="9" t="str">
        <x:v>Ki</x:v>
      </x:c>
      <x:c r="AH38" s="9" t="str">
        <x:v>nM</x:v>
      </x:c>
      <x:c r="AI38" s="9" t="str">
        <x:v>null</x:v>
      </x:c>
      <x:c r="AJ38" s="11" t="n">
        <x:v>977.24</x:v>
      </x:c>
      <x:c r="AK38" s="9" t="str">
        <x:v>CHEMBL217</x:v>
      </x:c>
      <x:c r="AL38" s="9" t="str">
        <x:v>Homo sapiens</x:v>
      </x:c>
      <x:c r="AM38" s="9" t="str">
        <x:v>D(2) dopamine receptor</x:v>
      </x:c>
      <x:c r="AN38" s="9" t="str">
        <x:v>9606</x:v>
      </x:c>
      <x:c r="AO38" s="9" t="str">
        <x:v>null</x:v>
      </x:c>
      <x:c r="AP38" s="9" t="str">
        <x:v>null</x:v>
      </x:c>
      <x:c r="AQ38" s="9" t="str">
        <x:v>pKi</x:v>
      </x:c>
      <x:c r="AR38" s="9" t="str">
        <x:v>null</x:v>
      </x:c>
      <x:c r="AS38" s="9" t="str">
        <x:v>UO_0000065</x:v>
      </x:c>
      <x:c r="AT38" s="9" t="str">
        <x:v>null</x:v>
      </x:c>
      <x:c r="AU38" s="9" t="str">
        <x:v>6.01</x:v>
      </x:c>
      <x:c r="AV38" s="11" t="n">
        <x:v>0.00501</x:v>
      </x:c>
      <x:c r="AW38" s="9" t="str">
        <x:v>include</x:v>
      </x:c>
      <x:c r="AX38" s="9" t="str"/>
      <x:c r="AY38" s="11" t="n">
        <x:v>977.2372209558112</x:v>
      </x:c>
      <x:c r="AZ38" s="9" t="str">
        <x:v>source_reported_pKi</x:v>
      </x:c>
      <x:c r="BA38" s="11" t="n">
        <x:v>6.01</x:v>
      </x:c>
      <x:c r="BB38" s="9" t="str">
        <x:v>3a87350678a10d266285c519cd6d008e1adf4761974c26280d14b6f7333b44bd</x:v>
      </x:c>
      <x:c r="BC38" s="9" t="str">
        <x:v>ZIQDGXNDXRMRPM-VGOFRKELSA-N</x:v>
      </x:c>
      <x:c r="BD38" s="9" t="str">
        <x:v>Cc1ncoc1-c1nnc(SCCCN2CC[C@@]3(C[C@@H]3c3ccc(C(F)(F)F)cc3F)C2)n1C</x:v>
      </x:c>
      <x:c r="BE38" s="9" t="str">
        <x:v>Cc1ncoc1-c1nnc(SCCCN2CCC3(CC3c3ccc(C(F)(F)F)cc3F)C2)n1C</x:v>
      </x:c>
      <x:c r="BF38" s="9" t="str">
        <x:v>Cc1ncoc1-c1nnc(SCCCN2CC[C@@]3(C[C@@H]3c3ccc(C(F)(F)F)cc3F)C2)n1C</x:v>
      </x:c>
      <x:c r="BG38" s="12" t="n">
        <x:v>-0.0000012350346612066687</x:v>
      </x:c>
      <x:c r="BH38" s="11" t="n">
        <x:v>6.009998764965339</x:v>
      </x:c>
      <x:c r="BI38" s="9" t="str">
        <x:v>c1ccc(C2CC23CCN(CCCSc2nnc(-c4cnco4)[nH]2)C3)cc1</x:v>
      </x:c>
      <x:c r="BJ38" s="13" t="n">
        <x:v>1</x:v>
      </x:c>
      <x:c r="BK38" s="11" t="n">
        <x:v>977.24</x:v>
      </x:c>
      <x:c r="BL38" s="12" t="n">
        <x:v>0.0027790441888555506</x:v>
      </x:c>
      <x:c r="BM38" s="9" t="str">
        <x:v>false</x:v>
      </x:c>
    </x:row>
    <x:row r="39" ht="51" customHeight="1">
      <x:c r="A39" s="14" t="str">
        <x:v>null</x:v>
      </x:c>
      <x:c r="B39" s="14" t="str">
        <x:v>null</x:v>
      </x:c>
      <x:c r="C39" s="14" t="str">
        <x:v>16670170</x:v>
      </x:c>
      <x:c r="D39" s="14" t="str">
        <x:v>[]</x:v>
      </x:c>
      <x:c r="E39" s="14" t="str">
        <x:v>CHEMBL3855278</x:v>
      </x:c>
      <x:c r="F39" s="14" t="str">
        <x:v>Displacement of [3H]-spiperone from human dopamine D2 receptor expressed in CHO-K1 cell membranes coexpressing Galpha16 after 120 mins by liquid scintillation counting</x:v>
      </x:c>
      <x:c r="G39" s="14" t="str">
        <x:v>B</x:v>
      </x:c>
      <x:c r="H39" s="14" t="str">
        <x:v>null</x:v>
      </x:c>
      <x:c r="I39" s="14" t="str">
        <x:v>null</x:v>
      </x:c>
      <x:c r="J39" s="14" t="str">
        <x:v>BAO_0000192</x:v>
      </x:c>
      <x:c r="K39" s="14" t="str">
        <x:v>BAO_0000219</x:v>
      </x:c>
      <x:c r="L39" s="14" t="str">
        <x:v>cell-based format</x:v>
      </x:c>
      <x:c r="M39" s="14" t="str">
        <x:v>Cc1ncoc1-c1nnc(SCCCN2CC[C@]3(C[C@@H]3c3ccc(C(F)(F)F)cc3F)C2)n1C</x:v>
      </x:c>
      <x:c r="N39" s="14" t="str">
        <x:v>null</x:v>
      </x:c>
      <x:c r="O39" s="14" t="str">
        <x:v>null</x:v>
      </x:c>
      <x:c r="P39" s="14" t="str">
        <x:v>CHEMBL3853329</x:v>
      </x:c>
      <x:c r="Q39" s="14" t="str">
        <x:v>J Med Chem</x:v>
      </x:c>
      <x:c r="R39" s="17" t="n">
        <x:v>2016</x:v>
      </x:c>
      <x:c r="S39" s="14" t="str">
        <x:v>{"bei":"13.08","le":"0.26","lle":"1.18","sei":"10.80"}</x:v>
      </x:c>
      <x:c r="T39" s="14" t="str">
        <x:v>null</x:v>
      </x:c>
      <x:c r="U39" s="14" t="str">
        <x:v>CHEMBL3927895</x:v>
      </x:c>
      <x:c r="V39" s="14" t="str">
        <x:v>null</x:v>
      </x:c>
      <x:c r="W39" s="14" t="str">
        <x:v>CHEMBL3927895</x:v>
      </x:c>
      <x:c r="X39" s="15" t="n">
        <x:v>6.48</x:v>
      </x:c>
      <x:c r="Y39" s="17" t="n">
        <x:v>0</x:v>
      </x:c>
      <x:c r="Z39" s="14" t="str">
        <x:v>http://www.openphacts.org/units/Nanomolar</x:v>
      </x:c>
      <x:c r="AA39" s="14" t="str">
        <x:v>2796810</x:v>
      </x:c>
      <x:c r="AB39" s="14" t="str">
        <x:v>=</x:v>
      </x:c>
      <x:c r="AC39" s="14" t="str">
        <x:v>1</x:v>
      </x:c>
      <x:c r="AD39" s="17" t="n">
        <x:v>1</x:v>
      </x:c>
      <x:c r="AE39" s="14" t="str">
        <x:v>=</x:v>
      </x:c>
      <x:c r="AF39" s="14" t="str">
        <x:v>null</x:v>
      </x:c>
      <x:c r="AG39" s="14" t="str">
        <x:v>Ki</x:v>
      </x:c>
      <x:c r="AH39" s="14" t="str">
        <x:v>nM</x:v>
      </x:c>
      <x:c r="AI39" s="14" t="str">
        <x:v>null</x:v>
      </x:c>
      <x:c r="AJ39" s="15" t="n">
        <x:v>331.13</x:v>
      </x:c>
      <x:c r="AK39" s="14" t="str">
        <x:v>CHEMBL217</x:v>
      </x:c>
      <x:c r="AL39" s="14" t="str">
        <x:v>Homo sapiens</x:v>
      </x:c>
      <x:c r="AM39" s="14" t="str">
        <x:v>D(2) dopamine receptor</x:v>
      </x:c>
      <x:c r="AN39" s="14" t="str">
        <x:v>9606</x:v>
      </x:c>
      <x:c r="AO39" s="14" t="str">
        <x:v>null</x:v>
      </x:c>
      <x:c r="AP39" s="14" t="str">
        <x:v>null</x:v>
      </x:c>
      <x:c r="AQ39" s="14" t="str">
        <x:v>pKi</x:v>
      </x:c>
      <x:c r="AR39" s="14" t="str">
        <x:v>null</x:v>
      </x:c>
      <x:c r="AS39" s="14" t="str">
        <x:v>UO_0000065</x:v>
      </x:c>
      <x:c r="AT39" s="14" t="str">
        <x:v>null</x:v>
      </x:c>
      <x:c r="AU39" s="14" t="str">
        <x:v>6.48</x:v>
      </x:c>
      <x:c r="AV39" s="15" t="n">
        <x:v>0.00501</x:v>
      </x:c>
      <x:c r="AW39" s="14" t="str">
        <x:v>exclude</x:v>
      </x:c>
      <x:c r="AX39" s="14" t="str">
        <x:v>multiple_source_records_for_full_parent_identity</x:v>
      </x:c>
      <x:c r="AY39" s="15" t="n">
        <x:v>331.13112148259074</x:v>
      </x:c>
      <x:c r="AZ39" s="14" t="str">
        <x:v>source_reported_pKi</x:v>
      </x:c>
      <x:c r="BA39" s="15" t="n">
        <x:v>6.48</x:v>
      </x:c>
      <x:c r="BB39" s="14" t="str">
        <x:v>3a87350678a10d266285c519cd6d008e1adf4761974c26280d14b6f7333b44bd</x:v>
      </x:c>
      <x:c r="BC39" s="14" t="str">
        <x:v>ZIQDGXNDXRMRPM-VGSWGCGISA-N</x:v>
      </x:c>
      <x:c r="BD39" s="14" t="str">
        <x:v>Cc1ncoc1-c1nnc(SCCCN2CC[C@]3(C[C@@H]3c3ccc(C(F)(F)F)cc3F)C2)n1C</x:v>
      </x:c>
      <x:c r="BE39" s="14" t="str">
        <x:v>Cc1ncoc1-c1nnc(SCCCN2CCC3(CC3c3ccc(C(F)(F)F)cc3F)C2)n1C</x:v>
      </x:c>
      <x:c r="BF39" s="14" t="str">
        <x:v>Cc1ncoc1-c1nnc(SCCCN2CC[C@]3(C[C@@H]3c3ccc(C(F)(F)F)cc3F)C2)n1C</x:v>
      </x:c>
      <x:c r="BG39" s="16" t="n">
        <x:v>0.0000014708811519881237</x:v>
      </x:c>
      <x:c r="BH39" s="15" t="n">
        <x:v>6.480001470881152</x:v>
      </x:c>
      <x:c r="BI39" s="14" t="str">
        <x:v>c1ccc(C2CC23CCN(CCCSc2nnc(-c4cnco4)[nH]2)C3)cc1</x:v>
      </x:c>
      <x:c r="BJ39" s="17" t="n">
        <x:v>2</x:v>
      </x:c>
      <x:c r="BK39" s="15" t="n">
        <x:v>331.13</x:v>
      </x:c>
      <x:c r="BL39" s="16" t="n">
        <x:v>-0.0011214825907472914</x:v>
      </x:c>
      <x:c r="BM39" s="14" t="str">
        <x:v>false</x:v>
      </x:c>
    </x:row>
    <x:row r="40" ht="51" customHeight="1">
      <x:c r="A40" s="9" t="str">
        <x:v>null</x:v>
      </x:c>
      <x:c r="B40" s="9" t="str">
        <x:v>null</x:v>
      </x:c>
      <x:c r="C40" s="9" t="str">
        <x:v>16670171</x:v>
      </x:c>
      <x:c r="D40" s="9" t="str">
        <x:v>[]</x:v>
      </x:c>
      <x:c r="E40" s="9" t="str">
        <x:v>CHEMBL3855278</x:v>
      </x:c>
      <x:c r="F40" s="9" t="str">
        <x:v>Displacement of [3H]-spiperone from human dopamine D2 receptor expressed in CHO-K1 cell membranes coexpressing Galpha16 after 120 mins by liquid scintillation counting</x:v>
      </x:c>
      <x:c r="G40" s="9" t="str">
        <x:v>B</x:v>
      </x:c>
      <x:c r="H40" s="9" t="str">
        <x:v>null</x:v>
      </x:c>
      <x:c r="I40" s="9" t="str">
        <x:v>null</x:v>
      </x:c>
      <x:c r="J40" s="9" t="str">
        <x:v>BAO_0000192</x:v>
      </x:c>
      <x:c r="K40" s="9" t="str">
        <x:v>BAO_0000219</x:v>
      </x:c>
      <x:c r="L40" s="9" t="str">
        <x:v>cell-based format</x:v>
      </x:c>
      <x:c r="M40" s="9" t="str">
        <x:v>Cc1ncoc1-c1nnc(SCCCN2CC[C@]3(C[C@@H]3c3ccc(C(F)(F)F)cc3F)C2)n1C</x:v>
      </x:c>
      <x:c r="N40" s="9" t="str">
        <x:v>null</x:v>
      </x:c>
      <x:c r="O40" s="9" t="str">
        <x:v>null</x:v>
      </x:c>
      <x:c r="P40" s="9" t="str">
        <x:v>CHEMBL3853329</x:v>
      </x:c>
      <x:c r="Q40" s="9" t="str">
        <x:v>J Med Chem</x:v>
      </x:c>
      <x:c r="R40" s="13" t="n">
        <x:v>2016</x:v>
      </x:c>
      <x:c r="S40" s="9" t="str">
        <x:v>{"bei":"10.82","le":"0.22","lle":"0.06","sei":"8.94"}</x:v>
      </x:c>
      <x:c r="T40" s="9" t="str">
        <x:v>null</x:v>
      </x:c>
      <x:c r="U40" s="9" t="str">
        <x:v>CHEMBL3927895</x:v>
      </x:c>
      <x:c r="V40" s="9" t="str">
        <x:v>null</x:v>
      </x:c>
      <x:c r="W40" s="9" t="str">
        <x:v>CHEMBL3927895</x:v>
      </x:c>
      <x:c r="X40" s="11" t="n">
        <x:v>5.36</x:v>
      </x:c>
      <x:c r="Y40" s="13" t="n">
        <x:v>0</x:v>
      </x:c>
      <x:c r="Z40" s="9" t="str">
        <x:v>http://www.openphacts.org/units/Nanomolar</x:v>
      </x:c>
      <x:c r="AA40" s="9" t="str">
        <x:v>2796811</x:v>
      </x:c>
      <x:c r="AB40" s="9" t="str">
        <x:v>=</x:v>
      </x:c>
      <x:c r="AC40" s="9" t="str">
        <x:v>1</x:v>
      </x:c>
      <x:c r="AD40" s="13" t="n">
        <x:v>1</x:v>
      </x:c>
      <x:c r="AE40" s="9" t="str">
        <x:v>=</x:v>
      </x:c>
      <x:c r="AF40" s="9" t="str">
        <x:v>null</x:v>
      </x:c>
      <x:c r="AG40" s="9" t="str">
        <x:v>Ki</x:v>
      </x:c>
      <x:c r="AH40" s="9" t="str">
        <x:v>nM</x:v>
      </x:c>
      <x:c r="AI40" s="9" t="str">
        <x:v>null</x:v>
      </x:c>
      <x:c r="AJ40" s="11" t="n">
        <x:v>4365.16</x:v>
      </x:c>
      <x:c r="AK40" s="9" t="str">
        <x:v>CHEMBL217</x:v>
      </x:c>
      <x:c r="AL40" s="9" t="str">
        <x:v>Homo sapiens</x:v>
      </x:c>
      <x:c r="AM40" s="9" t="str">
        <x:v>D(2) dopamine receptor</x:v>
      </x:c>
      <x:c r="AN40" s="9" t="str">
        <x:v>9606</x:v>
      </x:c>
      <x:c r="AO40" s="9" t="str">
        <x:v>null</x:v>
      </x:c>
      <x:c r="AP40" s="9" t="str">
        <x:v>null</x:v>
      </x:c>
      <x:c r="AQ40" s="9" t="str">
        <x:v>pKi</x:v>
      </x:c>
      <x:c r="AR40" s="9" t="str">
        <x:v>null</x:v>
      </x:c>
      <x:c r="AS40" s="9" t="str">
        <x:v>UO_0000065</x:v>
      </x:c>
      <x:c r="AT40" s="9" t="str">
        <x:v>null</x:v>
      </x:c>
      <x:c r="AU40" s="9" t="str">
        <x:v>5.36</x:v>
      </x:c>
      <x:c r="AV40" s="11" t="n">
        <x:v>0.00501</x:v>
      </x:c>
      <x:c r="AW40" s="9" t="str">
        <x:v>exclude</x:v>
      </x:c>
      <x:c r="AX40" s="9" t="str">
        <x:v>multiple_source_records_for_full_parent_identity</x:v>
      </x:c>
      <x:c r="AY40" s="11" t="n">
        <x:v>4365.158322401657</x:v>
      </x:c>
      <x:c r="AZ40" s="9" t="str">
        <x:v>source_reported_pKi</x:v>
      </x:c>
      <x:c r="BA40" s="11" t="n">
        <x:v>5.36</x:v>
      </x:c>
      <x:c r="BB40" s="9" t="str">
        <x:v>3a87350678a10d266285c519cd6d008e1adf4761974c26280d14b6f7333b44bd</x:v>
      </x:c>
      <x:c r="BC40" s="9" t="str">
        <x:v>ZIQDGXNDXRMRPM-VGSWGCGISA-N</x:v>
      </x:c>
      <x:c r="BD40" s="9" t="str">
        <x:v>Cc1ncoc1-c1nnc(SCCCN2CC[C@]3(C[C@@H]3c3ccc(C(F)(F)F)cc3F)C2)n1C</x:v>
      </x:c>
      <x:c r="BE40" s="9" t="str">
        <x:v>Cc1ncoc1-c1nnc(SCCCN2CCC3(CC3c3ccc(C(F)(F)F)cc3F)C2)n1C</x:v>
      </x:c>
      <x:c r="BF40" s="9" t="str">
        <x:v>Cc1ncoc1-c1nnc(SCCCN2CC[C@]3(C[C@@H]3c3ccc(C(F)(F)F)cc3F)C2)n1C</x:v>
      </x:c>
      <x:c r="BG40" s="12" t="n">
        <x:v>-1.6690610227243496e-7</x:v>
      </x:c>
      <x:c r="BH40" s="11" t="n">
        <x:v>5.359999833093898</x:v>
      </x:c>
      <x:c r="BI40" s="9" t="str">
        <x:v>c1ccc(C2CC23CCN(CCCSc2nnc(-c4cnco4)[nH]2)C3)cc1</x:v>
      </x:c>
      <x:c r="BJ40" s="13" t="n">
        <x:v>2</x:v>
      </x:c>
      <x:c r="BK40" s="11" t="n">
        <x:v>4365.16</x:v>
      </x:c>
      <x:c r="BL40" s="12" t="n">
        <x:v>0.0016775983431216446</x:v>
      </x:c>
      <x:c r="BM40" s="9" t="str">
        <x:v>false</x:v>
      </x:c>
    </x:row>
    <x:row r="41" ht="51" customHeight="1">
      <x:c r="A41" s="14" t="str">
        <x:v>null</x:v>
      </x:c>
      <x:c r="B41" s="14" t="str">
        <x:v>null</x:v>
      </x:c>
      <x:c r="C41" s="14" t="str">
        <x:v>16670172</x:v>
      </x:c>
      <x:c r="D41" s="14" t="str">
        <x:v>[]</x:v>
      </x:c>
      <x:c r="E41" s="14" t="str">
        <x:v>CHEMBL3855278</x:v>
      </x:c>
      <x:c r="F41" s="14" t="str">
        <x:v>Displacement of [3H]-spiperone from human dopamine D2 receptor expressed in CHO-K1 cell membranes coexpressing Galpha16 after 120 mins by liquid scintillation counting</x:v>
      </x:c>
      <x:c r="G41" s="14" t="str">
        <x:v>B</x:v>
      </x:c>
      <x:c r="H41" s="14" t="str">
        <x:v>null</x:v>
      </x:c>
      <x:c r="I41" s="14" t="str">
        <x:v>null</x:v>
      </x:c>
      <x:c r="J41" s="14" t="str">
        <x:v>BAO_0000192</x:v>
      </x:c>
      <x:c r="K41" s="14" t="str">
        <x:v>BAO_0000219</x:v>
      </x:c>
      <x:c r="L41" s="14" t="str">
        <x:v>cell-based format</x:v>
      </x:c>
      <x:c r="M41" s="14" t="str">
        <x:v>Cc1ncoc1-c1nnc(SCCCN2CC[C@@]3(C[C@H]3c3ccc(C(F)(F)F)cc3F)C2)n1C</x:v>
      </x:c>
      <x:c r="N41" s="14" t="str">
        <x:v>null</x:v>
      </x:c>
      <x:c r="O41" s="14" t="str">
        <x:v>null</x:v>
      </x:c>
      <x:c r="P41" s="14" t="str">
        <x:v>CHEMBL3853329</x:v>
      </x:c>
      <x:c r="Q41" s="14" t="str">
        <x:v>J Med Chem</x:v>
      </x:c>
      <x:c r="R41" s="17" t="n">
        <x:v>2016</x:v>
      </x:c>
      <x:c r="S41" s="14" t="str">
        <x:v>{"bei":"13.42","le":"0.27","lle":"1.35","sei":"11.09"}</x:v>
      </x:c>
      <x:c r="T41" s="14" t="str">
        <x:v>null</x:v>
      </x:c>
      <x:c r="U41" s="14" t="str">
        <x:v>CHEMBL3955505</x:v>
      </x:c>
      <x:c r="V41" s="14" t="str">
        <x:v>null</x:v>
      </x:c>
      <x:c r="W41" s="14" t="str">
        <x:v>CHEMBL3955505</x:v>
      </x:c>
      <x:c r="X41" s="15" t="n">
        <x:v>6.65</x:v>
      </x:c>
      <x:c r="Y41" s="17" t="n">
        <x:v>0</x:v>
      </x:c>
      <x:c r="Z41" s="14" t="str">
        <x:v>http://www.openphacts.org/units/Nanomolar</x:v>
      </x:c>
      <x:c r="AA41" s="14" t="str">
        <x:v>2796812</x:v>
      </x:c>
      <x:c r="AB41" s="14" t="str">
        <x:v>=</x:v>
      </x:c>
      <x:c r="AC41" s="14" t="str">
        <x:v>1</x:v>
      </x:c>
      <x:c r="AD41" s="17" t="n">
        <x:v>1</x:v>
      </x:c>
      <x:c r="AE41" s="14" t="str">
        <x:v>=</x:v>
      </x:c>
      <x:c r="AF41" s="14" t="str">
        <x:v>null</x:v>
      </x:c>
      <x:c r="AG41" s="14" t="str">
        <x:v>Ki</x:v>
      </x:c>
      <x:c r="AH41" s="14" t="str">
        <x:v>nM</x:v>
      </x:c>
      <x:c r="AI41" s="14" t="str">
        <x:v>null</x:v>
      </x:c>
      <x:c r="AJ41" s="15" t="n">
        <x:v>223.87</x:v>
      </x:c>
      <x:c r="AK41" s="14" t="str">
        <x:v>CHEMBL217</x:v>
      </x:c>
      <x:c r="AL41" s="14" t="str">
        <x:v>Homo sapiens</x:v>
      </x:c>
      <x:c r="AM41" s="14" t="str">
        <x:v>D(2) dopamine receptor</x:v>
      </x:c>
      <x:c r="AN41" s="14" t="str">
        <x:v>9606</x:v>
      </x:c>
      <x:c r="AO41" s="14" t="str">
        <x:v>null</x:v>
      </x:c>
      <x:c r="AP41" s="14" t="str">
        <x:v>null</x:v>
      </x:c>
      <x:c r="AQ41" s="14" t="str">
        <x:v>pKi</x:v>
      </x:c>
      <x:c r="AR41" s="14" t="str">
        <x:v>null</x:v>
      </x:c>
      <x:c r="AS41" s="14" t="str">
        <x:v>UO_0000065</x:v>
      </x:c>
      <x:c r="AT41" s="14" t="str">
        <x:v>null</x:v>
      </x:c>
      <x:c r="AU41" s="14" t="str">
        <x:v>6.65</x:v>
      </x:c>
      <x:c r="AV41" s="15" t="n">
        <x:v>0.00501</x:v>
      </x:c>
      <x:c r="AW41" s="14" t="str">
        <x:v>include</x:v>
      </x:c>
      <x:c r="AX41" s="14" t="str"/>
      <x:c r="AY41" s="15" t="n">
        <x:v>223.87211385683378</x:v>
      </x:c>
      <x:c r="AZ41" s="14" t="str">
        <x:v>source_reported_pKi</x:v>
      </x:c>
      <x:c r="BA41" s="15" t="n">
        <x:v>6.65</x:v>
      </x:c>
      <x:c r="BB41" s="14" t="str">
        <x:v>3a87350678a10d266285c519cd6d008e1adf4761974c26280d14b6f7333b44bd</x:v>
      </x:c>
      <x:c r="BC41" s="14" t="str">
        <x:v>ZIQDGXNDXRMRPM-HTAPYJJXSA-N</x:v>
      </x:c>
      <x:c r="BD41" s="14" t="str">
        <x:v>Cc1ncoc1-c1nnc(SCCCN2CC[C@@]3(C[C@H]3c3ccc(C(F)(F)F)cc3F)C2)n1C</x:v>
      </x:c>
      <x:c r="BE41" s="14" t="str">
        <x:v>Cc1ncoc1-c1nnc(SCCCN2CCC3(CC3c3ccc(C(F)(F)F)cc3F)C2)n1C</x:v>
      </x:c>
      <x:c r="BF41" s="14" t="str">
        <x:v>Cc1ncoc1-c1nnc(SCCCN2CC[C@@]3(C[C@H]3c3ccc(C(F)(F)F)cc3F)C2)n1C</x:v>
      </x:c>
      <x:c r="BG41" s="16" t="n">
        <x:v>0.000004100737143630795</x:v>
      </x:c>
      <x:c r="BH41" s="15" t="n">
        <x:v>6.650004100737144</x:v>
      </x:c>
      <x:c r="BI41" s="14" t="str">
        <x:v>c1ccc(C2CC23CCN(CCCSc2nnc(-c4cnco4)[nH]2)C3)cc1</x:v>
      </x:c>
      <x:c r="BJ41" s="17" t="n">
        <x:v>1</x:v>
      </x:c>
      <x:c r="BK41" s="15" t="n">
        <x:v>223.87</x:v>
      </x:c>
      <x:c r="BL41" s="16" t="n">
        <x:v>-0.0021138568337732977</x:v>
      </x:c>
      <x:c r="BM41" s="14" t="str">
        <x:v>false</x:v>
      </x:c>
    </x:row>
    <x:row r="42" ht="51" customHeight="1">
      <x:c r="A42" s="9" t="str">
        <x:v>null</x:v>
      </x:c>
      <x:c r="B42" s="9" t="str">
        <x:v>null</x:v>
      </x:c>
      <x:c r="C42" s="9" t="str">
        <x:v>16670173</x:v>
      </x:c>
      <x:c r="D42" s="9" t="str">
        <x:v>[]</x:v>
      </x:c>
      <x:c r="E42" s="9" t="str">
        <x:v>CHEMBL3855278</x:v>
      </x:c>
      <x:c r="F42" s="9" t="str">
        <x:v>Displacement of [3H]-spiperone from human dopamine D2 receptor expressed in CHO-K1 cell membranes coexpressing Galpha16 after 120 mins by liquid scintillation counting</x:v>
      </x:c>
      <x:c r="G42" s="9" t="str">
        <x:v>B</x:v>
      </x:c>
      <x:c r="H42" s="9" t="str">
        <x:v>null</x:v>
      </x:c>
      <x:c r="I42" s="9" t="str">
        <x:v>null</x:v>
      </x:c>
      <x:c r="J42" s="9" t="str">
        <x:v>BAO_0000192</x:v>
      </x:c>
      <x:c r="K42" s="9" t="str">
        <x:v>BAO_0000219</x:v>
      </x:c>
      <x:c r="L42" s="9" t="str">
        <x:v>cell-based format</x:v>
      </x:c>
      <x:c r="M42" s="9" t="str">
        <x:v>Cc1ncoc1-c1nnc(SCCCN2CC[C@]3(C[C@H]3c3ccc(F)cc3C(F)(F)F)C2)n1C</x:v>
      </x:c>
      <x:c r="N42" s="9" t="str">
        <x:v>null</x:v>
      </x:c>
      <x:c r="O42" s="9" t="str">
        <x:v>null</x:v>
      </x:c>
      <x:c r="P42" s="9" t="str">
        <x:v>CHEMBL3853329</x:v>
      </x:c>
      <x:c r="Q42" s="9" t="str">
        <x:v>J Med Chem</x:v>
      </x:c>
      <x:c r="R42" s="13" t="n">
        <x:v>2016</x:v>
      </x:c>
      <x:c r="S42" s="9" t="str">
        <x:v>{"bei":"13.68","le":"0.27","lle":"1.48","sei":"11.30"}</x:v>
      </x:c>
      <x:c r="T42" s="9" t="str">
        <x:v>null</x:v>
      </x:c>
      <x:c r="U42" s="9" t="str">
        <x:v>CHEMBL3985877</x:v>
      </x:c>
      <x:c r="V42" s="9" t="str">
        <x:v>null</x:v>
      </x:c>
      <x:c r="W42" s="9" t="str">
        <x:v>CHEMBL3985877</x:v>
      </x:c>
      <x:c r="X42" s="11" t="n">
        <x:v>6.78</x:v>
      </x:c>
      <x:c r="Y42" s="13" t="n">
        <x:v>0</x:v>
      </x:c>
      <x:c r="Z42" s="9" t="str">
        <x:v>http://www.openphacts.org/units/Nanomolar</x:v>
      </x:c>
      <x:c r="AA42" s="9" t="str">
        <x:v>2796813</x:v>
      </x:c>
      <x:c r="AB42" s="9" t="str">
        <x:v>=</x:v>
      </x:c>
      <x:c r="AC42" s="9" t="str">
        <x:v>1</x:v>
      </x:c>
      <x:c r="AD42" s="13" t="n">
        <x:v>1</x:v>
      </x:c>
      <x:c r="AE42" s="9" t="str">
        <x:v>=</x:v>
      </x:c>
      <x:c r="AF42" s="9" t="str">
        <x:v>null</x:v>
      </x:c>
      <x:c r="AG42" s="9" t="str">
        <x:v>Ki</x:v>
      </x:c>
      <x:c r="AH42" s="9" t="str">
        <x:v>nM</x:v>
      </x:c>
      <x:c r="AI42" s="9" t="str">
        <x:v>null</x:v>
      </x:c>
      <x:c r="AJ42" s="11" t="n">
        <x:v>165.96</x:v>
      </x:c>
      <x:c r="AK42" s="9" t="str">
        <x:v>CHEMBL217</x:v>
      </x:c>
      <x:c r="AL42" s="9" t="str">
        <x:v>Homo sapiens</x:v>
      </x:c>
      <x:c r="AM42" s="9" t="str">
        <x:v>D(2) dopamine receptor</x:v>
      </x:c>
      <x:c r="AN42" s="9" t="str">
        <x:v>9606</x:v>
      </x:c>
      <x:c r="AO42" s="9" t="str">
        <x:v>null</x:v>
      </x:c>
      <x:c r="AP42" s="9" t="str">
        <x:v>null</x:v>
      </x:c>
      <x:c r="AQ42" s="9" t="str">
        <x:v>pKi</x:v>
      </x:c>
      <x:c r="AR42" s="9" t="str">
        <x:v>null</x:v>
      </x:c>
      <x:c r="AS42" s="9" t="str">
        <x:v>UO_0000065</x:v>
      </x:c>
      <x:c r="AT42" s="9" t="str">
        <x:v>null</x:v>
      </x:c>
      <x:c r="AU42" s="9" t="str">
        <x:v>6.78</x:v>
      </x:c>
      <x:c r="AV42" s="11" t="n">
        <x:v>0.00501</x:v>
      </x:c>
      <x:c r="AW42" s="9" t="str">
        <x:v>include</x:v>
      </x:c>
      <x:c r="AX42" s="9" t="str"/>
      <x:c r="AY42" s="11" t="n">
        <x:v>165.95869074375597</x:v>
      </x:c>
      <x:c r="AZ42" s="9" t="str">
        <x:v>source_reported_pKi</x:v>
      </x:c>
      <x:c r="BA42" s="11" t="n">
        <x:v>6.78</x:v>
      </x:c>
      <x:c r="BB42" s="9" t="str">
        <x:v>ecd0a33a54e86ee86092bde14ba6502a5f45358129e40fb8939f2550280752bb</x:v>
      </x:c>
      <x:c r="BC42" s="9" t="str">
        <x:v>LRMWMKQIJLOEPF-AVRDEDQJSA-N</x:v>
      </x:c>
      <x:c r="BD42" s="9" t="str">
        <x:v>Cc1ncoc1-c1nnc(SCCCN2CC[C@]3(C[C@H]3c3ccc(F)cc3C(F)(F)F)C2)n1C</x:v>
      </x:c>
      <x:c r="BE42" s="9" t="str">
        <x:v>Cc1ncoc1-c1nnc(SCCCN2CCC3(CC3c3ccc(F)cc3C(F)(F)F)C2)n1C</x:v>
      </x:c>
      <x:c r="BF42" s="9" t="str">
        <x:v>Cc1ncoc1-c1nnc(SCCCN2CC[C@]3(C[C@H]3c3ccc(F)cc3C(F)(F)F)C2)n1C</x:v>
      </x:c>
      <x:c r="BG42" s="12" t="n">
        <x:v>-0.0000034261569359372857</x:v>
      </x:c>
      <x:c r="BH42" s="11" t="n">
        <x:v>6.779996573843064</x:v>
      </x:c>
      <x:c r="BI42" s="9" t="str">
        <x:v>c1ccc(C2CC23CCN(CCCSc2nnc(-c4cnco4)[nH]2)C3)cc1</x:v>
      </x:c>
      <x:c r="BJ42" s="13" t="n">
        <x:v>1</x:v>
      </x:c>
      <x:c r="BK42" s="11" t="n">
        <x:v>165.96</x:v>
      </x:c>
      <x:c r="BL42" s="12" t="n">
        <x:v>0.0013092562440419897</x:v>
      </x:c>
      <x:c r="BM42" s="9" t="str">
        <x:v>false</x:v>
      </x:c>
    </x:row>
    <x:row r="43" ht="51" customHeight="1">
      <x:c r="A43" s="14" t="str">
        <x:v>null</x:v>
      </x:c>
      <x:c r="B43" s="14" t="str">
        <x:v>null</x:v>
      </x:c>
      <x:c r="C43" s="14" t="str">
        <x:v>16670174</x:v>
      </x:c>
      <x:c r="D43" s="14" t="str">
        <x:v>[]</x:v>
      </x:c>
      <x:c r="E43" s="14" t="str">
        <x:v>CHEMBL3855278</x:v>
      </x:c>
      <x:c r="F43" s="14" t="str">
        <x:v>Displacement of [3H]-spiperone from human dopamine D2 receptor expressed in CHO-K1 cell membranes coexpressing Galpha16 after 120 mins by liquid scintillation counting</x:v>
      </x:c>
      <x:c r="G43" s="14" t="str">
        <x:v>B</x:v>
      </x:c>
      <x:c r="H43" s="14" t="str">
        <x:v>null</x:v>
      </x:c>
      <x:c r="I43" s="14" t="str">
        <x:v>null</x:v>
      </x:c>
      <x:c r="J43" s="14" t="str">
        <x:v>BAO_0000192</x:v>
      </x:c>
      <x:c r="K43" s="14" t="str">
        <x:v>BAO_0000219</x:v>
      </x:c>
      <x:c r="L43" s="14" t="str">
        <x:v>cell-based format</x:v>
      </x:c>
      <x:c r="M43" s="14" t="str">
        <x:v>Cc1ncoc1-c1nnc(SCCCN2CC[C@@]3(C[C@@H]3c3ccc(F)cc3C(F)(F)F)C2)n1C</x:v>
      </x:c>
      <x:c r="N43" s="14" t="str">
        <x:v>null</x:v>
      </x:c>
      <x:c r="O43" s="14" t="str">
        <x:v>null</x:v>
      </x:c>
      <x:c r="P43" s="14" t="str">
        <x:v>CHEMBL3853329</x:v>
      </x:c>
      <x:c r="Q43" s="14" t="str">
        <x:v>J Med Chem</x:v>
      </x:c>
      <x:c r="R43" s="17" t="n">
        <x:v>2016</x:v>
      </x:c>
      <x:c r="S43" s="14" t="str">
        <x:v>{"bei":"11.42","le":"0.23","lle":"0.36","sei":"9.44"}</x:v>
      </x:c>
      <x:c r="T43" s="14" t="str">
        <x:v>null</x:v>
      </x:c>
      <x:c r="U43" s="14" t="str">
        <x:v>CHEMBL3966647</x:v>
      </x:c>
      <x:c r="V43" s="14" t="str">
        <x:v>null</x:v>
      </x:c>
      <x:c r="W43" s="14" t="str">
        <x:v>CHEMBL3966647</x:v>
      </x:c>
      <x:c r="X43" s="15" t="n">
        <x:v>5.66</x:v>
      </x:c>
      <x:c r="Y43" s="17" t="n">
        <x:v>0</x:v>
      </x:c>
      <x:c r="Z43" s="14" t="str">
        <x:v>http://www.openphacts.org/units/Nanomolar</x:v>
      </x:c>
      <x:c r="AA43" s="14" t="str">
        <x:v>2796814</x:v>
      </x:c>
      <x:c r="AB43" s="14" t="str">
        <x:v>=</x:v>
      </x:c>
      <x:c r="AC43" s="14" t="str">
        <x:v>1</x:v>
      </x:c>
      <x:c r="AD43" s="17" t="n">
        <x:v>1</x:v>
      </x:c>
      <x:c r="AE43" s="14" t="str">
        <x:v>=</x:v>
      </x:c>
      <x:c r="AF43" s="14" t="str">
        <x:v>null</x:v>
      </x:c>
      <x:c r="AG43" s="14" t="str">
        <x:v>Ki</x:v>
      </x:c>
      <x:c r="AH43" s="14" t="str">
        <x:v>nM</x:v>
      </x:c>
      <x:c r="AI43" s="14" t="str">
        <x:v>null</x:v>
      </x:c>
      <x:c r="AJ43" s="15" t="n">
        <x:v>2187.76</x:v>
      </x:c>
      <x:c r="AK43" s="14" t="str">
        <x:v>CHEMBL217</x:v>
      </x:c>
      <x:c r="AL43" s="14" t="str">
        <x:v>Homo sapiens</x:v>
      </x:c>
      <x:c r="AM43" s="14" t="str">
        <x:v>D(2) dopamine receptor</x:v>
      </x:c>
      <x:c r="AN43" s="14" t="str">
        <x:v>9606</x:v>
      </x:c>
      <x:c r="AO43" s="14" t="str">
        <x:v>null</x:v>
      </x:c>
      <x:c r="AP43" s="14" t="str">
        <x:v>null</x:v>
      </x:c>
      <x:c r="AQ43" s="14" t="str">
        <x:v>pKi</x:v>
      </x:c>
      <x:c r="AR43" s="14" t="str">
        <x:v>null</x:v>
      </x:c>
      <x:c r="AS43" s="14" t="str">
        <x:v>UO_0000065</x:v>
      </x:c>
      <x:c r="AT43" s="14" t="str">
        <x:v>null</x:v>
      </x:c>
      <x:c r="AU43" s="14" t="str">
        <x:v>5.66</x:v>
      </x:c>
      <x:c r="AV43" s="15" t="n">
        <x:v>0.00501</x:v>
      </x:c>
      <x:c r="AW43" s="14" t="str">
        <x:v>include</x:v>
      </x:c>
      <x:c r="AX43" s="14" t="str"/>
      <x:c r="AY43" s="15" t="n">
        <x:v>2187.761623949552</x:v>
      </x:c>
      <x:c r="AZ43" s="14" t="str">
        <x:v>source_reported_pKi</x:v>
      </x:c>
      <x:c r="BA43" s="15" t="n">
        <x:v>5.66</x:v>
      </x:c>
      <x:c r="BB43" s="14" t="str">
        <x:v>ecd0a33a54e86ee86092bde14ba6502a5f45358129e40fb8939f2550280752bb</x:v>
      </x:c>
      <x:c r="BC43" s="14" t="str">
        <x:v>LRMWMKQIJLOEPF-XMSQKQJNSA-N</x:v>
      </x:c>
      <x:c r="BD43" s="14" t="str">
        <x:v>Cc1ncoc1-c1nnc(SCCCN2CC[C@@]3(C[C@@H]3c3ccc(F)cc3C(F)(F)F)C2)n1C</x:v>
      </x:c>
      <x:c r="BE43" s="14" t="str">
        <x:v>Cc1ncoc1-c1nnc(SCCCN2CCC3(CC3c3ccc(F)cc3C(F)(F)F)C2)n1C</x:v>
      </x:c>
      <x:c r="BF43" s="14" t="str">
        <x:v>Cc1ncoc1-c1nnc(SCCCN2CC[C@@]3(C[C@@H]3c3ccc(F)cc3C(F)(F)F)C2)n1C</x:v>
      </x:c>
      <x:c r="BG43" s="16" t="n">
        <x:v>3.223717719436081e-7</x:v>
      </x:c>
      <x:c r="BH43" s="15" t="n">
        <x:v>5.660000322371772</x:v>
      </x:c>
      <x:c r="BI43" s="14" t="str">
        <x:v>c1ccc(C2CC23CCN(CCCSc2nnc(-c4cnco4)[nH]2)C3)cc1</x:v>
      </x:c>
      <x:c r="BJ43" s="17" t="n">
        <x:v>1</x:v>
      </x:c>
      <x:c r="BK43" s="15" t="n">
        <x:v>2187.76</x:v>
      </x:c>
      <x:c r="BL43" s="16" t="n">
        <x:v>-0.001623949551685655</x:v>
      </x:c>
      <x:c r="BM43" s="14" t="str">
        <x:v>false</x:v>
      </x:c>
    </x:row>
    <x:row r="44" ht="51" customHeight="1">
      <x:c r="A44" s="9" t="str">
        <x:v>null</x:v>
      </x:c>
      <x:c r="B44" s="9" t="str">
        <x:v>null</x:v>
      </x:c>
      <x:c r="C44" s="9" t="str">
        <x:v>16670175</x:v>
      </x:c>
      <x:c r="D44" s="9" t="str">
        <x:v>[]</x:v>
      </x:c>
      <x:c r="E44" s="9" t="str">
        <x:v>CHEMBL3855278</x:v>
      </x:c>
      <x:c r="F44" s="9" t="str">
        <x:v>Displacement of [3H]-spiperone from human dopamine D2 receptor expressed in CHO-K1 cell membranes coexpressing Galpha16 after 120 mins by liquid scintillation counting</x:v>
      </x:c>
      <x:c r="G44" s="9" t="str">
        <x:v>B</x:v>
      </x:c>
      <x:c r="H44" s="9" t="str">
        <x:v>null</x:v>
      </x:c>
      <x:c r="I44" s="9" t="str">
        <x:v>null</x:v>
      </x:c>
      <x:c r="J44" s="9" t="str">
        <x:v>BAO_0000192</x:v>
      </x:c>
      <x:c r="K44" s="9" t="str">
        <x:v>BAO_0000219</x:v>
      </x:c>
      <x:c r="L44" s="9" t="str">
        <x:v>cell-based format</x:v>
      </x:c>
      <x:c r="M44" s="9" t="str">
        <x:v>Cc1ncoc1-c1nnc(SCCCN2CC[C@]3(C[C@@H]3c3ccc(F)cc3C(F)(F)F)C2)n1C</x:v>
      </x:c>
      <x:c r="N44" s="9" t="str">
        <x:v>null</x:v>
      </x:c>
      <x:c r="O44" s="9" t="str">
        <x:v>null</x:v>
      </x:c>
      <x:c r="P44" s="9" t="str">
        <x:v>CHEMBL3853329</x:v>
      </x:c>
      <x:c r="Q44" s="9" t="str">
        <x:v>J Med Chem</x:v>
      </x:c>
      <x:c r="R44" s="13" t="n">
        <x:v>2016</x:v>
      </x:c>
      <x:c r="S44" s="9" t="str">
        <x:v>{"bei":"10.94","le":"0.22","lle":"0.12","sei":"9.04"}</x:v>
      </x:c>
      <x:c r="T44" s="9" t="str">
        <x:v>null</x:v>
      </x:c>
      <x:c r="U44" s="9" t="str">
        <x:v>CHEMBL3945776</x:v>
      </x:c>
      <x:c r="V44" s="9" t="str">
        <x:v>null</x:v>
      </x:c>
      <x:c r="W44" s="9" t="str">
        <x:v>CHEMBL3945776</x:v>
      </x:c>
      <x:c r="X44" s="11" t="n">
        <x:v>5.42</x:v>
      </x:c>
      <x:c r="Y44" s="13" t="n">
        <x:v>0</x:v>
      </x:c>
      <x:c r="Z44" s="9" t="str">
        <x:v>http://www.openphacts.org/units/Nanomolar</x:v>
      </x:c>
      <x:c r="AA44" s="9" t="str">
        <x:v>2796815</x:v>
      </x:c>
      <x:c r="AB44" s="9" t="str">
        <x:v>=</x:v>
      </x:c>
      <x:c r="AC44" s="9" t="str">
        <x:v>1</x:v>
      </x:c>
      <x:c r="AD44" s="13" t="n">
        <x:v>1</x:v>
      </x:c>
      <x:c r="AE44" s="9" t="str">
        <x:v>=</x:v>
      </x:c>
      <x:c r="AF44" s="9" t="str">
        <x:v>null</x:v>
      </x:c>
      <x:c r="AG44" s="9" t="str">
        <x:v>Ki</x:v>
      </x:c>
      <x:c r="AH44" s="9" t="str">
        <x:v>nM</x:v>
      </x:c>
      <x:c r="AI44" s="9" t="str">
        <x:v>null</x:v>
      </x:c>
      <x:c r="AJ44" s="11" t="n">
        <x:v>3801.89</x:v>
      </x:c>
      <x:c r="AK44" s="9" t="str">
        <x:v>CHEMBL217</x:v>
      </x:c>
      <x:c r="AL44" s="9" t="str">
        <x:v>Homo sapiens</x:v>
      </x:c>
      <x:c r="AM44" s="9" t="str">
        <x:v>D(2) dopamine receptor</x:v>
      </x:c>
      <x:c r="AN44" s="9" t="str">
        <x:v>9606</x:v>
      </x:c>
      <x:c r="AO44" s="9" t="str">
        <x:v>null</x:v>
      </x:c>
      <x:c r="AP44" s="9" t="str">
        <x:v>null</x:v>
      </x:c>
      <x:c r="AQ44" s="9" t="str">
        <x:v>pKi</x:v>
      </x:c>
      <x:c r="AR44" s="9" t="str">
        <x:v>null</x:v>
      </x:c>
      <x:c r="AS44" s="9" t="str">
        <x:v>UO_0000065</x:v>
      </x:c>
      <x:c r="AT44" s="9" t="str">
        <x:v>null</x:v>
      </x:c>
      <x:c r="AU44" s="9" t="str">
        <x:v>5.42</x:v>
      </x:c>
      <x:c r="AV44" s="11" t="n">
        <x:v>0.00501</x:v>
      </x:c>
      <x:c r="AW44" s="9" t="str">
        <x:v>include</x:v>
      </x:c>
      <x:c r="AX44" s="9" t="str"/>
      <x:c r="AY44" s="11" t="n">
        <x:v>3801.8939632056126</x:v>
      </x:c>
      <x:c r="AZ44" s="9" t="str">
        <x:v>source_reported_pKi</x:v>
      </x:c>
      <x:c r="BA44" s="11" t="n">
        <x:v>5.42</x:v>
      </x:c>
      <x:c r="BB44" s="9" t="str">
        <x:v>ecd0a33a54e86ee86092bde14ba6502a5f45358129e40fb8939f2550280752bb</x:v>
      </x:c>
      <x:c r="BC44" s="9" t="str">
        <x:v>LRMWMKQIJLOEPF-GCJKJVERSA-N</x:v>
      </x:c>
      <x:c r="BD44" s="9" t="str">
        <x:v>Cc1ncoc1-c1nnc(SCCCN2CC[C@]3(C[C@@H]3c3ccc(F)cc3C(F)(F)F)C2)n1C</x:v>
      </x:c>
      <x:c r="BE44" s="9" t="str">
        <x:v>Cc1ncoc1-c1nnc(SCCCN2CCC3(CC3c3ccc(F)cc3C(F)(F)F)C2)n1C</x:v>
      </x:c>
      <x:c r="BF44" s="9" t="str">
        <x:v>Cc1ncoc1-c1nnc(SCCCN2CC[C@]3(C[C@@H]3c3ccc(F)cc3C(F)(F)F)C2)n1C</x:v>
      </x:c>
      <x:c r="BG44" s="12" t="n">
        <x:v>4.527215224925385e-7</x:v>
      </x:c>
      <x:c r="BH44" s="11" t="n">
        <x:v>5.420000452721522</x:v>
      </x:c>
      <x:c r="BI44" s="9" t="str">
        <x:v>c1ccc(C2CC23CCN(CCCSc2nnc(-c4cnco4)[nH]2)C3)cc1</x:v>
      </x:c>
      <x:c r="BJ44" s="13" t="n">
        <x:v>1</x:v>
      </x:c>
      <x:c r="BK44" s="11" t="n">
        <x:v>3801.89</x:v>
      </x:c>
      <x:c r="BL44" s="12" t="n">
        <x:v>-0.003963205612762977</x:v>
      </x:c>
      <x:c r="BM44" s="9" t="str">
        <x:v>false</x:v>
      </x:c>
    </x:row>
    <x:row r="45" ht="51" customHeight="1">
      <x:c r="A45" s="14" t="str">
        <x:v>null</x:v>
      </x:c>
      <x:c r="B45" s="14" t="str">
        <x:v>null</x:v>
      </x:c>
      <x:c r="C45" s="14" t="str">
        <x:v>16670176</x:v>
      </x:c>
      <x:c r="D45" s="14" t="str">
        <x:v>[]</x:v>
      </x:c>
      <x:c r="E45" s="14" t="str">
        <x:v>CHEMBL3855278</x:v>
      </x:c>
      <x:c r="F45" s="14" t="str">
        <x:v>Displacement of [3H]-spiperone from human dopamine D2 receptor expressed in CHO-K1 cell membranes coexpressing Galpha16 after 120 mins by liquid scintillation counting</x:v>
      </x:c>
      <x:c r="G45" s="14" t="str">
        <x:v>B</x:v>
      </x:c>
      <x:c r="H45" s="14" t="str">
        <x:v>null</x:v>
      </x:c>
      <x:c r="I45" s="14" t="str">
        <x:v>null</x:v>
      </x:c>
      <x:c r="J45" s="14" t="str">
        <x:v>BAO_0000192</x:v>
      </x:c>
      <x:c r="K45" s="14" t="str">
        <x:v>BAO_0000219</x:v>
      </x:c>
      <x:c r="L45" s="14" t="str">
        <x:v>cell-based format</x:v>
      </x:c>
      <x:c r="M45" s="14" t="str">
        <x:v>Cc1ncoc1-c1nnc(SCCCN2CC[C@@]3(C[C@H]3c3ccc(F)cc3C(F)(F)F)C2)n1C</x:v>
      </x:c>
      <x:c r="N45" s="14" t="str">
        <x:v>null</x:v>
      </x:c>
      <x:c r="O45" s="14" t="str">
        <x:v>null</x:v>
      </x:c>
      <x:c r="P45" s="14" t="str">
        <x:v>CHEMBL3853329</x:v>
      </x:c>
      <x:c r="Q45" s="14" t="str">
        <x:v>J Med Chem</x:v>
      </x:c>
      <x:c r="R45" s="17" t="n">
        <x:v>2016</x:v>
      </x:c>
      <x:c r="S45" s="14" t="str">
        <x:v>{"bei":"11.89","le":"0.24","lle":"0.59","sei":"9.82"}</x:v>
      </x:c>
      <x:c r="T45" s="14" t="str">
        <x:v>null</x:v>
      </x:c>
      <x:c r="U45" s="14" t="str">
        <x:v>CHEMBL3975147</x:v>
      </x:c>
      <x:c r="V45" s="14" t="str">
        <x:v>null</x:v>
      </x:c>
      <x:c r="W45" s="14" t="str">
        <x:v>CHEMBL3975147</x:v>
      </x:c>
      <x:c r="X45" s="15" t="n">
        <x:v>5.89</x:v>
      </x:c>
      <x:c r="Y45" s="17" t="n">
        <x:v>0</x:v>
      </x:c>
      <x:c r="Z45" s="14" t="str">
        <x:v>http://www.openphacts.org/units/Nanomolar</x:v>
      </x:c>
      <x:c r="AA45" s="14" t="str">
        <x:v>2796816</x:v>
      </x:c>
      <x:c r="AB45" s="14" t="str">
        <x:v>=</x:v>
      </x:c>
      <x:c r="AC45" s="14" t="str">
        <x:v>1</x:v>
      </x:c>
      <x:c r="AD45" s="17" t="n">
        <x:v>1</x:v>
      </x:c>
      <x:c r="AE45" s="14" t="str">
        <x:v>=</x:v>
      </x:c>
      <x:c r="AF45" s="14" t="str">
        <x:v>null</x:v>
      </x:c>
      <x:c r="AG45" s="14" t="str">
        <x:v>Ki</x:v>
      </x:c>
      <x:c r="AH45" s="14" t="str">
        <x:v>nM</x:v>
      </x:c>
      <x:c r="AI45" s="14" t="str">
        <x:v>null</x:v>
      </x:c>
      <x:c r="AJ45" s="15" t="n">
        <x:v>1288.25</x:v>
      </x:c>
      <x:c r="AK45" s="14" t="str">
        <x:v>CHEMBL217</x:v>
      </x:c>
      <x:c r="AL45" s="14" t="str">
        <x:v>Homo sapiens</x:v>
      </x:c>
      <x:c r="AM45" s="14" t="str">
        <x:v>D(2) dopamine receptor</x:v>
      </x:c>
      <x:c r="AN45" s="14" t="str">
        <x:v>9606</x:v>
      </x:c>
      <x:c r="AO45" s="14" t="str">
        <x:v>null</x:v>
      </x:c>
      <x:c r="AP45" s="14" t="str">
        <x:v>null</x:v>
      </x:c>
      <x:c r="AQ45" s="14" t="str">
        <x:v>pKi</x:v>
      </x:c>
      <x:c r="AR45" s="14" t="str">
        <x:v>null</x:v>
      </x:c>
      <x:c r="AS45" s="14" t="str">
        <x:v>UO_0000065</x:v>
      </x:c>
      <x:c r="AT45" s="14" t="str">
        <x:v>null</x:v>
      </x:c>
      <x:c r="AU45" s="14" t="str">
        <x:v>5.89</x:v>
      </x:c>
      <x:c r="AV45" s="15" t="n">
        <x:v>0.00501</x:v>
      </x:c>
      <x:c r="AW45" s="14" t="str">
        <x:v>include</x:v>
      </x:c>
      <x:c r="AX45" s="14" t="str"/>
      <x:c r="AY45" s="15" t="n">
        <x:v>1288.249551693135</x:v>
      </x:c>
      <x:c r="AZ45" s="14" t="str">
        <x:v>source_reported_pKi</x:v>
      </x:c>
      <x:c r="BA45" s="15" t="n">
        <x:v>5.89</x:v>
      </x:c>
      <x:c r="BB45" s="14" t="str">
        <x:v>ecd0a33a54e86ee86092bde14ba6502a5f45358129e40fb8939f2550280752bb</x:v>
      </x:c>
      <x:c r="BC45" s="14" t="str">
        <x:v>LRMWMKQIJLOEPF-PGRDOPGGSA-N</x:v>
      </x:c>
      <x:c r="BD45" s="14" t="str">
        <x:v>Cc1ncoc1-c1nnc(SCCCN2CC[C@@]3(C[C@H]3c3ccc(F)cc3C(F)(F)F)C2)n1C</x:v>
      </x:c>
      <x:c r="BE45" s="14" t="str">
        <x:v>Cc1ncoc1-c1nnc(SCCCN2CCC3(CC3c3ccc(F)cc3C(F)(F)F)C2)n1C</x:v>
      </x:c>
      <x:c r="BF45" s="14" t="str">
        <x:v>Cc1ncoc1-c1nnc(SCCCN2CC[C@@]3(C[C@H]3c3ccc(F)cc3C(F)(F)F)C2)n1C</x:v>
      </x:c>
      <x:c r="BG45" s="16" t="n">
        <x:v>-1.5113311224723702e-7</x:v>
      </x:c>
      <x:c r="BH45" s="15" t="n">
        <x:v>5.889999848866887</x:v>
      </x:c>
      <x:c r="BI45" s="14" t="str">
        <x:v>c1ccc(C2CC23CCN(CCCSc2nnc(-c4cnco4)[nH]2)C3)cc1</x:v>
      </x:c>
      <x:c r="BJ45" s="17" t="n">
        <x:v>1</x:v>
      </x:c>
      <x:c r="BK45" s="15" t="n">
        <x:v>1288.25</x:v>
      </x:c>
      <x:c r="BL45" s="16" t="n">
        <x:v>0.000448306865109771</x:v>
      </x:c>
      <x:c r="BM45" s="14" t="str">
        <x:v>false</x:v>
      </x:c>
    </x:row>
    <x:row r="46" ht="51" customHeight="1">
      <x:c r="A46" s="9" t="str">
        <x:v>null</x:v>
      </x:c>
      <x:c r="B46" s="9" t="str">
        <x:v>null</x:v>
      </x:c>
      <x:c r="C46" s="9" t="str">
        <x:v>16670177</x:v>
      </x:c>
      <x:c r="D46" s="9" t="str">
        <x:v>[]</x:v>
      </x:c>
      <x:c r="E46" s="9" t="str">
        <x:v>CHEMBL3855278</x:v>
      </x:c>
      <x:c r="F46" s="9" t="str">
        <x:v>Displacement of [3H]-spiperone from human dopamine D2 receptor expressed in CHO-K1 cell membranes coexpressing Galpha16 after 120 mins by liquid scintillation counting</x:v>
      </x:c>
      <x:c r="G46" s="9" t="str">
        <x:v>B</x:v>
      </x:c>
      <x:c r="H46" s="9" t="str">
        <x:v>null</x:v>
      </x:c>
      <x:c r="I46" s="9" t="str">
        <x:v>null</x:v>
      </x:c>
      <x:c r="J46" s="9" t="str">
        <x:v>BAO_0000192</x:v>
      </x:c>
      <x:c r="K46" s="9" t="str">
        <x:v>BAO_0000219</x:v>
      </x:c>
      <x:c r="L46" s="9" t="str">
        <x:v>cell-based format</x:v>
      </x:c>
      <x:c r="M46" s="9" t="str">
        <x:v>Cc1ncoc1-c1nnc(SCC(O)CN2CC[C@@]3(C[C@H]3c3ccc(C(F)(F)F)cc3)C2)n1C</x:v>
      </x:c>
      <x:c r="N46" s="9" t="str">
        <x:v>null</x:v>
      </x:c>
      <x:c r="O46" s="9" t="str">
        <x:v>null</x:v>
      </x:c>
      <x:c r="P46" s="9" t="str">
        <x:v>CHEMBL3853329</x:v>
      </x:c>
      <x:c r="Q46" s="9" t="str">
        <x:v>J Med Chem</x:v>
      </x:c>
      <x:c r="R46" s="13" t="n">
        <x:v>2016</x:v>
      </x:c>
      <x:c r="S46" s="9" t="str">
        <x:v>{"bei":"11.67","le":"0.23","lle":"1.63","sei":"7.18"}</x:v>
      </x:c>
      <x:c r="T46" s="9" t="str">
        <x:v>null</x:v>
      </x:c>
      <x:c r="U46" s="9" t="str">
        <x:v>CHEMBL3954490</x:v>
      </x:c>
      <x:c r="V46" s="9" t="str">
        <x:v>null</x:v>
      </x:c>
      <x:c r="W46" s="9" t="str">
        <x:v>CHEMBL3954490</x:v>
      </x:c>
      <x:c r="X46" s="11" t="n">
        <x:v>5.76</x:v>
      </x:c>
      <x:c r="Y46" s="13" t="n">
        <x:v>0</x:v>
      </x:c>
      <x:c r="Z46" s="9" t="str">
        <x:v>http://www.openphacts.org/units/Nanomolar</x:v>
      </x:c>
      <x:c r="AA46" s="9" t="str">
        <x:v>2796817</x:v>
      </x:c>
      <x:c r="AB46" s="9" t="str">
        <x:v>=</x:v>
      </x:c>
      <x:c r="AC46" s="9" t="str">
        <x:v>1</x:v>
      </x:c>
      <x:c r="AD46" s="13" t="n">
        <x:v>1</x:v>
      </x:c>
      <x:c r="AE46" s="9" t="str">
        <x:v>=</x:v>
      </x:c>
      <x:c r="AF46" s="9" t="str">
        <x:v>null</x:v>
      </x:c>
      <x:c r="AG46" s="9" t="str">
        <x:v>Ki</x:v>
      </x:c>
      <x:c r="AH46" s="9" t="str">
        <x:v>nM</x:v>
      </x:c>
      <x:c r="AI46" s="9" t="str">
        <x:v>null</x:v>
      </x:c>
      <x:c r="AJ46" s="11" t="n">
        <x:v>1737.8</x:v>
      </x:c>
      <x:c r="AK46" s="9" t="str">
        <x:v>CHEMBL217</x:v>
      </x:c>
      <x:c r="AL46" s="9" t="str">
        <x:v>Homo sapiens</x:v>
      </x:c>
      <x:c r="AM46" s="9" t="str">
        <x:v>D(2) dopamine receptor</x:v>
      </x:c>
      <x:c r="AN46" s="9" t="str">
        <x:v>9606</x:v>
      </x:c>
      <x:c r="AO46" s="9" t="str">
        <x:v>null</x:v>
      </x:c>
      <x:c r="AP46" s="9" t="str">
        <x:v>null</x:v>
      </x:c>
      <x:c r="AQ46" s="9" t="str">
        <x:v>pKi</x:v>
      </x:c>
      <x:c r="AR46" s="9" t="str">
        <x:v>null</x:v>
      </x:c>
      <x:c r="AS46" s="9" t="str">
        <x:v>UO_0000065</x:v>
      </x:c>
      <x:c r="AT46" s="9" t="str">
        <x:v>null</x:v>
      </x:c>
      <x:c r="AU46" s="9" t="str">
        <x:v>5.76</x:v>
      </x:c>
      <x:c r="AV46" s="11" t="n">
        <x:v>0.00501</x:v>
      </x:c>
      <x:c r="AW46" s="9" t="str">
        <x:v>include</x:v>
      </x:c>
      <x:c r="AX46" s="9" t="str"/>
      <x:c r="AY46" s="11" t="n">
        <x:v>1737.8008287493763</x:v>
      </x:c>
      <x:c r="AZ46" s="9" t="str">
        <x:v>source_reported_pKi</x:v>
      </x:c>
      <x:c r="BA46" s="11" t="n">
        <x:v>5.76</x:v>
      </x:c>
      <x:c r="BB46" s="9" t="str">
        <x:v>f9dd1a7b94a4e018fc1d145ad30a4628e11311dbe1188f815f403d1b098521b5</x:v>
      </x:c>
      <x:c r="BC46" s="9" t="str">
        <x:v>GNVATANRVUMZDM-RXJZEZJSSA-N</x:v>
      </x:c>
      <x:c r="BD46" s="9" t="str">
        <x:v>Cc1ncoc1-c1nnc(SCC(O)CN2CC[C@@]3(C[C@H]3c3ccc(C(F)(F)F)cc3)C2)n1C</x:v>
      </x:c>
      <x:c r="BE46" s="9" t="str">
        <x:v>Cc1ncoc1-c1nnc(SCC(O)CN2CCC3(CC3c3ccc(C(F)(F)F)cc3)C2)n1C</x:v>
      </x:c>
      <x:c r="BF46" s="9" t="str">
        <x:v>Cc1ncoc1-c1nnc(SCC(O)CN2CC[C@@]3(C[C@H]3c3ccc(C(F)(F)F)cc3)C2)n1C</x:v>
      </x:c>
      <x:c r="BG46" s="12" t="n">
        <x:v>2.0711312842536245e-7</x:v>
      </x:c>
      <x:c r="BH46" s="11" t="n">
        <x:v>5.760000207113128</x:v>
      </x:c>
      <x:c r="BI46" s="9" t="str">
        <x:v>c1ccc(C2CC23CCN(CCCSc2nnc(-c4cnco4)[nH]2)C3)cc1</x:v>
      </x:c>
      <x:c r="BJ46" s="13" t="n">
        <x:v>1</x:v>
      </x:c>
      <x:c r="BK46" s="11" t="n">
        <x:v>1737.8</x:v>
      </x:c>
      <x:c r="BL46" s="12" t="n">
        <x:v>-0.0008287493762964004</x:v>
      </x:c>
      <x:c r="BM46" s="9" t="str">
        <x:v>false</x:v>
      </x:c>
    </x:row>
    <x:row r="47" ht="51" customHeight="1">
      <x:c r="A47" s="14" t="str">
        <x:v>null</x:v>
      </x:c>
      <x:c r="B47" s="14" t="str">
        <x:v>null</x:v>
      </x:c>
      <x:c r="C47" s="14" t="str">
        <x:v>16670178</x:v>
      </x:c>
      <x:c r="D47" s="14" t="str">
        <x:v>[]</x:v>
      </x:c>
      <x:c r="E47" s="14" t="str">
        <x:v>CHEMBL3855278</x:v>
      </x:c>
      <x:c r="F47" s="14" t="str">
        <x:v>Displacement of [3H]-spiperone from human dopamine D2 receptor expressed in CHO-K1 cell membranes coexpressing Galpha16 after 120 mins by liquid scintillation counting</x:v>
      </x:c>
      <x:c r="G47" s="14" t="str">
        <x:v>B</x:v>
      </x:c>
      <x:c r="H47" s="14" t="str">
        <x:v>null</x:v>
      </x:c>
      <x:c r="I47" s="14" t="str">
        <x:v>null</x:v>
      </x:c>
      <x:c r="J47" s="14" t="str">
        <x:v>BAO_0000192</x:v>
      </x:c>
      <x:c r="K47" s="14" t="str">
        <x:v>BAO_0000219</x:v>
      </x:c>
      <x:c r="L47" s="14" t="str">
        <x:v>cell-based format</x:v>
      </x:c>
      <x:c r="M47" s="14" t="str">
        <x:v>Cc1ncoc1-c1nnc(SCCCN2CC[C@]3(C[C@H]3c3cc(Cl)cc(Cl)c3)C2)n1C</x:v>
      </x:c>
      <x:c r="N47" s="14" t="str">
        <x:v>null</x:v>
      </x:c>
      <x:c r="O47" s="14" t="str">
        <x:v>null</x:v>
      </x:c>
      <x:c r="P47" s="14" t="str">
        <x:v>CHEMBL3853329</x:v>
      </x:c>
      <x:c r="Q47" s="14" t="str">
        <x:v>J Med Chem</x:v>
      </x:c>
      <x:c r="R47" s="17" t="n">
        <x:v>2016</x:v>
      </x:c>
      <x:c r="S47" s="14" t="str">
        <x:v>{"bei":"15.01","le":"0.32","lle":"1.73","sei":"11.97"}</x:v>
      </x:c>
      <x:c r="T47" s="14" t="str">
        <x:v>null</x:v>
      </x:c>
      <x:c r="U47" s="14" t="str">
        <x:v>CHEMBL3983121</x:v>
      </x:c>
      <x:c r="V47" s="14" t="str">
        <x:v>null</x:v>
      </x:c>
      <x:c r="W47" s="14" t="str">
        <x:v>CHEMBL3983121</x:v>
      </x:c>
      <x:c r="X47" s="15" t="n">
        <x:v>7.18</x:v>
      </x:c>
      <x:c r="Y47" s="17" t="n">
        <x:v>0</x:v>
      </x:c>
      <x:c r="Z47" s="14" t="str">
        <x:v>http://www.openphacts.org/units/Nanomolar</x:v>
      </x:c>
      <x:c r="AA47" s="14" t="str">
        <x:v>2796818</x:v>
      </x:c>
      <x:c r="AB47" s="14" t="str">
        <x:v>=</x:v>
      </x:c>
      <x:c r="AC47" s="14" t="str">
        <x:v>1</x:v>
      </x:c>
      <x:c r="AD47" s="17" t="n">
        <x:v>1</x:v>
      </x:c>
      <x:c r="AE47" s="14" t="str">
        <x:v>=</x:v>
      </x:c>
      <x:c r="AF47" s="14" t="str">
        <x:v>null</x:v>
      </x:c>
      <x:c r="AG47" s="14" t="str">
        <x:v>Ki</x:v>
      </x:c>
      <x:c r="AH47" s="14" t="str">
        <x:v>nM</x:v>
      </x:c>
      <x:c r="AI47" s="14" t="str">
        <x:v>null</x:v>
      </x:c>
      <x:c r="AJ47" s="15" t="n">
        <x:v>66.07</x:v>
      </x:c>
      <x:c r="AK47" s="14" t="str">
        <x:v>CHEMBL217</x:v>
      </x:c>
      <x:c r="AL47" s="14" t="str">
        <x:v>Homo sapiens</x:v>
      </x:c>
      <x:c r="AM47" s="14" t="str">
        <x:v>D(2) dopamine receptor</x:v>
      </x:c>
      <x:c r="AN47" s="14" t="str">
        <x:v>9606</x:v>
      </x:c>
      <x:c r="AO47" s="14" t="str">
        <x:v>null</x:v>
      </x:c>
      <x:c r="AP47" s="14" t="str">
        <x:v>null</x:v>
      </x:c>
      <x:c r="AQ47" s="14" t="str">
        <x:v>pKi</x:v>
      </x:c>
      <x:c r="AR47" s="14" t="str">
        <x:v>null</x:v>
      </x:c>
      <x:c r="AS47" s="14" t="str">
        <x:v>UO_0000065</x:v>
      </x:c>
      <x:c r="AT47" s="14" t="str">
        <x:v>null</x:v>
      </x:c>
      <x:c r="AU47" s="14" t="str">
        <x:v>7.18</x:v>
      </x:c>
      <x:c r="AV47" s="15" t="n">
        <x:v>0.00501</x:v>
      </x:c>
      <x:c r="AW47" s="14" t="str">
        <x:v>include</x:v>
      </x:c>
      <x:c r="AX47" s="14" t="str"/>
      <x:c r="AY47" s="15" t="n">
        <x:v>66.06934480075964</x:v>
      </x:c>
      <x:c r="AZ47" s="14" t="str">
        <x:v>source_reported_pKi</x:v>
      </x:c>
      <x:c r="BA47" s="15" t="n">
        <x:v>7.18</x:v>
      </x:c>
      <x:c r="BB47" s="14" t="str">
        <x:v>3d1b01f172b95fa970bdbde7a881107f16a11e0edc4e493db8df12af9404d052</x:v>
      </x:c>
      <x:c r="BC47" s="14" t="str">
        <x:v>FCYQRIODPYABJL-AVRDEDQJSA-N</x:v>
      </x:c>
      <x:c r="BD47" s="14" t="str">
        <x:v>Cc1ncoc1-c1nnc(SCCCN2CC[C@]3(C[C@H]3c3cc(Cl)cc(Cl)c3)C2)n1C</x:v>
      </x:c>
      <x:c r="BE47" s="14" t="str">
        <x:v>Cc1ncoc1-c1nnc(SCCCN2CCC3(CC3c3cc(Cl)cc(Cl)c3)C2)n1C</x:v>
      </x:c>
      <x:c r="BF47" s="14" t="str">
        <x:v>Cc1ncoc1-c1nnc(SCCCN2CC[C@]3(C[C@H]3c3cc(Cl)cc(Cl)c3)C2)n1C</x:v>
      </x:c>
      <x:c r="BG47" s="16" t="n">
        <x:v>-0.000004306808317977584</x:v>
      </x:c>
      <x:c r="BH47" s="15" t="n">
        <x:v>7.179995693191682</x:v>
      </x:c>
      <x:c r="BI47" s="14" t="str">
        <x:v>c1ccc(C2CC23CCN(CCCSc2nnc(-c4cnco4)[nH]2)C3)cc1</x:v>
      </x:c>
      <x:c r="BJ47" s="17" t="n">
        <x:v>1</x:v>
      </x:c>
      <x:c r="BK47" s="15" t="n">
        <x:v>66.07</x:v>
      </x:c>
      <x:c r="BL47" s="16" t="n">
        <x:v>0.0006551992403558415</x:v>
      </x:c>
      <x:c r="BM47" s="14" t="str">
        <x:v>false</x:v>
      </x:c>
    </x:row>
    <x:row r="48" ht="51" customHeight="1">
      <x:c r="A48" s="9" t="str">
        <x:v>null</x:v>
      </x:c>
      <x:c r="B48" s="9" t="str">
        <x:v>null</x:v>
      </x:c>
      <x:c r="C48" s="9" t="str">
        <x:v>16670179</x:v>
      </x:c>
      <x:c r="D48" s="9" t="str">
        <x:v>[]</x:v>
      </x:c>
      <x:c r="E48" s="9" t="str">
        <x:v>CHEMBL3855278</x:v>
      </x:c>
      <x:c r="F48" s="9" t="str">
        <x:v>Displacement of [3H]-spiperone from human dopamine D2 receptor expressed in CHO-K1 cell membranes coexpressing Galpha16 after 120 mins by liquid scintillation counting</x:v>
      </x:c>
      <x:c r="G48" s="9" t="str">
        <x:v>B</x:v>
      </x:c>
      <x:c r="H48" s="9" t="str">
        <x:v>null</x:v>
      </x:c>
      <x:c r="I48" s="9" t="str">
        <x:v>null</x:v>
      </x:c>
      <x:c r="J48" s="9" t="str">
        <x:v>BAO_0000192</x:v>
      </x:c>
      <x:c r="K48" s="9" t="str">
        <x:v>BAO_0000219</x:v>
      </x:c>
      <x:c r="L48" s="9" t="str">
        <x:v>cell-based format</x:v>
      </x:c>
      <x:c r="M48" s="9" t="str">
        <x:v>Cc1ncoc1-c1nnc(SCCCN2CC[C@]3(C[C@@H]3c3cc(Cl)cc(Cl)c3)C2)n1C</x:v>
      </x:c>
      <x:c r="N48" s="9" t="str">
        <x:v>null</x:v>
      </x:c>
      <x:c r="O48" s="9" t="str">
        <x:v>null</x:v>
      </x:c>
      <x:c r="P48" s="9" t="str">
        <x:v>CHEMBL3853329</x:v>
      </x:c>
      <x:c r="Q48" s="9" t="str">
        <x:v>J Med Chem</x:v>
      </x:c>
      <x:c r="R48" s="13" t="n">
        <x:v>2016</x:v>
      </x:c>
      <x:c r="S48" s="9" t="str">
        <x:v>{"bei":"15.07","le":"0.32","lle":"1.76","sei":"12.02"}</x:v>
      </x:c>
      <x:c r="T48" s="9" t="str">
        <x:v>null</x:v>
      </x:c>
      <x:c r="U48" s="9" t="str">
        <x:v>CHEMBL3899336</x:v>
      </x:c>
      <x:c r="V48" s="9" t="str">
        <x:v>null</x:v>
      </x:c>
      <x:c r="W48" s="9" t="str">
        <x:v>CHEMBL3899336</x:v>
      </x:c>
      <x:c r="X48" s="11" t="n">
        <x:v>7.21</x:v>
      </x:c>
      <x:c r="Y48" s="13" t="n">
        <x:v>0</x:v>
      </x:c>
      <x:c r="Z48" s="9" t="str">
        <x:v>http://www.openphacts.org/units/Nanomolar</x:v>
      </x:c>
      <x:c r="AA48" s="9" t="str">
        <x:v>2796819</x:v>
      </x:c>
      <x:c r="AB48" s="9" t="str">
        <x:v>=</x:v>
      </x:c>
      <x:c r="AC48" s="9" t="str">
        <x:v>1</x:v>
      </x:c>
      <x:c r="AD48" s="13" t="n">
        <x:v>1</x:v>
      </x:c>
      <x:c r="AE48" s="9" t="str">
        <x:v>=</x:v>
      </x:c>
      <x:c r="AF48" s="9" t="str">
        <x:v>null</x:v>
      </x:c>
      <x:c r="AG48" s="9" t="str">
        <x:v>Ki</x:v>
      </x:c>
      <x:c r="AH48" s="9" t="str">
        <x:v>nM</x:v>
      </x:c>
      <x:c r="AI48" s="9" t="str">
        <x:v>null</x:v>
      </x:c>
      <x:c r="AJ48" s="11" t="n">
        <x:v>61.66</x:v>
      </x:c>
      <x:c r="AK48" s="9" t="str">
        <x:v>CHEMBL217</x:v>
      </x:c>
      <x:c r="AL48" s="9" t="str">
        <x:v>Homo sapiens</x:v>
      </x:c>
      <x:c r="AM48" s="9" t="str">
        <x:v>D(2) dopamine receptor</x:v>
      </x:c>
      <x:c r="AN48" s="9" t="str">
        <x:v>9606</x:v>
      </x:c>
      <x:c r="AO48" s="9" t="str">
        <x:v>null</x:v>
      </x:c>
      <x:c r="AP48" s="9" t="str">
        <x:v>null</x:v>
      </x:c>
      <x:c r="AQ48" s="9" t="str">
        <x:v>pKi</x:v>
      </x:c>
      <x:c r="AR48" s="9" t="str">
        <x:v>null</x:v>
      </x:c>
      <x:c r="AS48" s="9" t="str">
        <x:v>UO_0000065</x:v>
      </x:c>
      <x:c r="AT48" s="9" t="str">
        <x:v>null</x:v>
      </x:c>
      <x:c r="AU48" s="9" t="str">
        <x:v>7.21</x:v>
      </x:c>
      <x:c r="AV48" s="11" t="n">
        <x:v>0.00501</x:v>
      </x:c>
      <x:c r="AW48" s="9" t="str">
        <x:v>include</x:v>
      </x:c>
      <x:c r="AX48" s="9" t="str"/>
      <x:c r="AY48" s="11" t="n">
        <x:v>61.65950018614822</x:v>
      </x:c>
      <x:c r="AZ48" s="9" t="str">
        <x:v>source_reported_pKi</x:v>
      </x:c>
      <x:c r="BA48" s="11" t="n">
        <x:v>7.21</x:v>
      </x:c>
      <x:c r="BB48" s="9" t="str">
        <x:v>3d1b01f172b95fa970bdbde7a881107f16a11e0edc4e493db8df12af9404d052</x:v>
      </x:c>
      <x:c r="BC48" s="9" t="str">
        <x:v>FCYQRIODPYABJL-GCJKJVERSA-N</x:v>
      </x:c>
      <x:c r="BD48" s="9" t="str">
        <x:v>Cc1ncoc1-c1nnc(SCCCN2CC[C@]3(C[C@@H]3c3cc(Cl)cc(Cl)c3)C2)n1C</x:v>
      </x:c>
      <x:c r="BE48" s="9" t="str">
        <x:v>Cc1ncoc1-c1nnc(SCCCN2CCC3(CC3c3cc(Cl)cc(Cl)c3)C2)n1C</x:v>
      </x:c>
      <x:c r="BF48" s="9" t="str">
        <x:v>Cc1ncoc1-c1nnc(SCCCN2CC[C@]3(C[C@@H]3c3cc(Cl)cc(Cl)c3)C2)n1C</x:v>
      </x:c>
      <x:c r="BG48" s="12" t="n">
        <x:v>-0.0000035203904893421623</x:v>
      </x:c>
      <x:c r="BH48" s="11" t="n">
        <x:v>7.209996479609511</x:v>
      </x:c>
      <x:c r="BI48" s="9" t="str">
        <x:v>c1ccc(C2CC23CCN(CCCSc2nnc(-c4cnco4)[nH]2)C3)cc1</x:v>
      </x:c>
      <x:c r="BJ48" s="13" t="n">
        <x:v>1</x:v>
      </x:c>
      <x:c r="BK48" s="11" t="n">
        <x:v>61.66</x:v>
      </x:c>
      <x:c r="BL48" s="12" t="n">
        <x:v>0.0004998138517748885</x:v>
      </x:c>
      <x:c r="BM48" s="9" t="str">
        <x:v>false</x:v>
      </x:c>
    </x:row>
    <x:row r="49" ht="51" customHeight="1">
      <x:c r="A49" s="14" t="str">
        <x:v>null</x:v>
      </x:c>
      <x:c r="B49" s="14" t="str">
        <x:v>null</x:v>
      </x:c>
      <x:c r="C49" s="14" t="str">
        <x:v>16670256</x:v>
      </x:c>
      <x:c r="D49" s="14" t="str">
        <x:v>[]</x:v>
      </x:c>
      <x:c r="E49" s="14" t="str">
        <x:v>CHEMBL3855278</x:v>
      </x:c>
      <x:c r="F49" s="14" t="str">
        <x:v>Displacement of [3H]-spiperone from human dopamine D2 receptor expressed in CHO-K1 cell membranes coexpressing Galpha16 after 120 mins by liquid scintillation counting</x:v>
      </x:c>
      <x:c r="G49" s="14" t="str">
        <x:v>B</x:v>
      </x:c>
      <x:c r="H49" s="14" t="str">
        <x:v>null</x:v>
      </x:c>
      <x:c r="I49" s="14" t="str">
        <x:v>null</x:v>
      </x:c>
      <x:c r="J49" s="14" t="str">
        <x:v>BAO_0000192</x:v>
      </x:c>
      <x:c r="K49" s="14" t="str">
        <x:v>BAO_0000219</x:v>
      </x:c>
      <x:c r="L49" s="14" t="str">
        <x:v>cell-based format</x:v>
      </x:c>
      <x:c r="M49" s="14" t="str">
        <x:v>Cc1ncsc1-c1nnc(SCCCN2CC[C@]3(C[C@H]3c3ccc(C(F)(F)F)cc3)C2)n1C</x:v>
      </x:c>
      <x:c r="N49" s="14" t="str">
        <x:v>null</x:v>
      </x:c>
      <x:c r="O49" s="14" t="str">
        <x:v>null</x:v>
      </x:c>
      <x:c r="P49" s="14" t="str">
        <x:v>CHEMBL3853329</x:v>
      </x:c>
      <x:c r="Q49" s="14" t="str">
        <x:v>J Med Chem</x:v>
      </x:c>
      <x:c r="R49" s="17" t="n">
        <x:v>2016</x:v>
      </x:c>
      <x:c r="S49" s="14" t="str">
        <x:v>{"bei":"11.97","le":"0.24","lle":"0.28","sei":"12.62"}</x:v>
      </x:c>
      <x:c r="T49" s="14" t="str">
        <x:v>null</x:v>
      </x:c>
      <x:c r="U49" s="14" t="str">
        <x:v>CHEMBL3894257</x:v>
      </x:c>
      <x:c r="V49" s="14" t="str">
        <x:v>null</x:v>
      </x:c>
      <x:c r="W49" s="14" t="str">
        <x:v>CHEMBL3894257</x:v>
      </x:c>
      <x:c r="X49" s="15" t="n">
        <x:v>5.91</x:v>
      </x:c>
      <x:c r="Y49" s="17" t="n">
        <x:v>0</x:v>
      </x:c>
      <x:c r="Z49" s="14" t="str">
        <x:v>http://www.openphacts.org/units/Nanomolar</x:v>
      </x:c>
      <x:c r="AA49" s="14" t="str">
        <x:v>2796820</x:v>
      </x:c>
      <x:c r="AB49" s="14" t="str">
        <x:v>=</x:v>
      </x:c>
      <x:c r="AC49" s="14" t="str">
        <x:v>1</x:v>
      </x:c>
      <x:c r="AD49" s="17" t="n">
        <x:v>1</x:v>
      </x:c>
      <x:c r="AE49" s="14" t="str">
        <x:v>=</x:v>
      </x:c>
      <x:c r="AF49" s="14" t="str">
        <x:v>null</x:v>
      </x:c>
      <x:c r="AG49" s="14" t="str">
        <x:v>Ki</x:v>
      </x:c>
      <x:c r="AH49" s="14" t="str">
        <x:v>nM</x:v>
      </x:c>
      <x:c r="AI49" s="14" t="str">
        <x:v>null</x:v>
      </x:c>
      <x:c r="AJ49" s="15" t="n">
        <x:v>1230.27</x:v>
      </x:c>
      <x:c r="AK49" s="14" t="str">
        <x:v>CHEMBL217</x:v>
      </x:c>
      <x:c r="AL49" s="14" t="str">
        <x:v>Homo sapiens</x:v>
      </x:c>
      <x:c r="AM49" s="14" t="str">
        <x:v>D(2) dopamine receptor</x:v>
      </x:c>
      <x:c r="AN49" s="14" t="str">
        <x:v>9606</x:v>
      </x:c>
      <x:c r="AO49" s="14" t="str">
        <x:v>null</x:v>
      </x:c>
      <x:c r="AP49" s="14" t="str">
        <x:v>null</x:v>
      </x:c>
      <x:c r="AQ49" s="14" t="str">
        <x:v>pKi</x:v>
      </x:c>
      <x:c r="AR49" s="14" t="str">
        <x:v>null</x:v>
      </x:c>
      <x:c r="AS49" s="14" t="str">
        <x:v>UO_0000065</x:v>
      </x:c>
      <x:c r="AT49" s="14" t="str">
        <x:v>null</x:v>
      </x:c>
      <x:c r="AU49" s="14" t="str">
        <x:v>5.91</x:v>
      </x:c>
      <x:c r="AV49" s="15" t="n">
        <x:v>0.00501</x:v>
      </x:c>
      <x:c r="AW49" s="14" t="str">
        <x:v>include</x:v>
      </x:c>
      <x:c r="AX49" s="14" t="str"/>
      <x:c r="AY49" s="15" t="n">
        <x:v>1230.268770812381</x:v>
      </x:c>
      <x:c r="AZ49" s="14" t="str">
        <x:v>source_reported_pKi</x:v>
      </x:c>
      <x:c r="BA49" s="15" t="n">
        <x:v>5.91</x:v>
      </x:c>
      <x:c r="BB49" s="14" t="str">
        <x:v>aa93f130e59cdde1eb0297d2ae3c90ed4403c6728ea01dda8ebf759b0dbc77c9</x:v>
      </x:c>
      <x:c r="BC49" s="14" t="str">
        <x:v>NFIANDWIUXYLJZ-AVRDEDQJSA-N</x:v>
      </x:c>
      <x:c r="BD49" s="14" t="str">
        <x:v>Cc1ncsc1-c1nnc(SCCCN2CC[C@]3(C[C@H]3c3ccc(C(F)(F)F)cc3)C2)n1C</x:v>
      </x:c>
      <x:c r="BE49" s="14" t="str">
        <x:v>Cc1ncsc1-c1nnc(SCCCN2CCC3(CC3c3ccc(C(F)(F)F)cc3)C2)n1C</x:v>
      </x:c>
      <x:c r="BF49" s="14" t="str">
        <x:v>Cc1ncsc1-c1nnc(SCCCN2CC[C@]3(C[C@H]3c3ccc(C(F)(F)F)cc3)C2)n1C</x:v>
      </x:c>
      <x:c r="BG49" s="16" t="n">
        <x:v>-4.3391260984293467e-7</x:v>
      </x:c>
      <x:c r="BH49" s="15" t="n">
        <x:v>5.90999956608739</x:v>
      </x:c>
      <x:c r="BI49" s="14" t="str">
        <x:v>c1ccc(C2CC23CCN(CCCSc2nnc(-c4cncs4)[nH]2)C3)cc1</x:v>
      </x:c>
      <x:c r="BJ49" s="17" t="n">
        <x:v>1</x:v>
      </x:c>
      <x:c r="BK49" s="15" t="n">
        <x:v>1230.27</x:v>
      </x:c>
      <x:c r="BL49" s="16" t="n">
        <x:v>0.0012291876189465256</x:v>
      </x:c>
      <x:c r="BM49" s="14" t="str">
        <x:v>false</x:v>
      </x:c>
    </x:row>
    <x:row r="50" ht="51" customHeight="1">
      <x:c r="A50" s="9" t="str">
        <x:v>null</x:v>
      </x:c>
      <x:c r="B50" s="9" t="str">
        <x:v>null</x:v>
      </x:c>
      <x:c r="C50" s="9" t="str">
        <x:v>16670257</x:v>
      </x:c>
      <x:c r="D50" s="9" t="str">
        <x:v>[]</x:v>
      </x:c>
      <x:c r="E50" s="9" t="str">
        <x:v>CHEMBL3855278</x:v>
      </x:c>
      <x:c r="F50" s="9" t="str">
        <x:v>Displacement of [3H]-spiperone from human dopamine D2 receptor expressed in CHO-K1 cell membranes coexpressing Galpha16 after 120 mins by liquid scintillation counting</x:v>
      </x:c>
      <x:c r="G50" s="9" t="str">
        <x:v>B</x:v>
      </x:c>
      <x:c r="H50" s="9" t="str">
        <x:v>null</x:v>
      </x:c>
      <x:c r="I50" s="9" t="str">
        <x:v>null</x:v>
      </x:c>
      <x:c r="J50" s="9" t="str">
        <x:v>BAO_0000192</x:v>
      </x:c>
      <x:c r="K50" s="9" t="str">
        <x:v>BAO_0000219</x:v>
      </x:c>
      <x:c r="L50" s="9" t="str">
        <x:v>cell-based format</x:v>
      </x:c>
      <x:c r="M50" s="9" t="str">
        <x:v>Cc1ncsc1-c1nnc(SCCCN2CC[C@]3(C[C@@H]3c3ccc(C(F)(F)F)cc3)C2)n1C</x:v>
      </x:c>
      <x:c r="N50" s="9" t="str">
        <x:v>null</x:v>
      </x:c>
      <x:c r="O50" s="9" t="str">
        <x:v>null</x:v>
      </x:c>
      <x:c r="P50" s="9" t="str">
        <x:v>CHEMBL3853329</x:v>
      </x:c>
      <x:c r="Q50" s="9" t="str">
        <x:v>J Med Chem</x:v>
      </x:c>
      <x:c r="R50" s="13" t="n">
        <x:v>2016</x:v>
      </x:c>
      <x:c r="S50" s="9" t="str">
        <x:v>{"bei":"11.73","le":"0.24","lle":"0.16","sei":"12.36"}</x:v>
      </x:c>
      <x:c r="T50" s="9" t="str">
        <x:v>null</x:v>
      </x:c>
      <x:c r="U50" s="9" t="str">
        <x:v>CHEMBL3923578</x:v>
      </x:c>
      <x:c r="V50" s="9" t="str">
        <x:v>null</x:v>
      </x:c>
      <x:c r="W50" s="9" t="str">
        <x:v>CHEMBL3923578</x:v>
      </x:c>
      <x:c r="X50" s="11" t="n">
        <x:v>5.79</x:v>
      </x:c>
      <x:c r="Y50" s="13" t="n">
        <x:v>0</x:v>
      </x:c>
      <x:c r="Z50" s="9" t="str">
        <x:v>http://www.openphacts.org/units/Nanomolar</x:v>
      </x:c>
      <x:c r="AA50" s="9" t="str">
        <x:v>2796821</x:v>
      </x:c>
      <x:c r="AB50" s="9" t="str">
        <x:v>=</x:v>
      </x:c>
      <x:c r="AC50" s="9" t="str">
        <x:v>1</x:v>
      </x:c>
      <x:c r="AD50" s="13" t="n">
        <x:v>1</x:v>
      </x:c>
      <x:c r="AE50" s="9" t="str">
        <x:v>=</x:v>
      </x:c>
      <x:c r="AF50" s="9" t="str">
        <x:v>null</x:v>
      </x:c>
      <x:c r="AG50" s="9" t="str">
        <x:v>Ki</x:v>
      </x:c>
      <x:c r="AH50" s="9" t="str">
        <x:v>nM</x:v>
      </x:c>
      <x:c r="AI50" s="9" t="str">
        <x:v>null</x:v>
      </x:c>
      <x:c r="AJ50" s="11" t="n">
        <x:v>1621.81</x:v>
      </x:c>
      <x:c r="AK50" s="9" t="str">
        <x:v>CHEMBL217</x:v>
      </x:c>
      <x:c r="AL50" s="9" t="str">
        <x:v>Homo sapiens</x:v>
      </x:c>
      <x:c r="AM50" s="9" t="str">
        <x:v>D(2) dopamine receptor</x:v>
      </x:c>
      <x:c r="AN50" s="9" t="str">
        <x:v>9606</x:v>
      </x:c>
      <x:c r="AO50" s="9" t="str">
        <x:v>null</x:v>
      </x:c>
      <x:c r="AP50" s="9" t="str">
        <x:v>null</x:v>
      </x:c>
      <x:c r="AQ50" s="9" t="str">
        <x:v>pKi</x:v>
      </x:c>
      <x:c r="AR50" s="9" t="str">
        <x:v>null</x:v>
      </x:c>
      <x:c r="AS50" s="9" t="str">
        <x:v>UO_0000065</x:v>
      </x:c>
      <x:c r="AT50" s="9" t="str">
        <x:v>null</x:v>
      </x:c>
      <x:c r="AU50" s="9" t="str">
        <x:v>5.79</x:v>
      </x:c>
      <x:c r="AV50" s="11" t="n">
        <x:v>0.00501</x:v>
      </x:c>
      <x:c r="AW50" s="9" t="str">
        <x:v>include</x:v>
      </x:c>
      <x:c r="AX50" s="9" t="str"/>
      <x:c r="AY50" s="11" t="n">
        <x:v>1621.8100973589299</x:v>
      </x:c>
      <x:c r="AZ50" s="9" t="str">
        <x:v>source_reported_pKi</x:v>
      </x:c>
      <x:c r="BA50" s="11" t="n">
        <x:v>5.79</x:v>
      </x:c>
      <x:c r="BB50" s="9" t="str">
        <x:v>aa93f130e59cdde1eb0297d2ae3c90ed4403c6728ea01dda8ebf759b0dbc77c9</x:v>
      </x:c>
      <x:c r="BC50" s="9" t="str">
        <x:v>NFIANDWIUXYLJZ-GCJKJVERSA-N</x:v>
      </x:c>
      <x:c r="BD50" s="9" t="str">
        <x:v>Cc1ncsc1-c1nnc(SCCCN2CC[C@]3(C[C@@H]3c3ccc(C(F)(F)F)cc3)C2)n1C</x:v>
      </x:c>
      <x:c r="BE50" s="9" t="str">
        <x:v>Cc1ncsc1-c1nnc(SCCCN2CCC3(CC3c3ccc(C(F)(F)F)cc3)C2)n1C</x:v>
      </x:c>
      <x:c r="BF50" s="9" t="str">
        <x:v>Cc1ncsc1-c1nnc(SCCCN2CC[C@]3(C[C@@H]3c3ccc(C(F)(F)F)cc3)C2)n1C</x:v>
      </x:c>
      <x:c r="BG50" s="12" t="n">
        <x:v>2.6071146130846046e-8</x:v>
      </x:c>
      <x:c r="BH50" s="11" t="n">
        <x:v>5.790000026071146</x:v>
      </x:c>
      <x:c r="BI50" s="9" t="str">
        <x:v>c1ccc(C2CC23CCN(CCCSc2nnc(-c4cncs4)[nH]2)C3)cc1</x:v>
      </x:c>
      <x:c r="BJ50" s="13" t="n">
        <x:v>1</x:v>
      </x:c>
      <x:c r="BK50" s="11" t="n">
        <x:v>1621.81</x:v>
      </x:c>
      <x:c r="BL50" s="12" t="n">
        <x:v>-0.00009735892990647699</x:v>
      </x:c>
      <x:c r="BM50" s="9" t="str">
        <x:v>false</x:v>
      </x:c>
    </x:row>
    <x:row r="51" ht="51" customHeight="1">
      <x:c r="A51" s="14" t="str">
        <x:v>null</x:v>
      </x:c>
      <x:c r="B51" s="14" t="str">
        <x:v>null</x:v>
      </x:c>
      <x:c r="C51" s="14" t="str">
        <x:v>16670258</x:v>
      </x:c>
      <x:c r="D51" s="14" t="str">
        <x:v>[]</x:v>
      </x:c>
      <x:c r="E51" s="14" t="str">
        <x:v>CHEMBL3855278</x:v>
      </x:c>
      <x:c r="F51" s="14" t="str">
        <x:v>Displacement of [3H]-spiperone from human dopamine D2 receptor expressed in CHO-K1 cell membranes coexpressing Galpha16 after 120 mins by liquid scintillation counting</x:v>
      </x:c>
      <x:c r="G51" s="14" t="str">
        <x:v>B</x:v>
      </x:c>
      <x:c r="H51" s="14" t="str">
        <x:v>null</x:v>
      </x:c>
      <x:c r="I51" s="14" t="str">
        <x:v>null</x:v>
      </x:c>
      <x:c r="J51" s="14" t="str">
        <x:v>BAO_0000192</x:v>
      </x:c>
      <x:c r="K51" s="14" t="str">
        <x:v>BAO_0000219</x:v>
      </x:c>
      <x:c r="L51" s="14" t="str">
        <x:v>cell-based format</x:v>
      </x:c>
      <x:c r="M51" s="14" t="str">
        <x:v>Cn1c(SCCCN2CC[C@]3(C[C@H]3c3ccc(C(F)(F)F)cc3)C2)nnc1-c1nccs1</x:v>
      </x:c>
      <x:c r="N51" s="14" t="str">
        <x:v>null</x:v>
      </x:c>
      <x:c r="O51" s="14" t="str">
        <x:v>null</x:v>
      </x:c>
      <x:c r="P51" s="14" t="str">
        <x:v>CHEMBL3853329</x:v>
      </x:c>
      <x:c r="Q51" s="14" t="str">
        <x:v>J Med Chem</x:v>
      </x:c>
      <x:c r="R51" s="17" t="n">
        <x:v>2016</x:v>
      </x:c>
      <x:c r="S51" s="14" t="str">
        <x:v>{"bei":"13.20","le":"0.27","lle":"1.01","sei":"13.51"}</x:v>
      </x:c>
      <x:c r="T51" s="14" t="str">
        <x:v>null</x:v>
      </x:c>
      <x:c r="U51" s="14" t="str">
        <x:v>CHEMBL3895585</x:v>
      </x:c>
      <x:c r="V51" s="14" t="str">
        <x:v>null</x:v>
      </x:c>
      <x:c r="W51" s="14" t="str">
        <x:v>CHEMBL3895585</x:v>
      </x:c>
      <x:c r="X51" s="15" t="n">
        <x:v>6.33</x:v>
      </x:c>
      <x:c r="Y51" s="17" t="n">
        <x:v>0</x:v>
      </x:c>
      <x:c r="Z51" s="14" t="str">
        <x:v>http://www.openphacts.org/units/Nanomolar</x:v>
      </x:c>
      <x:c r="AA51" s="14" t="str">
        <x:v>2796822</x:v>
      </x:c>
      <x:c r="AB51" s="14" t="str">
        <x:v>=</x:v>
      </x:c>
      <x:c r="AC51" s="14" t="str">
        <x:v>1</x:v>
      </x:c>
      <x:c r="AD51" s="17" t="n">
        <x:v>1</x:v>
      </x:c>
      <x:c r="AE51" s="14" t="str">
        <x:v>=</x:v>
      </x:c>
      <x:c r="AF51" s="14" t="str">
        <x:v>null</x:v>
      </x:c>
      <x:c r="AG51" s="14" t="str">
        <x:v>Ki</x:v>
      </x:c>
      <x:c r="AH51" s="14" t="str">
        <x:v>nM</x:v>
      </x:c>
      <x:c r="AI51" s="14" t="str">
        <x:v>null</x:v>
      </x:c>
      <x:c r="AJ51" s="15" t="n">
        <x:v>467.74</x:v>
      </x:c>
      <x:c r="AK51" s="14" t="str">
        <x:v>CHEMBL217</x:v>
      </x:c>
      <x:c r="AL51" s="14" t="str">
        <x:v>Homo sapiens</x:v>
      </x:c>
      <x:c r="AM51" s="14" t="str">
        <x:v>D(2) dopamine receptor</x:v>
      </x:c>
      <x:c r="AN51" s="14" t="str">
        <x:v>9606</x:v>
      </x:c>
      <x:c r="AO51" s="14" t="str">
        <x:v>null</x:v>
      </x:c>
      <x:c r="AP51" s="14" t="str">
        <x:v>null</x:v>
      </x:c>
      <x:c r="AQ51" s="14" t="str">
        <x:v>pKi</x:v>
      </x:c>
      <x:c r="AR51" s="14" t="str">
        <x:v>null</x:v>
      </x:c>
      <x:c r="AS51" s="14" t="str">
        <x:v>UO_0000065</x:v>
      </x:c>
      <x:c r="AT51" s="14" t="str">
        <x:v>null</x:v>
      </x:c>
      <x:c r="AU51" s="14" t="str">
        <x:v>6.33</x:v>
      </x:c>
      <x:c r="AV51" s="15" t="n">
        <x:v>0.00501</x:v>
      </x:c>
      <x:c r="AW51" s="14" t="str">
        <x:v>include</x:v>
      </x:c>
      <x:c r="AX51" s="14" t="str"/>
      <x:c r="AY51" s="15" t="n">
        <x:v>467.73514128719813</x:v>
      </x:c>
      <x:c r="AZ51" s="14" t="str">
        <x:v>source_reported_pKi</x:v>
      </x:c>
      <x:c r="BA51" s="15" t="n">
        <x:v>6.33</x:v>
      </x:c>
      <x:c r="BB51" s="14" t="str">
        <x:v>da8edb5b33e4d90c3f6aec243a3bff1fcafe26434a7eb4fe62fa45b4c05f0700</x:v>
      </x:c>
      <x:c r="BC51" s="14" t="str">
        <x:v>YMMKVLDFUKHZTJ-UWJYYQICSA-N</x:v>
      </x:c>
      <x:c r="BD51" s="14" t="str">
        <x:v>Cn1c(SCCCN2CC[C@]3(C[C@H]3c3ccc(C(F)(F)F)cc3)C2)nnc1-c1nccs1</x:v>
      </x:c>
      <x:c r="BE51" s="14" t="str">
        <x:v>Cn1c(SCCCN2CCC3(CC3c3ccc(C(F)(F)F)cc3)C2)nnc1-c1nccs1</x:v>
      </x:c>
      <x:c r="BF51" s="14" t="str">
        <x:v>Cn1c(SCCCN2CC[C@]3(C[C@H]3c3ccc(C(F)(F)F)cc3)C2)nnc1-c1nccs1</x:v>
      </x:c>
      <x:c r="BG51" s="16" t="n">
        <x:v>-0.0000045113163693599745</x:v>
      </x:c>
      <x:c r="BH51" s="15" t="n">
        <x:v>6.329995488683631</x:v>
      </x:c>
      <x:c r="BI51" s="14" t="str">
        <x:v>c1ccc(C2CC23CCN(CCCSc2nnc(-c4nccs4)[nH]2)C3)cc1</x:v>
      </x:c>
      <x:c r="BJ51" s="17" t="n">
        <x:v>1</x:v>
      </x:c>
      <x:c r="BK51" s="15" t="n">
        <x:v>467.74</x:v>
      </x:c>
      <x:c r="BL51" s="16" t="n">
        <x:v>0.0048587128018766634</x:v>
      </x:c>
      <x:c r="BM51" s="14" t="str">
        <x:v>false</x:v>
      </x:c>
    </x:row>
    <x:row r="52" ht="51" customHeight="1">
      <x:c r="A52" s="9" t="str">
        <x:v>null</x:v>
      </x:c>
      <x:c r="B52" s="9" t="str">
        <x:v>null</x:v>
      </x:c>
      <x:c r="C52" s="9" t="str">
        <x:v>16670259</x:v>
      </x:c>
      <x:c r="D52" s="9" t="str">
        <x:v>[]</x:v>
      </x:c>
      <x:c r="E52" s="9" t="str">
        <x:v>CHEMBL3855278</x:v>
      </x:c>
      <x:c r="F52" s="9" t="str">
        <x:v>Displacement of [3H]-spiperone from human dopamine D2 receptor expressed in CHO-K1 cell membranes coexpressing Galpha16 after 120 mins by liquid scintillation counting</x:v>
      </x:c>
      <x:c r="G52" s="9" t="str">
        <x:v>B</x:v>
      </x:c>
      <x:c r="H52" s="9" t="str">
        <x:v>null</x:v>
      </x:c>
      <x:c r="I52" s="9" t="str">
        <x:v>null</x:v>
      </x:c>
      <x:c r="J52" s="9" t="str">
        <x:v>BAO_0000192</x:v>
      </x:c>
      <x:c r="K52" s="9" t="str">
        <x:v>BAO_0000219</x:v>
      </x:c>
      <x:c r="L52" s="9" t="str">
        <x:v>cell-based format</x:v>
      </x:c>
      <x:c r="M52" s="9" t="str">
        <x:v>Cn1c(SCCCN2CC[C@]3(C[C@@H]3c3ccc(C(F)(F)F)cc3)C2)nnc1-c1nccs1</x:v>
      </x:c>
      <x:c r="N52" s="9" t="str">
        <x:v>null</x:v>
      </x:c>
      <x:c r="O52" s="9" t="str">
        <x:v>null</x:v>
      </x:c>
      <x:c r="P52" s="9" t="str">
        <x:v>CHEMBL3853329</x:v>
      </x:c>
      <x:c r="Q52" s="9" t="str">
        <x:v>J Med Chem</x:v>
      </x:c>
      <x:c r="R52" s="13" t="n">
        <x:v>2016</x:v>
      </x:c>
      <x:c r="S52" s="9" t="str">
        <x:v>{"bei":"13.28","le":"0.27","lle":"1.05","sei":"13.60"}</x:v>
      </x:c>
      <x:c r="T52" s="9" t="str">
        <x:v>null</x:v>
      </x:c>
      <x:c r="U52" s="9" t="str">
        <x:v>CHEMBL3914556</x:v>
      </x:c>
      <x:c r="V52" s="9" t="str">
        <x:v>null</x:v>
      </x:c>
      <x:c r="W52" s="9" t="str">
        <x:v>CHEMBL3914556</x:v>
      </x:c>
      <x:c r="X52" s="11" t="n">
        <x:v>6.37</x:v>
      </x:c>
      <x:c r="Y52" s="13" t="n">
        <x:v>0</x:v>
      </x:c>
      <x:c r="Z52" s="9" t="str">
        <x:v>http://www.openphacts.org/units/Nanomolar</x:v>
      </x:c>
      <x:c r="AA52" s="9" t="str">
        <x:v>2796823</x:v>
      </x:c>
      <x:c r="AB52" s="9" t="str">
        <x:v>=</x:v>
      </x:c>
      <x:c r="AC52" s="9" t="str">
        <x:v>1</x:v>
      </x:c>
      <x:c r="AD52" s="13" t="n">
        <x:v>1</x:v>
      </x:c>
      <x:c r="AE52" s="9" t="str">
        <x:v>=</x:v>
      </x:c>
      <x:c r="AF52" s="9" t="str">
        <x:v>null</x:v>
      </x:c>
      <x:c r="AG52" s="9" t="str">
        <x:v>Ki</x:v>
      </x:c>
      <x:c r="AH52" s="9" t="str">
        <x:v>nM</x:v>
      </x:c>
      <x:c r="AI52" s="9" t="str">
        <x:v>null</x:v>
      </x:c>
      <x:c r="AJ52" s="11" t="n">
        <x:v>426.58</x:v>
      </x:c>
      <x:c r="AK52" s="9" t="str">
        <x:v>CHEMBL217</x:v>
      </x:c>
      <x:c r="AL52" s="9" t="str">
        <x:v>Homo sapiens</x:v>
      </x:c>
      <x:c r="AM52" s="9" t="str">
        <x:v>D(2) dopamine receptor</x:v>
      </x:c>
      <x:c r="AN52" s="9" t="str">
        <x:v>9606</x:v>
      </x:c>
      <x:c r="AO52" s="9" t="str">
        <x:v>null</x:v>
      </x:c>
      <x:c r="AP52" s="9" t="str">
        <x:v>null</x:v>
      </x:c>
      <x:c r="AQ52" s="9" t="str">
        <x:v>pKi</x:v>
      </x:c>
      <x:c r="AR52" s="9" t="str">
        <x:v>null</x:v>
      </x:c>
      <x:c r="AS52" s="9" t="str">
        <x:v>UO_0000065</x:v>
      </x:c>
      <x:c r="AT52" s="9" t="str">
        <x:v>null</x:v>
      </x:c>
      <x:c r="AU52" s="9" t="str">
        <x:v>6.37</x:v>
      </x:c>
      <x:c r="AV52" s="11" t="n">
        <x:v>0.00501</x:v>
      </x:c>
      <x:c r="AW52" s="9" t="str">
        <x:v>include</x:v>
      </x:c>
      <x:c r="AX52" s="9" t="str"/>
      <x:c r="AY52" s="11" t="n">
        <x:v>426.57951880159254</x:v>
      </x:c>
      <x:c r="AZ52" s="9" t="str">
        <x:v>source_reported_pKi</x:v>
      </x:c>
      <x:c r="BA52" s="11" t="n">
        <x:v>6.37</x:v>
      </x:c>
      <x:c r="BB52" s="9" t="str">
        <x:v>da8edb5b33e4d90c3f6aec243a3bff1fcafe26434a7eb4fe62fa45b4c05f0700</x:v>
      </x:c>
      <x:c r="BC52" s="9" t="str">
        <x:v>YMMKVLDFUKHZTJ-UTKZUKDTSA-N</x:v>
      </x:c>
      <x:c r="BD52" s="9" t="str">
        <x:v>Cn1c(SCCCN2CC[C@]3(C[C@@H]3c3ccc(C(F)(F)F)cc3)C2)nnc1-c1nccs1</x:v>
      </x:c>
      <x:c r="BE52" s="9" t="str">
        <x:v>Cn1c(SCCCN2CCC3(CC3c3ccc(C(F)(F)F)cc3)C2)nnc1-c1nccs1</x:v>
      </x:c>
      <x:c r="BF52" s="9" t="str">
        <x:v>Cn1c(SCCCN2CC[C@]3(C[C@@H]3c3ccc(C(F)(F)F)cc3)C2)nnc1-c1nccs1</x:v>
      </x:c>
      <x:c r="BG52" s="12" t="n">
        <x:v>-4.899009118375375e-7</x:v>
      </x:c>
      <x:c r="BH52" s="11" t="n">
        <x:v>6.369999510099088</x:v>
      </x:c>
      <x:c r="BI52" s="9" t="str">
        <x:v>c1ccc(C2CC23CCN(CCCSc2nnc(-c4nccs4)[nH]2)C3)cc1</x:v>
      </x:c>
      <x:c r="BJ52" s="13" t="n">
        <x:v>1</x:v>
      </x:c>
      <x:c r="BK52" s="11" t="n">
        <x:v>426.58</x:v>
      </x:c>
      <x:c r="BL52" s="12" t="n">
        <x:v>0.0004811984074422071</x:v>
      </x:c>
      <x:c r="BM52" s="9" t="str">
        <x:v>false</x:v>
      </x:c>
    </x:row>
    <x:row r="53" ht="51" customHeight="1">
      <x:c r="A53" s="14" t="str">
        <x:v>null</x:v>
      </x:c>
      <x:c r="B53" s="14" t="str">
        <x:v>null</x:v>
      </x:c>
      <x:c r="C53" s="14" t="str">
        <x:v>16670260</x:v>
      </x:c>
      <x:c r="D53" s="14" t="str">
        <x:v>[]</x:v>
      </x:c>
      <x:c r="E53" s="14" t="str">
        <x:v>CHEMBL3855278</x:v>
      </x:c>
      <x:c r="F53" s="14" t="str">
        <x:v>Displacement of [3H]-spiperone from human dopamine D2 receptor expressed in CHO-K1 cell membranes coexpressing Galpha16 after 120 mins by liquid scintillation counting</x:v>
      </x:c>
      <x:c r="G53" s="14" t="str">
        <x:v>B</x:v>
      </x:c>
      <x:c r="H53" s="14" t="str">
        <x:v>null</x:v>
      </x:c>
      <x:c r="I53" s="14" t="str">
        <x:v>null</x:v>
      </x:c>
      <x:c r="J53" s="14" t="str">
        <x:v>BAO_0000192</x:v>
      </x:c>
      <x:c r="K53" s="14" t="str">
        <x:v>BAO_0000219</x:v>
      </x:c>
      <x:c r="L53" s="14" t="str">
        <x:v>cell-based format</x:v>
      </x:c>
      <x:c r="M53" s="14" t="str">
        <x:v>Cn1c(SCCCN2CC[C@]3(C[C@H]3c3ccc(C(F)(F)F)cc3)C2)nnc1-c1csnn1</x:v>
      </x:c>
      <x:c r="N53" s="14" t="str">
        <x:v>null</x:v>
      </x:c>
      <x:c r="O53" s="14" t="str">
        <x:v>null</x:v>
      </x:c>
      <x:c r="P53" s="14" t="str">
        <x:v>CHEMBL3853329</x:v>
      </x:c>
      <x:c r="Q53" s="14" t="str">
        <x:v>J Med Chem</x:v>
      </x:c>
      <x:c r="R53" s="17" t="n">
        <x:v>2016</x:v>
      </x:c>
      <x:c r="S53" s="14" t="str">
        <x:v>{"bei":"14.42","le":"0.30","lle":"2.22","sei":"11.60"}</x:v>
      </x:c>
      <x:c r="T53" s="14" t="str">
        <x:v>null</x:v>
      </x:c>
      <x:c r="U53" s="14" t="str">
        <x:v>CHEMBL3984387</x:v>
      </x:c>
      <x:c r="V53" s="14" t="str">
        <x:v>null</x:v>
      </x:c>
      <x:c r="W53" s="14" t="str">
        <x:v>CHEMBL3984387</x:v>
      </x:c>
      <x:c r="X53" s="15" t="n">
        <x:v>6.93</x:v>
      </x:c>
      <x:c r="Y53" s="17" t="n">
        <x:v>0</x:v>
      </x:c>
      <x:c r="Z53" s="14" t="str">
        <x:v>http://www.openphacts.org/units/Nanomolar</x:v>
      </x:c>
      <x:c r="AA53" s="14" t="str">
        <x:v>2796824</x:v>
      </x:c>
      <x:c r="AB53" s="14" t="str">
        <x:v>=</x:v>
      </x:c>
      <x:c r="AC53" s="14" t="str">
        <x:v>1</x:v>
      </x:c>
      <x:c r="AD53" s="17" t="n">
        <x:v>1</x:v>
      </x:c>
      <x:c r="AE53" s="14" t="str">
        <x:v>=</x:v>
      </x:c>
      <x:c r="AF53" s="14" t="str">
        <x:v>null</x:v>
      </x:c>
      <x:c r="AG53" s="14" t="str">
        <x:v>Ki</x:v>
      </x:c>
      <x:c r="AH53" s="14" t="str">
        <x:v>nM</x:v>
      </x:c>
      <x:c r="AI53" s="14" t="str">
        <x:v>null</x:v>
      </x:c>
      <x:c r="AJ53" s="15" t="n">
        <x:v>117.49</x:v>
      </x:c>
      <x:c r="AK53" s="14" t="str">
        <x:v>CHEMBL217</x:v>
      </x:c>
      <x:c r="AL53" s="14" t="str">
        <x:v>Homo sapiens</x:v>
      </x:c>
      <x:c r="AM53" s="14" t="str">
        <x:v>D(2) dopamine receptor</x:v>
      </x:c>
      <x:c r="AN53" s="14" t="str">
        <x:v>9606</x:v>
      </x:c>
      <x:c r="AO53" s="14" t="str">
        <x:v>null</x:v>
      </x:c>
      <x:c r="AP53" s="14" t="str">
        <x:v>null</x:v>
      </x:c>
      <x:c r="AQ53" s="14" t="str">
        <x:v>pKi</x:v>
      </x:c>
      <x:c r="AR53" s="14" t="str">
        <x:v>null</x:v>
      </x:c>
      <x:c r="AS53" s="14" t="str">
        <x:v>UO_0000065</x:v>
      </x:c>
      <x:c r="AT53" s="14" t="str">
        <x:v>null</x:v>
      </x:c>
      <x:c r="AU53" s="14" t="str">
        <x:v>6.93</x:v>
      </x:c>
      <x:c r="AV53" s="15" t="n">
        <x:v>0.00501</x:v>
      </x:c>
      <x:c r="AW53" s="14" t="str">
        <x:v>include</x:v>
      </x:c>
      <x:c r="AX53" s="14" t="str"/>
      <x:c r="AY53" s="15" t="n">
        <x:v>117.48975549395303</x:v>
      </x:c>
      <x:c r="AZ53" s="14" t="str">
        <x:v>source_reported_pKi</x:v>
      </x:c>
      <x:c r="BA53" s="15" t="n">
        <x:v>6.93</x:v>
      </x:c>
      <x:c r="BB53" s="14" t="str">
        <x:v>da9d442a1c5a36ff02ea697bd698ae7d2efd2ce5f010ac4715e4baf981cb464b</x:v>
      </x:c>
      <x:c r="BC53" s="14" t="str">
        <x:v>KDMBMLINAPXLCW-JXFKEZNVSA-N</x:v>
      </x:c>
      <x:c r="BD53" s="14" t="str">
        <x:v>Cn1c(SCCCN2CC[C@]3(C[C@H]3c3ccc(C(F)(F)F)cc3)C2)nnc1-c1csnn1</x:v>
      </x:c>
      <x:c r="BE53" s="14" t="str">
        <x:v>Cn1c(SCCCN2CCC3(CC3c3ccc(C(F)(F)F)cc3)C2)nnc1-c1csnn1</x:v>
      </x:c>
      <x:c r="BF53" s="14" t="str">
        <x:v>Cn1c(SCCCN2CC[C@]3(C[C@H]3c3ccc(C(F)(F)F)cc3)C2)nnc1-c1csnn1</x:v>
      </x:c>
      <x:c r="BG53" s="16" t="n">
        <x:v>-9.038023449647881e-7</x:v>
      </x:c>
      <x:c r="BH53" s="15" t="n">
        <x:v>6.929999096197655</x:v>
      </x:c>
      <x:c r="BI53" s="14" t="str">
        <x:v>c1ccc(C2CC23CCN(CCCSc2nnc(-c4csnn4)[nH]2)C3)cc1</x:v>
      </x:c>
      <x:c r="BJ53" s="17" t="n">
        <x:v>1</x:v>
      </x:c>
      <x:c r="BK53" s="15" t="n">
        <x:v>117.49</x:v>
      </x:c>
      <x:c r="BL53" s="16" t="n">
        <x:v>0.0002445060469682403</x:v>
      </x:c>
      <x:c r="BM53" s="14" t="str">
        <x:v>false</x:v>
      </x:c>
    </x:row>
    <x:row r="54" ht="51" customHeight="1">
      <x:c r="A54" s="9" t="str">
        <x:v>null</x:v>
      </x:c>
      <x:c r="B54" s="9" t="str">
        <x:v>null</x:v>
      </x:c>
      <x:c r="C54" s="9" t="str">
        <x:v>16670261</x:v>
      </x:c>
      <x:c r="D54" s="9" t="str">
        <x:v>[]</x:v>
      </x:c>
      <x:c r="E54" s="9" t="str">
        <x:v>CHEMBL3855278</x:v>
      </x:c>
      <x:c r="F54" s="9" t="str">
        <x:v>Displacement of [3H]-spiperone from human dopamine D2 receptor expressed in CHO-K1 cell membranes coexpressing Galpha16 after 120 mins by liquid scintillation counting</x:v>
      </x:c>
      <x:c r="G54" s="9" t="str">
        <x:v>B</x:v>
      </x:c>
      <x:c r="H54" s="9" t="str">
        <x:v>null</x:v>
      </x:c>
      <x:c r="I54" s="9" t="str">
        <x:v>null</x:v>
      </x:c>
      <x:c r="J54" s="9" t="str">
        <x:v>BAO_0000192</x:v>
      </x:c>
      <x:c r="K54" s="9" t="str">
        <x:v>BAO_0000219</x:v>
      </x:c>
      <x:c r="L54" s="9" t="str">
        <x:v>cell-based format</x:v>
      </x:c>
      <x:c r="M54" s="9" t="str">
        <x:v>Cn1c(SCCCN2CC[C@]3(C[C@@H]3c3ccc(C(F)(F)F)cc3)C2)nnc1-c1csnn1</x:v>
      </x:c>
      <x:c r="N54" s="9" t="str">
        <x:v>null</x:v>
      </x:c>
      <x:c r="O54" s="9" t="str">
        <x:v>null</x:v>
      </x:c>
      <x:c r="P54" s="9" t="str">
        <x:v>CHEMBL3853329</x:v>
      </x:c>
      <x:c r="Q54" s="9" t="str">
        <x:v>J Med Chem</x:v>
      </x:c>
      <x:c r="R54" s="13" t="n">
        <x:v>2016</x:v>
      </x:c>
      <x:c r="S54" s="9" t="str">
        <x:v>{"bei":"14.34","le":"0.29","lle":"2.18","sei":"11.54"}</x:v>
      </x:c>
      <x:c r="T54" s="9" t="str">
        <x:v>null</x:v>
      </x:c>
      <x:c r="U54" s="9" t="str">
        <x:v>CHEMBL3905582</x:v>
      </x:c>
      <x:c r="V54" s="9" t="str">
        <x:v>null</x:v>
      </x:c>
      <x:c r="W54" s="9" t="str">
        <x:v>CHEMBL3905582</x:v>
      </x:c>
      <x:c r="X54" s="11" t="n">
        <x:v>6.89</x:v>
      </x:c>
      <x:c r="Y54" s="13" t="n">
        <x:v>0</x:v>
      </x:c>
      <x:c r="Z54" s="9" t="str">
        <x:v>http://www.openphacts.org/units/Nanomolar</x:v>
      </x:c>
      <x:c r="AA54" s="9" t="str">
        <x:v>2796825</x:v>
      </x:c>
      <x:c r="AB54" s="9" t="str">
        <x:v>=</x:v>
      </x:c>
      <x:c r="AC54" s="9" t="str">
        <x:v>1</x:v>
      </x:c>
      <x:c r="AD54" s="13" t="n">
        <x:v>1</x:v>
      </x:c>
      <x:c r="AE54" s="9" t="str">
        <x:v>=</x:v>
      </x:c>
      <x:c r="AF54" s="9" t="str">
        <x:v>null</x:v>
      </x:c>
      <x:c r="AG54" s="9" t="str">
        <x:v>Ki</x:v>
      </x:c>
      <x:c r="AH54" s="9" t="str">
        <x:v>nM</x:v>
      </x:c>
      <x:c r="AI54" s="9" t="str">
        <x:v>null</x:v>
      </x:c>
      <x:c r="AJ54" s="11" t="n">
        <x:v>128.82</x:v>
      </x:c>
      <x:c r="AK54" s="9" t="str">
        <x:v>CHEMBL217</x:v>
      </x:c>
      <x:c r="AL54" s="9" t="str">
        <x:v>Homo sapiens</x:v>
      </x:c>
      <x:c r="AM54" s="9" t="str">
        <x:v>D(2) dopamine receptor</x:v>
      </x:c>
      <x:c r="AN54" s="9" t="str">
        <x:v>9606</x:v>
      </x:c>
      <x:c r="AO54" s="9" t="str">
        <x:v>null</x:v>
      </x:c>
      <x:c r="AP54" s="9" t="str">
        <x:v>null</x:v>
      </x:c>
      <x:c r="AQ54" s="9" t="str">
        <x:v>pKi</x:v>
      </x:c>
      <x:c r="AR54" s="9" t="str">
        <x:v>null</x:v>
      </x:c>
      <x:c r="AS54" s="9" t="str">
        <x:v>UO_0000065</x:v>
      </x:c>
      <x:c r="AT54" s="9" t="str">
        <x:v>null</x:v>
      </x:c>
      <x:c r="AU54" s="9" t="str">
        <x:v>6.89</x:v>
      </x:c>
      <x:c r="AV54" s="11" t="n">
        <x:v>0.00501</x:v>
      </x:c>
      <x:c r="AW54" s="9" t="str">
        <x:v>include</x:v>
      </x:c>
      <x:c r="AX54" s="9" t="str"/>
      <x:c r="AY54" s="11" t="n">
        <x:v>128.82495516931348</x:v>
      </x:c>
      <x:c r="AZ54" s="9" t="str">
        <x:v>source_reported_pKi</x:v>
      </x:c>
      <x:c r="BA54" s="11" t="n">
        <x:v>6.89</x:v>
      </x:c>
      <x:c r="BB54" s="9" t="str">
        <x:v>da9d442a1c5a36ff02ea697bd698ae7d2efd2ce5f010ac4715e4baf981cb464b</x:v>
      </x:c>
      <x:c r="BC54" s="9" t="str">
        <x:v>KDMBMLINAPXLCW-UZLBHIALSA-N</x:v>
      </x:c>
      <x:c r="BD54" s="9" t="str">
        <x:v>Cn1c(SCCCN2CC[C@]3(C[C@@H]3c3ccc(C(F)(F)F)cc3)C2)nnc1-c1csnn1</x:v>
      </x:c>
      <x:c r="BE54" s="9" t="str">
        <x:v>Cn1c(SCCCN2CCC3(CC3c3ccc(C(F)(F)F)cc3)C2)nnc1-c1csnn1</x:v>
      </x:c>
      <x:c r="BF54" s="9" t="str">
        <x:v>Cn1c(SCCCN2CC[C@]3(C[C@@H]3c3ccc(C(F)(F)F)cc3)C2)nnc1-c1csnn1</x:v>
      </x:c>
      <x:c r="BG54" s="12" t="n">
        <x:v>0.00001670518010765676</x:v>
      </x:c>
      <x:c r="BH54" s="11" t="n">
        <x:v>6.890016705180107</x:v>
      </x:c>
      <x:c r="BI54" s="9" t="str">
        <x:v>c1ccc(C2CC23CCN(CCCSc2nnc(-c4csnn4)[nH]2)C3)cc1</x:v>
      </x:c>
      <x:c r="BJ54" s="13" t="n">
        <x:v>1</x:v>
      </x:c>
      <x:c r="BK54" s="11" t="n">
        <x:v>128.82</x:v>
      </x:c>
      <x:c r="BL54" s="12" t="n">
        <x:v>-0.00495516931349016</x:v>
      </x:c>
      <x:c r="BM54" s="9" t="str">
        <x:v>false</x:v>
      </x:c>
    </x:row>
    <x:row r="55" ht="51" customHeight="1">
      <x:c r="A55" s="14" t="str">
        <x:v>null</x:v>
      </x:c>
      <x:c r="B55" s="14" t="str">
        <x:v>null</x:v>
      </x:c>
      <x:c r="C55" s="14" t="str">
        <x:v>16670262</x:v>
      </x:c>
      <x:c r="D55" s="14" t="str">
        <x:v>[]</x:v>
      </x:c>
      <x:c r="E55" s="14" t="str">
        <x:v>CHEMBL3855278</x:v>
      </x:c>
      <x:c r="F55" s="14" t="str">
        <x:v>Displacement of [3H]-spiperone from human dopamine D2 receptor expressed in CHO-K1 cell membranes coexpressing Galpha16 after 120 mins by liquid scintillation counting</x:v>
      </x:c>
      <x:c r="G55" s="14" t="str">
        <x:v>B</x:v>
      </x:c>
      <x:c r="H55" s="14" t="str">
        <x:v>null</x:v>
      </x:c>
      <x:c r="I55" s="14" t="str">
        <x:v>null</x:v>
      </x:c>
      <x:c r="J55" s="14" t="str">
        <x:v>BAO_0000192</x:v>
      </x:c>
      <x:c r="K55" s="14" t="str">
        <x:v>BAO_0000219</x:v>
      </x:c>
      <x:c r="L55" s="14" t="str">
        <x:v>cell-based format</x:v>
      </x:c>
      <x:c r="M55" s="14" t="str">
        <x:v>Cn1c(SCCCN2CC[C@]3(C[C@@H]3c3ccc(C(F)(F)F)cc3)C2)nnc1-c1cccs1</x:v>
      </x:c>
      <x:c r="N55" s="14" t="str">
        <x:v>null</x:v>
      </x:c>
      <x:c r="O55" s="14" t="str">
        <x:v>null</x:v>
      </x:c>
      <x:c r="P55" s="14" t="str">
        <x:v>CHEMBL3853329</x:v>
      </x:c>
      <x:c r="Q55" s="14" t="str">
        <x:v>J Med Chem</x:v>
      </x:c>
      <x:c r="R55" s="17" t="n">
        <x:v>2016</x:v>
      </x:c>
      <x:c r="S55" s="14" t="str">
        <x:v>{"bei":"13.50","le":"0.28","lle":"0.54","sei":"19.03"}</x:v>
      </x:c>
      <x:c r="T55" s="14" t="str">
        <x:v>null</x:v>
      </x:c>
      <x:c r="U55" s="14" t="str">
        <x:v>CHEMBL3976319</x:v>
      </x:c>
      <x:c r="V55" s="14" t="str">
        <x:v>null</x:v>
      </x:c>
      <x:c r="W55" s="14" t="str">
        <x:v>CHEMBL3976319</x:v>
      </x:c>
      <x:c r="X55" s="15" t="n">
        <x:v>6.46</x:v>
      </x:c>
      <x:c r="Y55" s="17" t="n">
        <x:v>0</x:v>
      </x:c>
      <x:c r="Z55" s="14" t="str">
        <x:v>http://www.openphacts.org/units/Nanomolar</x:v>
      </x:c>
      <x:c r="AA55" s="14" t="str">
        <x:v>2796826</x:v>
      </x:c>
      <x:c r="AB55" s="14" t="str">
        <x:v>=</x:v>
      </x:c>
      <x:c r="AC55" s="14" t="str">
        <x:v>1</x:v>
      </x:c>
      <x:c r="AD55" s="17" t="n">
        <x:v>1</x:v>
      </x:c>
      <x:c r="AE55" s="14" t="str">
        <x:v>=</x:v>
      </x:c>
      <x:c r="AF55" s="14" t="str">
        <x:v>null</x:v>
      </x:c>
      <x:c r="AG55" s="14" t="str">
        <x:v>Ki</x:v>
      </x:c>
      <x:c r="AH55" s="14" t="str">
        <x:v>nM</x:v>
      </x:c>
      <x:c r="AI55" s="14" t="str">
        <x:v>null</x:v>
      </x:c>
      <x:c r="AJ55" s="15" t="n">
        <x:v>346.74</x:v>
      </x:c>
      <x:c r="AK55" s="14" t="str">
        <x:v>CHEMBL217</x:v>
      </x:c>
      <x:c r="AL55" s="14" t="str">
        <x:v>Homo sapiens</x:v>
      </x:c>
      <x:c r="AM55" s="14" t="str">
        <x:v>D(2) dopamine receptor</x:v>
      </x:c>
      <x:c r="AN55" s="14" t="str">
        <x:v>9606</x:v>
      </x:c>
      <x:c r="AO55" s="14" t="str">
        <x:v>null</x:v>
      </x:c>
      <x:c r="AP55" s="14" t="str">
        <x:v>null</x:v>
      </x:c>
      <x:c r="AQ55" s="14" t="str">
        <x:v>pKi</x:v>
      </x:c>
      <x:c r="AR55" s="14" t="str">
        <x:v>null</x:v>
      </x:c>
      <x:c r="AS55" s="14" t="str">
        <x:v>UO_0000065</x:v>
      </x:c>
      <x:c r="AT55" s="14" t="str">
        <x:v>null</x:v>
      </x:c>
      <x:c r="AU55" s="14" t="str">
        <x:v>6.46</x:v>
      </x:c>
      <x:c r="AV55" s="15" t="n">
        <x:v>0.00501</x:v>
      </x:c>
      <x:c r="AW55" s="14" t="str">
        <x:v>include</x:v>
      </x:c>
      <x:c r="AX55" s="14" t="str"/>
      <x:c r="AY55" s="15" t="n">
        <x:v>346.73685045253166</x:v>
      </x:c>
      <x:c r="AZ55" s="14" t="str">
        <x:v>source_reported_pKi</x:v>
      </x:c>
      <x:c r="BA55" s="15" t="n">
        <x:v>6.46</x:v>
      </x:c>
      <x:c r="BB55" s="14" t="str">
        <x:v>9bb34131081e1fd76aad54c44ebdec1acb17d1e4c9a76cc731007a6ad6437833</x:v>
      </x:c>
      <x:c r="BC55" s="14" t="str">
        <x:v>ZWINHZKEJACBFT-GCJKJVERSA-N</x:v>
      </x:c>
      <x:c r="BD55" s="14" t="str">
        <x:v>Cn1c(SCCCN2CC[C@]3(C[C@@H]3c3ccc(C(F)(F)F)cc3)C2)nnc1-c1cccs1</x:v>
      </x:c>
      <x:c r="BE55" s="14" t="str">
        <x:v>Cn1c(SCCCN2CCC3(CC3c3ccc(C(F)(F)F)cc3)C2)nnc1-c1cccs1</x:v>
      </x:c>
      <x:c r="BF55" s="14" t="str">
        <x:v>Cn1c(SCCCN2CC[C@]3(C[C@@H]3c3ccc(C(F)(F)F)cc3)C2)nnc1-c1cccs1</x:v>
      </x:c>
      <x:c r="BG55" s="16" t="n">
        <x:v>-0.000003944850026194047</x:v>
      </x:c>
      <x:c r="BH55" s="15" t="n">
        <x:v>6.459996055149974</x:v>
      </x:c>
      <x:c r="BI55" s="14" t="str">
        <x:v>c1ccc(C2CC23CCN(CCCSc2nnc(-c4cccs4)[nH]2)C3)cc1</x:v>
      </x:c>
      <x:c r="BJ55" s="17" t="n">
        <x:v>1</x:v>
      </x:c>
      <x:c r="BK55" s="15" t="n">
        <x:v>346.74</x:v>
      </x:c>
      <x:c r="BL55" s="16" t="n">
        <x:v>0.0031495474683538305</x:v>
      </x:c>
      <x:c r="BM55" s="14" t="str">
        <x:v>false</x:v>
      </x:c>
    </x:row>
    <x:row r="56" ht="51" customHeight="1">
      <x:c r="A56" s="9" t="str">
        <x:v>null</x:v>
      </x:c>
      <x:c r="B56" s="9" t="str">
        <x:v>null</x:v>
      </x:c>
      <x:c r="C56" s="9" t="str">
        <x:v>16670263</x:v>
      </x:c>
      <x:c r="D56" s="9" t="str">
        <x:v>[]</x:v>
      </x:c>
      <x:c r="E56" s="9" t="str">
        <x:v>CHEMBL3855278</x:v>
      </x:c>
      <x:c r="F56" s="9" t="str">
        <x:v>Displacement of [3H]-spiperone from human dopamine D2 receptor expressed in CHO-K1 cell membranes coexpressing Galpha16 after 120 mins by liquid scintillation counting</x:v>
      </x:c>
      <x:c r="G56" s="9" t="str">
        <x:v>B</x:v>
      </x:c>
      <x:c r="H56" s="9" t="str">
        <x:v>null</x:v>
      </x:c>
      <x:c r="I56" s="9" t="str">
        <x:v>null</x:v>
      </x:c>
      <x:c r="J56" s="9" t="str">
        <x:v>BAO_0000192</x:v>
      </x:c>
      <x:c r="K56" s="9" t="str">
        <x:v>BAO_0000219</x:v>
      </x:c>
      <x:c r="L56" s="9" t="str">
        <x:v>cell-based format</x:v>
      </x:c>
      <x:c r="M56" s="9" t="str">
        <x:v>Cn1c(SCCCN2CC[C@]3(C[C@@H]3c3ccc(C(F)(F)F)cc3)C2)nnc1-c1ccsc1</x:v>
      </x:c>
      <x:c r="N56" s="9" t="str">
        <x:v>null</x:v>
      </x:c>
      <x:c r="O56" s="9" t="str">
        <x:v>null</x:v>
      </x:c>
      <x:c r="P56" s="9" t="str">
        <x:v>CHEMBL3853329</x:v>
      </x:c>
      <x:c r="Q56" s="9" t="str">
        <x:v>J Med Chem</x:v>
      </x:c>
      <x:c r="R56" s="13" t="n">
        <x:v>2016</x:v>
      </x:c>
      <x:c r="S56" s="9" t="str">
        <x:v>{"bei":"13.54","le":"0.28","lle":"0.56","sei":"19.09"}</x:v>
      </x:c>
      <x:c r="T56" s="9" t="str">
        <x:v>null</x:v>
      </x:c>
      <x:c r="U56" s="9" t="str">
        <x:v>CHEMBL3896638</x:v>
      </x:c>
      <x:c r="V56" s="9" t="str">
        <x:v>null</x:v>
      </x:c>
      <x:c r="W56" s="9" t="str">
        <x:v>CHEMBL3896638</x:v>
      </x:c>
      <x:c r="X56" s="11" t="n">
        <x:v>6.48</x:v>
      </x:c>
      <x:c r="Y56" s="13" t="n">
        <x:v>0</x:v>
      </x:c>
      <x:c r="Z56" s="9" t="str">
        <x:v>http://www.openphacts.org/units/Nanomolar</x:v>
      </x:c>
      <x:c r="AA56" s="9" t="str">
        <x:v>2796827</x:v>
      </x:c>
      <x:c r="AB56" s="9" t="str">
        <x:v>=</x:v>
      </x:c>
      <x:c r="AC56" s="9" t="str">
        <x:v>1</x:v>
      </x:c>
      <x:c r="AD56" s="13" t="n">
        <x:v>1</x:v>
      </x:c>
      <x:c r="AE56" s="9" t="str">
        <x:v>=</x:v>
      </x:c>
      <x:c r="AF56" s="9" t="str">
        <x:v>null</x:v>
      </x:c>
      <x:c r="AG56" s="9" t="str">
        <x:v>Ki</x:v>
      </x:c>
      <x:c r="AH56" s="9" t="str">
        <x:v>nM</x:v>
      </x:c>
      <x:c r="AI56" s="9" t="str">
        <x:v>null</x:v>
      </x:c>
      <x:c r="AJ56" s="11" t="n">
        <x:v>331.13</x:v>
      </x:c>
      <x:c r="AK56" s="9" t="str">
        <x:v>CHEMBL217</x:v>
      </x:c>
      <x:c r="AL56" s="9" t="str">
        <x:v>Homo sapiens</x:v>
      </x:c>
      <x:c r="AM56" s="9" t="str">
        <x:v>D(2) dopamine receptor</x:v>
      </x:c>
      <x:c r="AN56" s="9" t="str">
        <x:v>9606</x:v>
      </x:c>
      <x:c r="AO56" s="9" t="str">
        <x:v>null</x:v>
      </x:c>
      <x:c r="AP56" s="9" t="str">
        <x:v>null</x:v>
      </x:c>
      <x:c r="AQ56" s="9" t="str">
        <x:v>pKi</x:v>
      </x:c>
      <x:c r="AR56" s="9" t="str">
        <x:v>null</x:v>
      </x:c>
      <x:c r="AS56" s="9" t="str">
        <x:v>UO_0000065</x:v>
      </x:c>
      <x:c r="AT56" s="9" t="str">
        <x:v>null</x:v>
      </x:c>
      <x:c r="AU56" s="9" t="str">
        <x:v>6.48</x:v>
      </x:c>
      <x:c r="AV56" s="11" t="n">
        <x:v>0.00501</x:v>
      </x:c>
      <x:c r="AW56" s="9" t="str">
        <x:v>include</x:v>
      </x:c>
      <x:c r="AX56" s="9" t="str"/>
      <x:c r="AY56" s="11" t="n">
        <x:v>331.13112148259074</x:v>
      </x:c>
      <x:c r="AZ56" s="9" t="str">
        <x:v>source_reported_pKi</x:v>
      </x:c>
      <x:c r="BA56" s="11" t="n">
        <x:v>6.48</x:v>
      </x:c>
      <x:c r="BB56" s="9" t="str">
        <x:v>a336df216fd140810fe569d838fe0d18d2c2eb0376748da1fd75ac2718c59b64</x:v>
      </x:c>
      <x:c r="BC56" s="9" t="str">
        <x:v>SPXBIHAHCCAKBB-KNQAVFIVSA-N</x:v>
      </x:c>
      <x:c r="BD56" s="9" t="str">
        <x:v>Cn1c(SCCCN2CC[C@]3(C[C@@H]3c3ccc(C(F)(F)F)cc3)C2)nnc1-c1ccsc1</x:v>
      </x:c>
      <x:c r="BE56" s="9" t="str">
        <x:v>Cn1c(SCCCN2CCC3(CC3c3ccc(C(F)(F)F)cc3)C2)nnc1-c1ccsc1</x:v>
      </x:c>
      <x:c r="BF56" s="9" t="str">
        <x:v>Cn1c(SCCCN2CC[C@]3(C[C@@H]3c3ccc(C(F)(F)F)cc3)C2)nnc1-c1ccsc1</x:v>
      </x:c>
      <x:c r="BG56" s="12" t="n">
        <x:v>0.0000014708811519881237</x:v>
      </x:c>
      <x:c r="BH56" s="11" t="n">
        <x:v>6.480001470881152</x:v>
      </x:c>
      <x:c r="BI56" s="9" t="str">
        <x:v>c1ccc(C2CC23CCN(CCCSc2nnc(-c4ccsc4)[nH]2)C3)cc1</x:v>
      </x:c>
      <x:c r="BJ56" s="13" t="n">
        <x:v>1</x:v>
      </x:c>
      <x:c r="BK56" s="11" t="n">
        <x:v>331.13</x:v>
      </x:c>
      <x:c r="BL56" s="12" t="n">
        <x:v>-0.0011214825907472914</x:v>
      </x:c>
      <x:c r="BM56" s="9" t="str">
        <x:v>false</x:v>
      </x:c>
    </x:row>
    <x:row r="57" ht="51" customHeight="1">
      <x:c r="A57" s="14" t="str">
        <x:v>null</x:v>
      </x:c>
      <x:c r="B57" s="14" t="str">
        <x:v>null</x:v>
      </x:c>
      <x:c r="C57" s="14" t="str">
        <x:v>16670264</x:v>
      </x:c>
      <x:c r="D57" s="14" t="str">
        <x:v>[]</x:v>
      </x:c>
      <x:c r="E57" s="14" t="str">
        <x:v>CHEMBL3855278</x:v>
      </x:c>
      <x:c r="F57" s="14" t="str">
        <x:v>Displacement of [3H]-spiperone from human dopamine D2 receptor expressed in CHO-K1 cell membranes coexpressing Galpha16 after 120 mins by liquid scintillation counting</x:v>
      </x:c>
      <x:c r="G57" s="14" t="str">
        <x:v>B</x:v>
      </x:c>
      <x:c r="H57" s="14" t="str">
        <x:v>null</x:v>
      </x:c>
      <x:c r="I57" s="14" t="str">
        <x:v>null</x:v>
      </x:c>
      <x:c r="J57" s="14" t="str">
        <x:v>BAO_0000192</x:v>
      </x:c>
      <x:c r="K57" s="14" t="str">
        <x:v>BAO_0000219</x:v>
      </x:c>
      <x:c r="L57" s="14" t="str">
        <x:v>cell-based format</x:v>
      </x:c>
      <x:c r="M57" s="14" t="str">
        <x:v>Cn1c(SCCCN2CC[C@]3(C[C@@H]3c3ccc(C(F)(F)F)cc3)C2)nnc1-c1ccco1</x:v>
      </x:c>
      <x:c r="N57" s="14" t="str">
        <x:v>null</x:v>
      </x:c>
      <x:c r="O57" s="14" t="str">
        <x:v>null</x:v>
      </x:c>
      <x:c r="P57" s="14" t="str">
        <x:v>CHEMBL3853329</x:v>
      </x:c>
      <x:c r="Q57" s="14" t="str">
        <x:v>J Med Chem</x:v>
      </x:c>
      <x:c r="R57" s="17" t="n">
        <x:v>2016</x:v>
      </x:c>
      <x:c r="S57" s="14" t="str">
        <x:v>{"bei":"13.66","le":"0.27","lle":"0.86","sei":"13.42"}</x:v>
      </x:c>
      <x:c r="T57" s="14" t="str">
        <x:v>null</x:v>
      </x:c>
      <x:c r="U57" s="14" t="str">
        <x:v>CHEMBL3967806</x:v>
      </x:c>
      <x:c r="V57" s="14" t="str">
        <x:v>null</x:v>
      </x:c>
      <x:c r="W57" s="14" t="str">
        <x:v>CHEMBL3967806</x:v>
      </x:c>
      <x:c r="X57" s="15" t="n">
        <x:v>6.32</x:v>
      </x:c>
      <x:c r="Y57" s="17" t="n">
        <x:v>0</x:v>
      </x:c>
      <x:c r="Z57" s="14" t="str">
        <x:v>http://www.openphacts.org/units/Nanomolar</x:v>
      </x:c>
      <x:c r="AA57" s="14" t="str">
        <x:v>2796828</x:v>
      </x:c>
      <x:c r="AB57" s="14" t="str">
        <x:v>=</x:v>
      </x:c>
      <x:c r="AC57" s="14" t="str">
        <x:v>1</x:v>
      </x:c>
      <x:c r="AD57" s="17" t="n">
        <x:v>1</x:v>
      </x:c>
      <x:c r="AE57" s="14" t="str">
        <x:v>=</x:v>
      </x:c>
      <x:c r="AF57" s="14" t="str">
        <x:v>null</x:v>
      </x:c>
      <x:c r="AG57" s="14" t="str">
        <x:v>Ki</x:v>
      </x:c>
      <x:c r="AH57" s="14" t="str">
        <x:v>nM</x:v>
      </x:c>
      <x:c r="AI57" s="14" t="str">
        <x:v>null</x:v>
      </x:c>
      <x:c r="AJ57" s="15" t="n">
        <x:v>478.63</x:v>
      </x:c>
      <x:c r="AK57" s="14" t="str">
        <x:v>CHEMBL217</x:v>
      </x:c>
      <x:c r="AL57" s="14" t="str">
        <x:v>Homo sapiens</x:v>
      </x:c>
      <x:c r="AM57" s="14" t="str">
        <x:v>D(2) dopamine receptor</x:v>
      </x:c>
      <x:c r="AN57" s="14" t="str">
        <x:v>9606</x:v>
      </x:c>
      <x:c r="AO57" s="14" t="str">
        <x:v>null</x:v>
      </x:c>
      <x:c r="AP57" s="14" t="str">
        <x:v>null</x:v>
      </x:c>
      <x:c r="AQ57" s="14" t="str">
        <x:v>pKi</x:v>
      </x:c>
      <x:c r="AR57" s="14" t="str">
        <x:v>null</x:v>
      </x:c>
      <x:c r="AS57" s="14" t="str">
        <x:v>UO_0000065</x:v>
      </x:c>
      <x:c r="AT57" s="14" t="str">
        <x:v>null</x:v>
      </x:c>
      <x:c r="AU57" s="14" t="str">
        <x:v>6.32</x:v>
      </x:c>
      <x:c r="AV57" s="15" t="n">
        <x:v>0.00501</x:v>
      </x:c>
      <x:c r="AW57" s="14" t="str">
        <x:v>include</x:v>
      </x:c>
      <x:c r="AX57" s="14" t="str"/>
      <x:c r="AY57" s="15" t="n">
        <x:v>478.630092322638</x:v>
      </x:c>
      <x:c r="AZ57" s="14" t="str">
        <x:v>source_reported_pKi</x:v>
      </x:c>
      <x:c r="BA57" s="15" t="n">
        <x:v>6.32</x:v>
      </x:c>
      <x:c r="BB57" s="14" t="str">
        <x:v>38cc9e86830164cf92368e2dc2601f44e58fbdce170d844e9d909fee90e95e68</x:v>
      </x:c>
      <x:c r="BC57" s="14" t="str">
        <x:v>WPKZTODVTLZQPZ-GCJKJVERSA-N</x:v>
      </x:c>
      <x:c r="BD57" s="14" t="str">
        <x:v>Cn1c(SCCCN2CC[C@]3(C[C@@H]3c3ccc(C(F)(F)F)cc3)C2)nnc1-c1ccco1</x:v>
      </x:c>
      <x:c r="BE57" s="14" t="str">
        <x:v>Cn1c(SCCCN2CCC3(CC3c3ccc(C(F)(F)F)cc3)C2)nnc1-c1ccco1</x:v>
      </x:c>
      <x:c r="BF57" s="14" t="str">
        <x:v>Cn1c(SCCCN2CC[C@]3(C[C@@H]3c3ccc(C(F)(F)F)cc3)C2)nnc1-c1ccco1</x:v>
      </x:c>
      <x:c r="BG57" s="16" t="n">
        <x:v>8.377077964638602e-8</x:v>
      </x:c>
      <x:c r="BH57" s="15" t="n">
        <x:v>6.32000008377078</x:v>
      </x:c>
      <x:c r="BI57" s="14" t="str">
        <x:v>c1ccc(C2CC23CCN(CCCSc2nnc(-c4ccco4)[nH]2)C3)cc1</x:v>
      </x:c>
      <x:c r="BJ57" s="17" t="n">
        <x:v>1</x:v>
      </x:c>
      <x:c r="BK57" s="15" t="n">
        <x:v>478.63</x:v>
      </x:c>
      <x:c r="BL57" s="16" t="n">
        <x:v>-0.00009232263801095542</x:v>
      </x:c>
      <x:c r="BM57" s="14" t="str">
        <x:v>false</x:v>
      </x:c>
    </x:row>
    <x:row r="58" ht="51" customHeight="1">
      <x:c r="A58" s="9" t="str">
        <x:v>null</x:v>
      </x:c>
      <x:c r="B58" s="9" t="str">
        <x:v>null</x:v>
      </x:c>
      <x:c r="C58" s="9" t="str">
        <x:v>16670265</x:v>
      </x:c>
      <x:c r="D58" s="9" t="str">
        <x:v>[]</x:v>
      </x:c>
      <x:c r="E58" s="9" t="str">
        <x:v>CHEMBL3855278</x:v>
      </x:c>
      <x:c r="F58" s="9" t="str">
        <x:v>Displacement of [3H]-spiperone from human dopamine D2 receptor expressed in CHO-K1 cell membranes coexpressing Galpha16 after 120 mins by liquid scintillation counting</x:v>
      </x:c>
      <x:c r="G58" s="9" t="str">
        <x:v>B</x:v>
      </x:c>
      <x:c r="H58" s="9" t="str">
        <x:v>null</x:v>
      </x:c>
      <x:c r="I58" s="9" t="str">
        <x:v>null</x:v>
      </x:c>
      <x:c r="J58" s="9" t="str">
        <x:v>BAO_0000192</x:v>
      </x:c>
      <x:c r="K58" s="9" t="str">
        <x:v>BAO_0000219</x:v>
      </x:c>
      <x:c r="L58" s="9" t="str">
        <x:v>cell-based format</x:v>
      </x:c>
      <x:c r="M58" s="9" t="str">
        <x:v>Cn1c(SCCCN2CC[C@]3(C[C@@H]3c3ccc(C(F)(F)F)cc3)C2)nnc1-c1ccoc1</x:v>
      </x:c>
      <x:c r="N58" s="9" t="str">
        <x:v>null</x:v>
      </x:c>
      <x:c r="O58" s="9" t="str">
        <x:v>null</x:v>
      </x:c>
      <x:c r="P58" s="9" t="str">
        <x:v>CHEMBL3853329</x:v>
      </x:c>
      <x:c r="Q58" s="9" t="str">
        <x:v>J Med Chem</x:v>
      </x:c>
      <x:c r="R58" s="13" t="n">
        <x:v>2016</x:v>
      </x:c>
      <x:c r="S58" s="9" t="str">
        <x:v>{"bei":"13.62","le":"0.27","lle":"0.84","sei":"13.38"}</x:v>
      </x:c>
      <x:c r="T58" s="9" t="str">
        <x:v>null</x:v>
      </x:c>
      <x:c r="U58" s="9" t="str">
        <x:v>CHEMBL3985419</x:v>
      </x:c>
      <x:c r="V58" s="9" t="str">
        <x:v>null</x:v>
      </x:c>
      <x:c r="W58" s="9" t="str">
        <x:v>CHEMBL3985419</x:v>
      </x:c>
      <x:c r="X58" s="11" t="n">
        <x:v>6.3</x:v>
      </x:c>
      <x:c r="Y58" s="13" t="n">
        <x:v>0</x:v>
      </x:c>
      <x:c r="Z58" s="9" t="str">
        <x:v>http://www.openphacts.org/units/Nanomolar</x:v>
      </x:c>
      <x:c r="AA58" s="9" t="str">
        <x:v>2796829</x:v>
      </x:c>
      <x:c r="AB58" s="9" t="str">
        <x:v>=</x:v>
      </x:c>
      <x:c r="AC58" s="9" t="str">
        <x:v>1</x:v>
      </x:c>
      <x:c r="AD58" s="13" t="n">
        <x:v>1</x:v>
      </x:c>
      <x:c r="AE58" s="9" t="str">
        <x:v>=</x:v>
      </x:c>
      <x:c r="AF58" s="9" t="str">
        <x:v>null</x:v>
      </x:c>
      <x:c r="AG58" s="9" t="str">
        <x:v>Ki</x:v>
      </x:c>
      <x:c r="AH58" s="9" t="str">
        <x:v>nM</x:v>
      </x:c>
      <x:c r="AI58" s="9" t="str">
        <x:v>null</x:v>
      </x:c>
      <x:c r="AJ58" s="11" t="n">
        <x:v>501.19</x:v>
      </x:c>
      <x:c r="AK58" s="9" t="str">
        <x:v>CHEMBL217</x:v>
      </x:c>
      <x:c r="AL58" s="9" t="str">
        <x:v>Homo sapiens</x:v>
      </x:c>
      <x:c r="AM58" s="9" t="str">
        <x:v>D(2) dopamine receptor</x:v>
      </x:c>
      <x:c r="AN58" s="9" t="str">
        <x:v>9606</x:v>
      </x:c>
      <x:c r="AO58" s="9" t="str">
        <x:v>null</x:v>
      </x:c>
      <x:c r="AP58" s="9" t="str">
        <x:v>null</x:v>
      </x:c>
      <x:c r="AQ58" s="9" t="str">
        <x:v>pKi</x:v>
      </x:c>
      <x:c r="AR58" s="9" t="str">
        <x:v>null</x:v>
      </x:c>
      <x:c r="AS58" s="9" t="str">
        <x:v>UO_0000065</x:v>
      </x:c>
      <x:c r="AT58" s="9" t="str">
        <x:v>null</x:v>
      </x:c>
      <x:c r="AU58" s="9" t="str">
        <x:v>6.3</x:v>
      </x:c>
      <x:c r="AV58" s="11" t="n">
        <x:v>0.00501</x:v>
      </x:c>
      <x:c r="AW58" s="9" t="str">
        <x:v>include</x:v>
      </x:c>
      <x:c r="AX58" s="9" t="str"/>
      <x:c r="AY58" s="11" t="n">
        <x:v>501.18723362727246</x:v>
      </x:c>
      <x:c r="AZ58" s="9" t="str">
        <x:v>source_reported_pKi</x:v>
      </x:c>
      <x:c r="BA58" s="11" t="n">
        <x:v>6.3</x:v>
      </x:c>
      <x:c r="BB58" s="9" t="str">
        <x:v>b589c072b35e32539259416a3d4258e40c6a8fe3479defa400007c42cda8e53f</x:v>
      </x:c>
      <x:c r="BC58" s="9" t="str">
        <x:v>VKQSAQSCKUZTCV-KNQAVFIVSA-N</x:v>
      </x:c>
      <x:c r="BD58" s="9" t="str">
        <x:v>Cn1c(SCCCN2CC[C@]3(C[C@@H]3c3ccc(C(F)(F)F)cc3)C2)nnc1-c1ccoc1</x:v>
      </x:c>
      <x:c r="BE58" s="9" t="str">
        <x:v>Cn1c(SCCCN2CCC3(CC3c3ccc(C(F)(F)F)cc3)C2)nnc1-c1ccoc1</x:v>
      </x:c>
      <x:c r="BF58" s="9" t="str">
        <x:v>Cn1c(SCCCN2CC[C@]3(C[C@@H]3c3ccc(C(F)(F)F)cc3)C2)nnc1-c1ccoc1</x:v>
      </x:c>
      <x:c r="BG58" s="12" t="n">
        <x:v>-0.000002397142253585116</x:v>
      </x:c>
      <x:c r="BH58" s="11" t="n">
        <x:v>6.299997602857746</x:v>
      </x:c>
      <x:c r="BI58" s="9" t="str">
        <x:v>c1ccc(C2CC23CCN(CCCSc2nnc(-c4ccoc4)[nH]2)C3)cc1</x:v>
      </x:c>
      <x:c r="BJ58" s="13" t="n">
        <x:v>1</x:v>
      </x:c>
      <x:c r="BK58" s="11" t="n">
        <x:v>501.19</x:v>
      </x:c>
      <x:c r="BL58" s="12" t="n">
        <x:v>0.0027663727275353267</x:v>
      </x:c>
      <x:c r="BM58" s="9" t="str">
        <x:v>false</x:v>
      </x:c>
    </x:row>
    <x:row r="59" ht="51" customHeight="1">
      <x:c r="A59" s="14" t="str">
        <x:v>null</x:v>
      </x:c>
      <x:c r="B59" s="14" t="str">
        <x:v>null</x:v>
      </x:c>
      <x:c r="C59" s="14" t="str">
        <x:v>16670266</x:v>
      </x:c>
      <x:c r="D59" s="14" t="str">
        <x:v>[]</x:v>
      </x:c>
      <x:c r="E59" s="14" t="str">
        <x:v>CHEMBL3855278</x:v>
      </x:c>
      <x:c r="F59" s="14" t="str">
        <x:v>Displacement of [3H]-spiperone from human dopamine D2 receptor expressed in CHO-K1 cell membranes coexpressing Galpha16 after 120 mins by liquid scintillation counting</x:v>
      </x:c>
      <x:c r="G59" s="14" t="str">
        <x:v>B</x:v>
      </x:c>
      <x:c r="H59" s="14" t="str">
        <x:v>null</x:v>
      </x:c>
      <x:c r="I59" s="14" t="str">
        <x:v>null</x:v>
      </x:c>
      <x:c r="J59" s="14" t="str">
        <x:v>BAO_0000192</x:v>
      </x:c>
      <x:c r="K59" s="14" t="str">
        <x:v>BAO_0000219</x:v>
      </x:c>
      <x:c r="L59" s="14" t="str">
        <x:v>cell-based format</x:v>
      </x:c>
      <x:c r="M59" s="14" t="str">
        <x:v>Cn1cc(-c2nnc(SCCCN3CC[C@]4(C[C@@H]4c4ccc(C(F)(F)F)cc4)C3)n2C)cn1</x:v>
      </x:c>
      <x:c r="N59" s="14" t="str">
        <x:v>null</x:v>
      </x:c>
      <x:c r="O59" s="14" t="str">
        <x:v>null</x:v>
      </x:c>
      <x:c r="P59" s="14" t="str">
        <x:v>CHEMBL3853329</x:v>
      </x:c>
      <x:c r="Q59" s="14" t="str">
        <x:v>J Med Chem</x:v>
      </x:c>
      <x:c r="R59" s="17" t="n">
        <x:v>2016</x:v>
      </x:c>
      <x:c r="S59" s="14" t="str">
        <x:v>{"bei":"13.16","le":"0.26","lle":"1.67","sei":"12.11"}</x:v>
      </x:c>
      <x:c r="T59" s="14" t="str">
        <x:v>null</x:v>
      </x:c>
      <x:c r="U59" s="14" t="str">
        <x:v>CHEMBL3956758</x:v>
      </x:c>
      <x:c r="V59" s="14" t="str">
        <x:v>null</x:v>
      </x:c>
      <x:c r="W59" s="14" t="str">
        <x:v>CHEMBL3956758</x:v>
      </x:c>
      <x:c r="X59" s="15" t="n">
        <x:v>6.27</x:v>
      </x:c>
      <x:c r="Y59" s="17" t="n">
        <x:v>0</x:v>
      </x:c>
      <x:c r="Z59" s="14" t="str">
        <x:v>http://www.openphacts.org/units/Nanomolar</x:v>
      </x:c>
      <x:c r="AA59" s="14" t="str">
        <x:v>2796830</x:v>
      </x:c>
      <x:c r="AB59" s="14" t="str">
        <x:v>=</x:v>
      </x:c>
      <x:c r="AC59" s="14" t="str">
        <x:v>1</x:v>
      </x:c>
      <x:c r="AD59" s="17" t="n">
        <x:v>1</x:v>
      </x:c>
      <x:c r="AE59" s="14" t="str">
        <x:v>=</x:v>
      </x:c>
      <x:c r="AF59" s="14" t="str">
        <x:v>null</x:v>
      </x:c>
      <x:c r="AG59" s="14" t="str">
        <x:v>Ki</x:v>
      </x:c>
      <x:c r="AH59" s="14" t="str">
        <x:v>nM</x:v>
      </x:c>
      <x:c r="AI59" s="14" t="str">
        <x:v>null</x:v>
      </x:c>
      <x:c r="AJ59" s="15" t="n">
        <x:v>537.03</x:v>
      </x:c>
      <x:c r="AK59" s="14" t="str">
        <x:v>CHEMBL217</x:v>
      </x:c>
      <x:c r="AL59" s="14" t="str">
        <x:v>Homo sapiens</x:v>
      </x:c>
      <x:c r="AM59" s="14" t="str">
        <x:v>D(2) dopamine receptor</x:v>
      </x:c>
      <x:c r="AN59" s="14" t="str">
        <x:v>9606</x:v>
      </x:c>
      <x:c r="AO59" s="14" t="str">
        <x:v>null</x:v>
      </x:c>
      <x:c r="AP59" s="14" t="str">
        <x:v>null</x:v>
      </x:c>
      <x:c r="AQ59" s="14" t="str">
        <x:v>pKi</x:v>
      </x:c>
      <x:c r="AR59" s="14" t="str">
        <x:v>null</x:v>
      </x:c>
      <x:c r="AS59" s="14" t="str">
        <x:v>UO_0000065</x:v>
      </x:c>
      <x:c r="AT59" s="14" t="str">
        <x:v>null</x:v>
      </x:c>
      <x:c r="AU59" s="14" t="str">
        <x:v>6.27</x:v>
      </x:c>
      <x:c r="AV59" s="15" t="n">
        <x:v>0.00501</x:v>
      </x:c>
      <x:c r="AW59" s="14" t="str">
        <x:v>include</x:v>
      </x:c>
      <x:c r="AX59" s="14" t="str"/>
      <x:c r="AY59" s="15" t="n">
        <x:v>537.0317963702532</x:v>
      </x:c>
      <x:c r="AZ59" s="14" t="str">
        <x:v>source_reported_pKi</x:v>
      </x:c>
      <x:c r="BA59" s="15" t="n">
        <x:v>6.27</x:v>
      </x:c>
      <x:c r="BB59" s="14" t="str">
        <x:v>ef906f7fe0f06b2ed46d3d85e5599857e4f34a84d9243aef1d108475e7deb80f</x:v>
      </x:c>
      <x:c r="BC59" s="14" t="str">
        <x:v>KIDLIVLNXRZSJP-KNQAVFIVSA-N</x:v>
      </x:c>
      <x:c r="BD59" s="14" t="str">
        <x:v>Cn1cc(-c2nnc(SCCCN3CC[C@]4(C[C@@H]4c4ccc(C(F)(F)F)cc4)C3)n2C)cn1</x:v>
      </x:c>
      <x:c r="BE59" s="14" t="str">
        <x:v>Cn1cc(-c2nnc(SCCCN3CCC4(CC4c4ccc(C(F)(F)F)cc4)C3)n2C)cn1</x:v>
      </x:c>
      <x:c r="BF59" s="14" t="str">
        <x:v>Cn1cc(-c2nnc(SCCCN3CC[C@]4(C[C@@H]4c4ccc(C(F)(F)F)cc4)C3)n2C)cn1</x:v>
      </x:c>
      <x:c r="BG59" s="16" t="n">
        <x:v>0.000001452716578143054</x:v>
      </x:c>
      <x:c r="BH59" s="15" t="n">
        <x:v>6.270001452716578</x:v>
      </x:c>
      <x:c r="BI59" s="14" t="str">
        <x:v>c1ccc(C2CC23CCN(CCCSc2nnc(-c4cn[nH]c4)[nH]2)C3)cc1</x:v>
      </x:c>
      <x:c r="BJ59" s="17" t="n">
        <x:v>1</x:v>
      </x:c>
      <x:c r="BK59" s="15" t="n">
        <x:v>537.03</x:v>
      </x:c>
      <x:c r="BL59" s="16" t="n">
        <x:v>-0.001796370253259738</x:v>
      </x:c>
      <x:c r="BM59" s="14" t="str">
        <x:v>false</x:v>
      </x:c>
    </x:row>
    <x:row r="60" ht="51" customHeight="1">
      <x:c r="A60" s="9" t="str">
        <x:v>null</x:v>
      </x:c>
      <x:c r="B60" s="9" t="str">
        <x:v>null</x:v>
      </x:c>
      <x:c r="C60" s="9" t="str">
        <x:v>16670267</x:v>
      </x:c>
      <x:c r="D60" s="9" t="str">
        <x:v>[]</x:v>
      </x:c>
      <x:c r="E60" s="9" t="str">
        <x:v>CHEMBL3855278</x:v>
      </x:c>
      <x:c r="F60" s="9" t="str">
        <x:v>Displacement of [3H]-spiperone from human dopamine D2 receptor expressed in CHO-K1 cell membranes coexpressing Galpha16 after 120 mins by liquid scintillation counting</x:v>
      </x:c>
      <x:c r="G60" s="9" t="str">
        <x:v>B</x:v>
      </x:c>
      <x:c r="H60" s="9" t="str">
        <x:v>null</x:v>
      </x:c>
      <x:c r="I60" s="9" t="str">
        <x:v>null</x:v>
      </x:c>
      <x:c r="J60" s="9" t="str">
        <x:v>BAO_0000192</x:v>
      </x:c>
      <x:c r="K60" s="9" t="str">
        <x:v>BAO_0000219</x:v>
      </x:c>
      <x:c r="L60" s="9" t="str">
        <x:v>cell-based format</x:v>
      </x:c>
      <x:c r="M60" s="9" t="str">
        <x:v>Cn1nccc1-c1nnc(SCCCN2CC[C@]3(C[C@@H]3c3ccc(C(F)(F)F)cc3)C2)n1C</x:v>
      </x:c>
      <x:c r="N60" s="9" t="str">
        <x:v>null</x:v>
      </x:c>
      <x:c r="O60" s="9" t="str">
        <x:v>null</x:v>
      </x:c>
      <x:c r="P60" s="9" t="str">
        <x:v>CHEMBL3853329</x:v>
      </x:c>
      <x:c r="Q60" s="9" t="str">
        <x:v>J Med Chem</x:v>
      </x:c>
      <x:c r="R60" s="13" t="n">
        <x:v>2016</x:v>
      </x:c>
      <x:c r="S60" s="9" t="str">
        <x:v>{"bei":"12.74","le":"0.25","lle":"1.47","sei":"11.72"}</x:v>
      </x:c>
      <x:c r="T60" s="9" t="str">
        <x:v>null</x:v>
      </x:c>
      <x:c r="U60" s="9" t="str">
        <x:v>CHEMBL3908174</x:v>
      </x:c>
      <x:c r="V60" s="9" t="str">
        <x:v>null</x:v>
      </x:c>
      <x:c r="W60" s="9" t="str">
        <x:v>CHEMBL3908174</x:v>
      </x:c>
      <x:c r="X60" s="11" t="n">
        <x:v>6.07</x:v>
      </x:c>
      <x:c r="Y60" s="13" t="n">
        <x:v>0</x:v>
      </x:c>
      <x:c r="Z60" s="9" t="str">
        <x:v>http://www.openphacts.org/units/Nanomolar</x:v>
      </x:c>
      <x:c r="AA60" s="9" t="str">
        <x:v>2796831</x:v>
      </x:c>
      <x:c r="AB60" s="9" t="str">
        <x:v>=</x:v>
      </x:c>
      <x:c r="AC60" s="9" t="str">
        <x:v>1</x:v>
      </x:c>
      <x:c r="AD60" s="13" t="n">
        <x:v>1</x:v>
      </x:c>
      <x:c r="AE60" s="9" t="str">
        <x:v>=</x:v>
      </x:c>
      <x:c r="AF60" s="9" t="str">
        <x:v>null</x:v>
      </x:c>
      <x:c r="AG60" s="9" t="str">
        <x:v>Ki</x:v>
      </x:c>
      <x:c r="AH60" s="9" t="str">
        <x:v>nM</x:v>
      </x:c>
      <x:c r="AI60" s="9" t="str">
        <x:v>null</x:v>
      </x:c>
      <x:c r="AJ60" s="11" t="n">
        <x:v>851.14</x:v>
      </x:c>
      <x:c r="AK60" s="9" t="str">
        <x:v>CHEMBL217</x:v>
      </x:c>
      <x:c r="AL60" s="9" t="str">
        <x:v>Homo sapiens</x:v>
      </x:c>
      <x:c r="AM60" s="9" t="str">
        <x:v>D(2) dopamine receptor</x:v>
      </x:c>
      <x:c r="AN60" s="9" t="str">
        <x:v>9606</x:v>
      </x:c>
      <x:c r="AO60" s="9" t="str">
        <x:v>null</x:v>
      </x:c>
      <x:c r="AP60" s="9" t="str">
        <x:v>null</x:v>
      </x:c>
      <x:c r="AQ60" s="9" t="str">
        <x:v>pKi</x:v>
      </x:c>
      <x:c r="AR60" s="9" t="str">
        <x:v>null</x:v>
      </x:c>
      <x:c r="AS60" s="9" t="str">
        <x:v>UO_0000065</x:v>
      </x:c>
      <x:c r="AT60" s="9" t="str">
        <x:v>null</x:v>
      </x:c>
      <x:c r="AU60" s="9" t="str">
        <x:v>6.07</x:v>
      </x:c>
      <x:c r="AV60" s="11" t="n">
        <x:v>0.00501</x:v>
      </x:c>
      <x:c r="AW60" s="9" t="str">
        <x:v>include</x:v>
      </x:c>
      <x:c r="AX60" s="9" t="str"/>
      <x:c r="AY60" s="11" t="n">
        <x:v>851.1380382023759</x:v>
      </x:c>
      <x:c r="AZ60" s="9" t="str">
        <x:v>source_reported_pKi</x:v>
      </x:c>
      <x:c r="BA60" s="11" t="n">
        <x:v>6.07</x:v>
      </x:c>
      <x:c r="BB60" s="9" t="str">
        <x:v>fd6095840b2b7cf376b0a0d8b10a2e6aba9a0a862519a0a76b7005c5aed7f5e7</x:v>
      </x:c>
      <x:c r="BC60" s="9" t="str">
        <x:v>BADZIIJBCNPURN-GCJKJVERSA-N</x:v>
      </x:c>
      <x:c r="BD60" s="9" t="str">
        <x:v>Cn1nccc1-c1nnc(SCCCN2CC[C@]3(C[C@@H]3c3ccc(C(F)(F)F)cc3)C2)n1C</x:v>
      </x:c>
      <x:c r="BE60" s="9" t="str">
        <x:v>Cn1nccc1-c1nnc(SCCCN2CCC3(CC3c3ccc(C(F)(F)F)cc3)C2)n1C</x:v>
      </x:c>
      <x:c r="BF60" s="9" t="str">
        <x:v>Cn1nccc1-c1nnc(SCCCN2CC[C@]3(C[C@@H]3c3ccc(C(F)(F)F)cc3)C2)n1C</x:v>
      </x:c>
      <x:c r="BG60" s="12" t="n">
        <x:v>-0.0000010010090756296108</x:v>
      </x:c>
      <x:c r="BH60" s="11" t="n">
        <x:v>6.069998998990925</x:v>
      </x:c>
      <x:c r="BI60" s="9" t="str">
        <x:v>c1ccc(C2CC23CCN(CCCSc2nnc(-c4ccn[nH]4)[nH]2)C3)cc1</x:v>
      </x:c>
      <x:c r="BJ60" s="13" t="n">
        <x:v>1</x:v>
      </x:c>
      <x:c r="BK60" s="11" t="n">
        <x:v>851.14</x:v>
      </x:c>
      <x:c r="BL60" s="12" t="n">
        <x:v>0.0019617976240624557</x:v>
      </x:c>
      <x:c r="BM60" s="9" t="str">
        <x:v>false</x:v>
      </x:c>
    </x:row>
    <x:row r="61" ht="51" customHeight="1">
      <x:c r="A61" s="14" t="str">
        <x:v>null</x:v>
      </x:c>
      <x:c r="B61" s="14" t="str">
        <x:v>null</x:v>
      </x:c>
      <x:c r="C61" s="14" t="str">
        <x:v>16670268</x:v>
      </x:c>
      <x:c r="D61" s="14" t="str">
        <x:v>[]</x:v>
      </x:c>
      <x:c r="E61" s="14" t="str">
        <x:v>CHEMBL3855278</x:v>
      </x:c>
      <x:c r="F61" s="14" t="str">
        <x:v>Displacement of [3H]-spiperone from human dopamine D2 receptor expressed in CHO-K1 cell membranes coexpressing Galpha16 after 120 mins by liquid scintillation counting</x:v>
      </x:c>
      <x:c r="G61" s="14" t="str">
        <x:v>B</x:v>
      </x:c>
      <x:c r="H61" s="14" t="str">
        <x:v>null</x:v>
      </x:c>
      <x:c r="I61" s="14" t="str">
        <x:v>null</x:v>
      </x:c>
      <x:c r="J61" s="14" t="str">
        <x:v>BAO_0000192</x:v>
      </x:c>
      <x:c r="K61" s="14" t="str">
        <x:v>BAO_0000219</x:v>
      </x:c>
      <x:c r="L61" s="14" t="str">
        <x:v>cell-based format</x:v>
      </x:c>
      <x:c r="M61" s="14" t="str">
        <x:v>Cc1cc(-c2nnc(SCCCN3CC[C@]4(C[C@@H]4c4ccc(C(F)(F)F)cc4)C3)n2C)on1</x:v>
      </x:c>
      <x:c r="N61" s="14" t="str">
        <x:v>null</x:v>
      </x:c>
      <x:c r="O61" s="14" t="str">
        <x:v>null</x:v>
      </x:c>
      <x:c r="P61" s="14" t="str">
        <x:v>CHEMBL3853329</x:v>
      </x:c>
      <x:c r="Q61" s="14" t="str">
        <x:v>J Med Chem</x:v>
      </x:c>
      <x:c r="R61" s="17" t="n">
        <x:v>2016</x:v>
      </x:c>
      <x:c r="S61" s="14" t="str">
        <x:v>{"bei":"13.15","le":"0.26","lle":"1.12","sei":"10.47"}</x:v>
      </x:c>
      <x:c r="T61" s="14" t="str">
        <x:v>null</x:v>
      </x:c>
      <x:c r="U61" s="14" t="str">
        <x:v>CHEMBL3978613</x:v>
      </x:c>
      <x:c r="V61" s="14" t="str">
        <x:v>null</x:v>
      </x:c>
      <x:c r="W61" s="14" t="str">
        <x:v>CHEMBL3978613</x:v>
      </x:c>
      <x:c r="X61" s="15" t="n">
        <x:v>6.28</x:v>
      </x:c>
      <x:c r="Y61" s="17" t="n">
        <x:v>0</x:v>
      </x:c>
      <x:c r="Z61" s="14" t="str">
        <x:v>http://www.openphacts.org/units/Nanomolar</x:v>
      </x:c>
      <x:c r="AA61" s="14" t="str">
        <x:v>2796832</x:v>
      </x:c>
      <x:c r="AB61" s="14" t="str">
        <x:v>=</x:v>
      </x:c>
      <x:c r="AC61" s="14" t="str">
        <x:v>1</x:v>
      </x:c>
      <x:c r="AD61" s="17" t="n">
        <x:v>1</x:v>
      </x:c>
      <x:c r="AE61" s="14" t="str">
        <x:v>=</x:v>
      </x:c>
      <x:c r="AF61" s="14" t="str">
        <x:v>null</x:v>
      </x:c>
      <x:c r="AG61" s="14" t="str">
        <x:v>Ki</x:v>
      </x:c>
      <x:c r="AH61" s="14" t="str">
        <x:v>nM</x:v>
      </x:c>
      <x:c r="AI61" s="14" t="str">
        <x:v>null</x:v>
      </x:c>
      <x:c r="AJ61" s="15" t="n">
        <x:v>524.81</x:v>
      </x:c>
      <x:c r="AK61" s="14" t="str">
        <x:v>CHEMBL217</x:v>
      </x:c>
      <x:c r="AL61" s="14" t="str">
        <x:v>Homo sapiens</x:v>
      </x:c>
      <x:c r="AM61" s="14" t="str">
        <x:v>D(2) dopamine receptor</x:v>
      </x:c>
      <x:c r="AN61" s="14" t="str">
        <x:v>9606</x:v>
      </x:c>
      <x:c r="AO61" s="14" t="str">
        <x:v>null</x:v>
      </x:c>
      <x:c r="AP61" s="14" t="str">
        <x:v>null</x:v>
      </x:c>
      <x:c r="AQ61" s="14" t="str">
        <x:v>pKi</x:v>
      </x:c>
      <x:c r="AR61" s="14" t="str">
        <x:v>null</x:v>
      </x:c>
      <x:c r="AS61" s="14" t="str">
        <x:v>UO_0000065</x:v>
      </x:c>
      <x:c r="AT61" s="14" t="str">
        <x:v>null</x:v>
      </x:c>
      <x:c r="AU61" s="14" t="str">
        <x:v>6.28</x:v>
      </x:c>
      <x:c r="AV61" s="15" t="n">
        <x:v>0.00501</x:v>
      </x:c>
      <x:c r="AW61" s="14" t="str">
        <x:v>include</x:v>
      </x:c>
      <x:c r="AX61" s="14" t="str"/>
      <x:c r="AY61" s="15" t="n">
        <x:v>524.8074602497722</x:v>
      </x:c>
      <x:c r="AZ61" s="14" t="str">
        <x:v>source_reported_pKi</x:v>
      </x:c>
      <x:c r="BA61" s="15" t="n">
        <x:v>6.28</x:v>
      </x:c>
      <x:c r="BB61" s="14" t="str">
        <x:v>5f14a541ce08ba6b745449e8d8616c2a694232f6494a1298bfc2d58a9ddb0526</x:v>
      </x:c>
      <x:c r="BC61" s="14" t="str">
        <x:v>TXEGIIUTZDNUKA-GCJKJVERSA-N</x:v>
      </x:c>
      <x:c r="BD61" s="14" t="str">
        <x:v>Cc1cc(-c2nnc(SCCCN3CC[C@]4(C[C@@H]4c4ccc(C(F)(F)F)cc4)C3)n2C)on1</x:v>
      </x:c>
      <x:c r="BE61" s="14" t="str">
        <x:v>Cc1cc(-c2nnc(SCCCN3CCC4(CC4c4ccc(C(F)(F)F)cc4)C3)n2C)on1</x:v>
      </x:c>
      <x:c r="BF61" s="14" t="str">
        <x:v>Cc1cc(-c2nnc(SCCCN3CC[C@]4(C[C@@H]4c4ccc(C(F)(F)F)cc4)C3)n2C)on1</x:v>
      </x:c>
      <x:c r="BG61" s="16" t="n">
        <x:v>-0.0000021017171514259303</x:v>
      </x:c>
      <x:c r="BH61" s="15" t="n">
        <x:v>6.279997898282849</x:v>
      </x:c>
      <x:c r="BI61" s="14" t="str">
        <x:v>c1ccc(C2CC23CCN(CCCSc2nnc(-c4ccno4)[nH]2)C3)cc1</x:v>
      </x:c>
      <x:c r="BJ61" s="17" t="n">
        <x:v>1</x:v>
      </x:c>
      <x:c r="BK61" s="15" t="n">
        <x:v>524.81</x:v>
      </x:c>
      <x:c r="BL61" s="16" t="n">
        <x:v>0.0025397502276973682</x:v>
      </x:c>
      <x:c r="BM61" s="14" t="str">
        <x:v>false</x:v>
      </x:c>
    </x:row>
    <x:row r="62" ht="51" customHeight="1">
      <x:c r="A62" s="9" t="str">
        <x:v>null</x:v>
      </x:c>
      <x:c r="B62" s="9" t="str">
        <x:v>null</x:v>
      </x:c>
      <x:c r="C62" s="9" t="str">
        <x:v>16670299</x:v>
      </x:c>
      <x:c r="D62" s="9" t="str">
        <x:v>[]</x:v>
      </x:c>
      <x:c r="E62" s="9" t="str">
        <x:v>CHEMBL3855278</x:v>
      </x:c>
      <x:c r="F62" s="9" t="str">
        <x:v>Displacement of [3H]-spiperone from human dopamine D2 receptor expressed in CHO-K1 cell membranes coexpressing Galpha16 after 120 mins by liquid scintillation counting</x:v>
      </x:c>
      <x:c r="G62" s="9" t="str">
        <x:v>B</x:v>
      </x:c>
      <x:c r="H62" s="9" t="str">
        <x:v>null</x:v>
      </x:c>
      <x:c r="I62" s="9" t="str">
        <x:v>null</x:v>
      </x:c>
      <x:c r="J62" s="9" t="str">
        <x:v>BAO_0000192</x:v>
      </x:c>
      <x:c r="K62" s="9" t="str">
        <x:v>BAO_0000219</x:v>
      </x:c>
      <x:c r="L62" s="9" t="str">
        <x:v>cell-based format</x:v>
      </x:c>
      <x:c r="M62" s="9" t="str">
        <x:v>Cn1c(SCCCN2CC[C@]3(C[C@@H]3c3ccc(C(F)(F)F)cc3)C2)nnc1-c1ccc(C(N)=O)cc1</x:v>
      </x:c>
      <x:c r="N62" s="9" t="str">
        <x:v>null</x:v>
      </x:c>
      <x:c r="O62" s="9" t="str">
        <x:v>null</x:v>
      </x:c>
      <x:c r="P62" s="9" t="str">
        <x:v>CHEMBL3853329</x:v>
      </x:c>
      <x:c r="Q62" s="9" t="str">
        <x:v>J Med Chem</x:v>
      </x:c>
      <x:c r="R62" s="13" t="n">
        <x:v>2016</x:v>
      </x:c>
      <x:c r="S62" s="9" t="str">
        <x:v>{"bei":"12.51","le":"0.24","lle":"1.49","sei":"8.37"}</x:v>
      </x:c>
      <x:c r="T62" s="9" t="str">
        <x:v>null</x:v>
      </x:c>
      <x:c r="U62" s="9" t="str">
        <x:v>CHEMBL3899125</x:v>
      </x:c>
      <x:c r="V62" s="9" t="str">
        <x:v>null</x:v>
      </x:c>
      <x:c r="W62" s="9" t="str">
        <x:v>CHEMBL3899125</x:v>
      </x:c>
      <x:c r="X62" s="11" t="n">
        <x:v>6.45</x:v>
      </x:c>
      <x:c r="Y62" s="13" t="n">
        <x:v>0</x:v>
      </x:c>
      <x:c r="Z62" s="9" t="str">
        <x:v>http://www.openphacts.org/units/Nanomolar</x:v>
      </x:c>
      <x:c r="AA62" s="9" t="str">
        <x:v>2796833</x:v>
      </x:c>
      <x:c r="AB62" s="9" t="str">
        <x:v>=</x:v>
      </x:c>
      <x:c r="AC62" s="9" t="str">
        <x:v>1</x:v>
      </x:c>
      <x:c r="AD62" s="13" t="n">
        <x:v>1</x:v>
      </x:c>
      <x:c r="AE62" s="9" t="str">
        <x:v>=</x:v>
      </x:c>
      <x:c r="AF62" s="9" t="str">
        <x:v>null</x:v>
      </x:c>
      <x:c r="AG62" s="9" t="str">
        <x:v>Ki</x:v>
      </x:c>
      <x:c r="AH62" s="9" t="str">
        <x:v>nM</x:v>
      </x:c>
      <x:c r="AI62" s="9" t="str">
        <x:v>null</x:v>
      </x:c>
      <x:c r="AJ62" s="11" t="n">
        <x:v>354.81</x:v>
      </x:c>
      <x:c r="AK62" s="9" t="str">
        <x:v>CHEMBL217</x:v>
      </x:c>
      <x:c r="AL62" s="9" t="str">
        <x:v>Homo sapiens</x:v>
      </x:c>
      <x:c r="AM62" s="9" t="str">
        <x:v>D(2) dopamine receptor</x:v>
      </x:c>
      <x:c r="AN62" s="9" t="str">
        <x:v>9606</x:v>
      </x:c>
      <x:c r="AO62" s="9" t="str">
        <x:v>null</x:v>
      </x:c>
      <x:c r="AP62" s="9" t="str">
        <x:v>null</x:v>
      </x:c>
      <x:c r="AQ62" s="9" t="str">
        <x:v>pKi</x:v>
      </x:c>
      <x:c r="AR62" s="9" t="str">
        <x:v>null</x:v>
      </x:c>
      <x:c r="AS62" s="9" t="str">
        <x:v>UO_0000065</x:v>
      </x:c>
      <x:c r="AT62" s="9" t="str">
        <x:v>null</x:v>
      </x:c>
      <x:c r="AU62" s="9" t="str">
        <x:v>6.45</x:v>
      </x:c>
      <x:c r="AV62" s="11" t="n">
        <x:v>0.00501</x:v>
      </x:c>
      <x:c r="AW62" s="9" t="str">
        <x:v>include</x:v>
      </x:c>
      <x:c r="AX62" s="9" t="str"/>
      <x:c r="AY62" s="11" t="n">
        <x:v>354.8133892335753</x:v>
      </x:c>
      <x:c r="AZ62" s="9" t="str">
        <x:v>source_reported_pKi</x:v>
      </x:c>
      <x:c r="BA62" s="11" t="n">
        <x:v>6.45</x:v>
      </x:c>
      <x:c r="BB62" s="9" t="str">
        <x:v>0635ef682e930ef699a39956879b226f7593a360c4a32b6808aaca97ff220a17</x:v>
      </x:c>
      <x:c r="BC62" s="9" t="str">
        <x:v>DGRHJZMAQQIHDX-BWKNWUBXSA-N</x:v>
      </x:c>
      <x:c r="BD62" s="9" t="str">
        <x:v>Cn1c(SCCCN2CC[C@]3(C[C@@H]3c3ccc(C(F)(F)F)cc3)C2)nnc1-c1ccc(C(N)=O)cc1</x:v>
      </x:c>
      <x:c r="BE62" s="9" t="str">
        <x:v>Cn1c(SCCCN2CCC3(CC3c3ccc(C(F)(F)F)cc3)C2)nnc1-c1ccc(C(N)=O)cc1</x:v>
      </x:c>
      <x:c r="BF62" s="9" t="str">
        <x:v>Cn1c(SCCCN2CC[C@]3(C[C@@H]3c3ccc(C(F)(F)F)cc3)C2)nnc1-c1ccc(C(N)=O)cc1</x:v>
      </x:c>
      <x:c r="BG62" s="12" t="n">
        <x:v>0.000004148469348486117</x:v>
      </x:c>
      <x:c r="BH62" s="11" t="n">
        <x:v>6.450004148469349</x:v>
      </x:c>
      <x:c r="BI62" s="9" t="str">
        <x:v>c1ccc(-c2nnc(SCCCN3CCC4(CC4c4ccccc4)C3)[nH]2)cc1</x:v>
      </x:c>
      <x:c r="BJ62" s="13" t="n">
        <x:v>1</x:v>
      </x:c>
      <x:c r="BK62" s="11" t="n">
        <x:v>354.81</x:v>
      </x:c>
      <x:c r="BL62" s="12" t="n">
        <x:v>-0.0033892335753193947</x:v>
      </x:c>
      <x:c r="BM62" s="9" t="str">
        <x:v>false</x:v>
      </x:c>
    </x:row>
    <x:row r="63" ht="51" customHeight="1">
      <x:c r="A63" s="14" t="str">
        <x:v>null</x:v>
      </x:c>
      <x:c r="B63" s="14" t="str">
        <x:v>null</x:v>
      </x:c>
      <x:c r="C63" s="14" t="str">
        <x:v>16670300</x:v>
      </x:c>
      <x:c r="D63" s="14" t="str">
        <x:v>[]</x:v>
      </x:c>
      <x:c r="E63" s="14" t="str">
        <x:v>CHEMBL3855278</x:v>
      </x:c>
      <x:c r="F63" s="14" t="str">
        <x:v>Displacement of [3H]-spiperone from human dopamine D2 receptor expressed in CHO-K1 cell membranes coexpressing Galpha16 after 120 mins by liquid scintillation counting</x:v>
      </x:c>
      <x:c r="G63" s="14" t="str">
        <x:v>B</x:v>
      </x:c>
      <x:c r="H63" s="14" t="str">
        <x:v>null</x:v>
      </x:c>
      <x:c r="I63" s="14" t="str">
        <x:v>null</x:v>
      </x:c>
      <x:c r="J63" s="14" t="str">
        <x:v>BAO_0000192</x:v>
      </x:c>
      <x:c r="K63" s="14" t="str">
        <x:v>BAO_0000219</x:v>
      </x:c>
      <x:c r="L63" s="14" t="str">
        <x:v>cell-based format</x:v>
      </x:c>
      <x:c r="M63" s="14" t="str">
        <x:v>Cn1c(SCCCN2CC[C@]3(C[C@@H]3c3ccc(C(F)(F)F)cc3)C2)nnc1-c1cccc(C(N)=O)c1</x:v>
      </x:c>
      <x:c r="N63" s="14" t="str">
        <x:v>null</x:v>
      </x:c>
      <x:c r="O63" s="14" t="str">
        <x:v>null</x:v>
      </x:c>
      <x:c r="P63" s="14" t="str">
        <x:v>CHEMBL3853329</x:v>
      </x:c>
      <x:c r="Q63" s="14" t="str">
        <x:v>J Med Chem</x:v>
      </x:c>
      <x:c r="R63" s="17" t="n">
        <x:v>2016</x:v>
      </x:c>
      <x:c r="S63" s="14" t="str">
        <x:v>{"bei":"12.02","le":"0.24","lle":"1.24","sei":"8.05"}</x:v>
      </x:c>
      <x:c r="T63" s="14" t="str">
        <x:v>null</x:v>
      </x:c>
      <x:c r="U63" s="14" t="str">
        <x:v>CHEMBL3970323</x:v>
      </x:c>
      <x:c r="V63" s="14" t="str">
        <x:v>null</x:v>
      </x:c>
      <x:c r="W63" s="14" t="str">
        <x:v>CHEMBL3970323</x:v>
      </x:c>
      <x:c r="X63" s="15" t="n">
        <x:v>6.2</x:v>
      </x:c>
      <x:c r="Y63" s="17" t="n">
        <x:v>0</x:v>
      </x:c>
      <x:c r="Z63" s="14" t="str">
        <x:v>http://www.openphacts.org/units/Nanomolar</x:v>
      </x:c>
      <x:c r="AA63" s="14" t="str">
        <x:v>2796834</x:v>
      </x:c>
      <x:c r="AB63" s="14" t="str">
        <x:v>=</x:v>
      </x:c>
      <x:c r="AC63" s="14" t="str">
        <x:v>1</x:v>
      </x:c>
      <x:c r="AD63" s="17" t="n">
        <x:v>1</x:v>
      </x:c>
      <x:c r="AE63" s="14" t="str">
        <x:v>=</x:v>
      </x:c>
      <x:c r="AF63" s="14" t="str">
        <x:v>null</x:v>
      </x:c>
      <x:c r="AG63" s="14" t="str">
        <x:v>Ki</x:v>
      </x:c>
      <x:c r="AH63" s="14" t="str">
        <x:v>nM</x:v>
      </x:c>
      <x:c r="AI63" s="14" t="str">
        <x:v>null</x:v>
      </x:c>
      <x:c r="AJ63" s="15" t="n">
        <x:v>630.96</x:v>
      </x:c>
      <x:c r="AK63" s="14" t="str">
        <x:v>CHEMBL217</x:v>
      </x:c>
      <x:c r="AL63" s="14" t="str">
        <x:v>Homo sapiens</x:v>
      </x:c>
      <x:c r="AM63" s="14" t="str">
        <x:v>D(2) dopamine receptor</x:v>
      </x:c>
      <x:c r="AN63" s="14" t="str">
        <x:v>9606</x:v>
      </x:c>
      <x:c r="AO63" s="14" t="str">
        <x:v>null</x:v>
      </x:c>
      <x:c r="AP63" s="14" t="str">
        <x:v>null</x:v>
      </x:c>
      <x:c r="AQ63" s="14" t="str">
        <x:v>pKi</x:v>
      </x:c>
      <x:c r="AR63" s="14" t="str">
        <x:v>null</x:v>
      </x:c>
      <x:c r="AS63" s="14" t="str">
        <x:v>UO_0000065</x:v>
      </x:c>
      <x:c r="AT63" s="14" t="str">
        <x:v>null</x:v>
      </x:c>
      <x:c r="AU63" s="14" t="str">
        <x:v>6.2</x:v>
      </x:c>
      <x:c r="AV63" s="15" t="n">
        <x:v>0.00501</x:v>
      </x:c>
      <x:c r="AW63" s="14" t="str">
        <x:v>include</x:v>
      </x:c>
      <x:c r="AX63" s="14" t="str"/>
      <x:c r="AY63" s="15" t="n">
        <x:v>630.957344480193</x:v>
      </x:c>
      <x:c r="AZ63" s="14" t="str">
        <x:v>source_reported_pKi</x:v>
      </x:c>
      <x:c r="BA63" s="15" t="n">
        <x:v>6.2</x:v>
      </x:c>
      <x:c r="BB63" s="14" t="str">
        <x:v>78994a25e5beb7a4cc27ba58dc555a71f898cf81e548d21edd8c2f1a6b93ca62</x:v>
      </x:c>
      <x:c r="BC63" s="14" t="str">
        <x:v>XUTJSHVGYIHURB-BWKNWUBXSA-N</x:v>
      </x:c>
      <x:c r="BD63" s="14" t="str">
        <x:v>Cn1c(SCCCN2CC[C@]3(C[C@@H]3c3ccc(C(F)(F)F)cc3)C2)nnc1-c1cccc(C(N)=O)c1</x:v>
      </x:c>
      <x:c r="BE63" s="14" t="str">
        <x:v>Cn1c(SCCCN2CCC3(CC3c3ccc(C(F)(F)F)cc3)C2)nnc1-c1cccc(C(N)=O)c1</x:v>
      </x:c>
      <x:c r="BF63" s="14" t="str">
        <x:v>Cn1c(SCCCN2CC[C@]3(C[C@@H]3c3ccc(C(F)(F)F)cc3)C2)nnc1-c1cccc(C(N)=O)c1</x:v>
      </x:c>
      <x:c r="BG63" s="16" t="n">
        <x:v>-0.0000018278179689801277</x:v>
      </x:c>
      <x:c r="BH63" s="15" t="n">
        <x:v>6.199998172182031</x:v>
      </x:c>
      <x:c r="BI63" s="14" t="str">
        <x:v>c1ccc(-c2nnc(SCCCN3CCC4(CC4c4ccccc4)C3)[nH]2)cc1</x:v>
      </x:c>
      <x:c r="BJ63" s="17" t="n">
        <x:v>1</x:v>
      </x:c>
      <x:c r="BK63" s="15" t="n">
        <x:v>630.96</x:v>
      </x:c>
      <x:c r="BL63" s="16" t="n">
        <x:v>0.002655519807035489</x:v>
      </x:c>
      <x:c r="BM63" s="14" t="str">
        <x:v>false</x:v>
      </x:c>
    </x:row>
    <x:row r="64" ht="51" customHeight="1">
      <x:c r="A64" s="9" t="str">
        <x:v>null</x:v>
      </x:c>
      <x:c r="B64" s="9" t="str">
        <x:v>null</x:v>
      </x:c>
      <x:c r="C64" s="9" t="str">
        <x:v>16670301</x:v>
      </x:c>
      <x:c r="D64" s="9" t="str">
        <x:v>[]</x:v>
      </x:c>
      <x:c r="E64" s="9" t="str">
        <x:v>CHEMBL3855278</x:v>
      </x:c>
      <x:c r="F64" s="9" t="str">
        <x:v>Displacement of [3H]-spiperone from human dopamine D2 receptor expressed in CHO-K1 cell membranes coexpressing Galpha16 after 120 mins by liquid scintillation counting</x:v>
      </x:c>
      <x:c r="G64" s="9" t="str">
        <x:v>B</x:v>
      </x:c>
      <x:c r="H64" s="9" t="str">
        <x:v>null</x:v>
      </x:c>
      <x:c r="I64" s="9" t="str">
        <x:v>null</x:v>
      </x:c>
      <x:c r="J64" s="9" t="str">
        <x:v>BAO_0000192</x:v>
      </x:c>
      <x:c r="K64" s="9" t="str">
        <x:v>BAO_0000219</x:v>
      </x:c>
      <x:c r="L64" s="9" t="str">
        <x:v>cell-based format</x:v>
      </x:c>
      <x:c r="M64" s="9" t="str">
        <x:v>Cn1c(SCCCN2CC[C@]3(C[C@@H]3c3ccc(C(F)(F)F)cc3)C2)nnc1-c1ccccc1C(N)=O</x:v>
      </x:c>
      <x:c r="N64" s="9" t="str">
        <x:v>null</x:v>
      </x:c>
      <x:c r="O64" s="9" t="str">
        <x:v>null</x:v>
      </x:c>
      <x:c r="P64" s="9" t="str">
        <x:v>CHEMBL3853329</x:v>
      </x:c>
      <x:c r="Q64" s="9" t="str">
        <x:v>J Med Chem</x:v>
      </x:c>
      <x:c r="R64" s="13" t="n">
        <x:v>2016</x:v>
      </x:c>
      <x:c r="S64" s="9" t="str">
        <x:v>{"bei":"14.35","le":"0.28","lle":"2.44","sei":"9.61"}</x:v>
      </x:c>
      <x:c r="T64" s="9" t="str">
        <x:v>null</x:v>
      </x:c>
      <x:c r="U64" s="9" t="str">
        <x:v>CHEMBL3890178</x:v>
      </x:c>
      <x:c r="V64" s="9" t="str">
        <x:v>null</x:v>
      </x:c>
      <x:c r="W64" s="9" t="str">
        <x:v>CHEMBL3890178</x:v>
      </x:c>
      <x:c r="X64" s="11" t="n">
        <x:v>7.4</x:v>
      </x:c>
      <x:c r="Y64" s="13" t="n">
        <x:v>0</x:v>
      </x:c>
      <x:c r="Z64" s="9" t="str">
        <x:v>http://www.openphacts.org/units/Nanomolar</x:v>
      </x:c>
      <x:c r="AA64" s="9" t="str">
        <x:v>2796835</x:v>
      </x:c>
      <x:c r="AB64" s="9" t="str">
        <x:v>=</x:v>
      </x:c>
      <x:c r="AC64" s="9" t="str">
        <x:v>1</x:v>
      </x:c>
      <x:c r="AD64" s="13" t="n">
        <x:v>1</x:v>
      </x:c>
      <x:c r="AE64" s="9" t="str">
        <x:v>=</x:v>
      </x:c>
      <x:c r="AF64" s="9" t="str">
        <x:v>null</x:v>
      </x:c>
      <x:c r="AG64" s="9" t="str">
        <x:v>Ki</x:v>
      </x:c>
      <x:c r="AH64" s="9" t="str">
        <x:v>nM</x:v>
      </x:c>
      <x:c r="AI64" s="9" t="str">
        <x:v>null</x:v>
      </x:c>
      <x:c r="AJ64" s="11" t="n">
        <x:v>39.81</x:v>
      </x:c>
      <x:c r="AK64" s="9" t="str">
        <x:v>CHEMBL217</x:v>
      </x:c>
      <x:c r="AL64" s="9" t="str">
        <x:v>Homo sapiens</x:v>
      </x:c>
      <x:c r="AM64" s="9" t="str">
        <x:v>D(2) dopamine receptor</x:v>
      </x:c>
      <x:c r="AN64" s="9" t="str">
        <x:v>9606</x:v>
      </x:c>
      <x:c r="AO64" s="9" t="str">
        <x:v>null</x:v>
      </x:c>
      <x:c r="AP64" s="9" t="str">
        <x:v>null</x:v>
      </x:c>
      <x:c r="AQ64" s="9" t="str">
        <x:v>pKi</x:v>
      </x:c>
      <x:c r="AR64" s="9" t="str">
        <x:v>null</x:v>
      </x:c>
      <x:c r="AS64" s="9" t="str">
        <x:v>UO_0000065</x:v>
      </x:c>
      <x:c r="AT64" s="9" t="str">
        <x:v>null</x:v>
      </x:c>
      <x:c r="AU64" s="9" t="str">
        <x:v>7.4</x:v>
      </x:c>
      <x:c r="AV64" s="11" t="n">
        <x:v>0.00501</x:v>
      </x:c>
      <x:c r="AW64" s="9" t="str">
        <x:v>include</x:v>
      </x:c>
      <x:c r="AX64" s="9" t="str"/>
      <x:c r="AY64" s="11" t="n">
        <x:v>39.81071705534969</x:v>
      </x:c>
      <x:c r="AZ64" s="9" t="str">
        <x:v>source_reported_pKi</x:v>
      </x:c>
      <x:c r="BA64" s="11" t="n">
        <x:v>7.4</x:v>
      </x:c>
      <x:c r="BB64" s="9" t="str">
        <x:v>6df6013354923bfff948bd55095e26cbd39551aa6c0b195764e3d2d157e3faea</x:v>
      </x:c>
      <x:c r="BC64" s="9" t="str">
        <x:v>PGNPMTAEFDKCKN-BWKNWUBXSA-N</x:v>
      </x:c>
      <x:c r="BD64" s="9" t="str">
        <x:v>Cn1c(SCCCN2CC[C@]3(C[C@@H]3c3ccc(C(F)(F)F)cc3)C2)nnc1-c1ccccc1C(N)=O</x:v>
      </x:c>
      <x:c r="BE64" s="9" t="str">
        <x:v>Cn1c(SCCCN2CCC3(CC3c3ccc(C(F)(F)F)cc3)C2)nnc1-c1ccccc1C(N)=O</x:v>
      </x:c>
      <x:c r="BF64" s="9" t="str">
        <x:v>Cn1c(SCCCN2CC[C@]3(C[C@@H]3c3ccc(C(F)(F)F)cc3)C2)nnc1-c1ccccc1C(N)=O</x:v>
      </x:c>
      <x:c r="BG64" s="12" t="n">
        <x:v>0.000007822415901692636</x:v>
      </x:c>
      <x:c r="BH64" s="11" t="n">
        <x:v>7.400007822415902</x:v>
      </x:c>
      <x:c r="BI64" s="9" t="str">
        <x:v>c1ccc(-c2nnc(SCCCN3CCC4(CC4c4ccccc4)C3)[nH]2)cc1</x:v>
      </x:c>
      <x:c r="BJ64" s="13" t="n">
        <x:v>1</x:v>
      </x:c>
      <x:c r="BK64" s="11" t="n">
        <x:v>39.81</x:v>
      </x:c>
      <x:c r="BL64" s="12" t="n">
        <x:v>-0.000717055349689133</x:v>
      </x:c>
      <x:c r="BM64" s="9" t="str">
        <x:v>false</x:v>
      </x:c>
    </x:row>
    <x:row r="65" ht="51" customHeight="1">
      <x:c r="A65" s="14" t="str">
        <x:v>null</x:v>
      </x:c>
      <x:c r="B65" s="14" t="str">
        <x:v>null</x:v>
      </x:c>
      <x:c r="C65" s="14" t="str">
        <x:v>16670302</x:v>
      </x:c>
      <x:c r="D65" s="14" t="str">
        <x:v>[]</x:v>
      </x:c>
      <x:c r="E65" s="14" t="str">
        <x:v>CHEMBL3855278</x:v>
      </x:c>
      <x:c r="F65" s="14" t="str">
        <x:v>Displacement of [3H]-spiperone from human dopamine D2 receptor expressed in CHO-K1 cell membranes coexpressing Galpha16 after 120 mins by liquid scintillation counting</x:v>
      </x:c>
      <x:c r="G65" s="14" t="str">
        <x:v>B</x:v>
      </x:c>
      <x:c r="H65" s="14" t="str">
        <x:v>null</x:v>
      </x:c>
      <x:c r="I65" s="14" t="str">
        <x:v>null</x:v>
      </x:c>
      <x:c r="J65" s="14" t="str">
        <x:v>BAO_0000192</x:v>
      </x:c>
      <x:c r="K65" s="14" t="str">
        <x:v>BAO_0000219</x:v>
      </x:c>
      <x:c r="L65" s="14" t="str">
        <x:v>cell-based format</x:v>
      </x:c>
      <x:c r="M65" s="14" t="str">
        <x:v>Cn1c(SCCCN2CC[C@]3(C[C@@H]3c3ccc(C(F)(F)F)cc3)C2)nnc1-c1ccc(S(N)(=O)=O)cc1</x:v>
      </x:c>
      <x:c r="N65" s="14" t="str">
        <x:v>null</x:v>
      </x:c>
      <x:c r="O65" s="14" t="str">
        <x:v>null</x:v>
      </x:c>
      <x:c r="P65" s="14" t="str">
        <x:v>CHEMBL3853329</x:v>
      </x:c>
      <x:c r="Q65" s="14" t="str">
        <x:v>J Med Chem</x:v>
      </x:c>
      <x:c r="R65" s="17" t="n">
        <x:v>2016</x:v>
      </x:c>
      <x:c r="S65" s="14" t="str">
        <x:v>{"bei":"12.07","le":"0.25","lle":"2.15","sei":"7.08"}</x:v>
      </x:c>
      <x:c r="T65" s="14" t="str">
        <x:v>null</x:v>
      </x:c>
      <x:c r="U65" s="14" t="str">
        <x:v>CHEMBL3959240</x:v>
      </x:c>
      <x:c r="V65" s="14" t="str">
        <x:v>null</x:v>
      </x:c>
      <x:c r="W65" s="14" t="str">
        <x:v>CHEMBL3959240</x:v>
      </x:c>
      <x:c r="X65" s="15" t="n">
        <x:v>6.66</x:v>
      </x:c>
      <x:c r="Y65" s="17" t="n">
        <x:v>0</x:v>
      </x:c>
      <x:c r="Z65" s="14" t="str">
        <x:v>http://www.openphacts.org/units/Nanomolar</x:v>
      </x:c>
      <x:c r="AA65" s="14" t="str">
        <x:v>2796836</x:v>
      </x:c>
      <x:c r="AB65" s="14" t="str">
        <x:v>=</x:v>
      </x:c>
      <x:c r="AC65" s="14" t="str">
        <x:v>1</x:v>
      </x:c>
      <x:c r="AD65" s="17" t="n">
        <x:v>1</x:v>
      </x:c>
      <x:c r="AE65" s="14" t="str">
        <x:v>=</x:v>
      </x:c>
      <x:c r="AF65" s="14" t="str">
        <x:v>null</x:v>
      </x:c>
      <x:c r="AG65" s="14" t="str">
        <x:v>Ki</x:v>
      </x:c>
      <x:c r="AH65" s="14" t="str">
        <x:v>nM</x:v>
      </x:c>
      <x:c r="AI65" s="14" t="str">
        <x:v>null</x:v>
      </x:c>
      <x:c r="AJ65" s="15" t="n">
        <x:v>218.78</x:v>
      </x:c>
      <x:c r="AK65" s="14" t="str">
        <x:v>CHEMBL217</x:v>
      </x:c>
      <x:c r="AL65" s="14" t="str">
        <x:v>Homo sapiens</x:v>
      </x:c>
      <x:c r="AM65" s="14" t="str">
        <x:v>D(2) dopamine receptor</x:v>
      </x:c>
      <x:c r="AN65" s="14" t="str">
        <x:v>9606</x:v>
      </x:c>
      <x:c r="AO65" s="14" t="str">
        <x:v>null</x:v>
      </x:c>
      <x:c r="AP65" s="14" t="str">
        <x:v>null</x:v>
      </x:c>
      <x:c r="AQ65" s="14" t="str">
        <x:v>pKi</x:v>
      </x:c>
      <x:c r="AR65" s="14" t="str">
        <x:v>null</x:v>
      </x:c>
      <x:c r="AS65" s="14" t="str">
        <x:v>UO_0000065</x:v>
      </x:c>
      <x:c r="AT65" s="14" t="str">
        <x:v>null</x:v>
      </x:c>
      <x:c r="AU65" s="14" t="str">
        <x:v>6.66</x:v>
      </x:c>
      <x:c r="AV65" s="15" t="n">
        <x:v>0.00501</x:v>
      </x:c>
      <x:c r="AW65" s="14" t="str">
        <x:v>include</x:v>
      </x:c>
      <x:c r="AX65" s="14" t="str"/>
      <x:c r="AY65" s="15" t="n">
        <x:v>218.77616239495518</x:v>
      </x:c>
      <x:c r="AZ65" s="14" t="str">
        <x:v>source_reported_pKi</x:v>
      </x:c>
      <x:c r="BA65" s="15" t="n">
        <x:v>6.66</x:v>
      </x:c>
      <x:c r="BB65" s="14" t="str">
        <x:v>31bbc93187b250370f93697653530b24c8b94d8964f0779c6710d0ecab131834</x:v>
      </x:c>
      <x:c r="BC65" s="14" t="str">
        <x:v>HZISGJVOPZSKRZ-QPPBQGQZSA-N</x:v>
      </x:c>
      <x:c r="BD65" s="14" t="str">
        <x:v>Cn1c(SCCCN2CC[C@]3(C[C@@H]3c3ccc(C(F)(F)F)cc3)C2)nnc1-c1ccc(S(N)(=O)=O)cc1</x:v>
      </x:c>
      <x:c r="BE65" s="14" t="str">
        <x:v>Cn1c(SCCCN2CCC3(CC3c3ccc(C(F)(F)F)cc3)C2)nnc1-c1ccc(S(N)(=O)=O)cc1</x:v>
      </x:c>
      <x:c r="BF65" s="14" t="str">
        <x:v>Cn1c(SCCCN2CC[C@]3(C[C@@H]3c3ccc(C(F)(F)F)cc3)C2)nnc1-c1ccc(S(N)(=O)=O)cc1</x:v>
      </x:c>
      <x:c r="BG65" s="16" t="n">
        <x:v>-0.000007617996672593108</x:v>
      </x:c>
      <x:c r="BH65" s="15" t="n">
        <x:v>6.6599923820033275</x:v>
      </x:c>
      <x:c r="BI65" s="14" t="str">
        <x:v>c1ccc(-c2nnc(SCCCN3CCC4(CC4c4ccccc4)C3)[nH]2)cc1</x:v>
      </x:c>
      <x:c r="BJ65" s="17" t="n">
        <x:v>1</x:v>
      </x:c>
      <x:c r="BK65" s="15" t="n">
        <x:v>218.78</x:v>
      </x:c>
      <x:c r="BL65" s="16" t="n">
        <x:v>0.003837605044822112</x:v>
      </x:c>
      <x:c r="BM65" s="14" t="str">
        <x:v>false</x:v>
      </x:c>
    </x:row>
    <x:row r="66" ht="51" customHeight="1">
      <x:c r="A66" s="9" t="str">
        <x:v>null</x:v>
      </x:c>
      <x:c r="B66" s="9" t="str">
        <x:v>null</x:v>
      </x:c>
      <x:c r="C66" s="9" t="str">
        <x:v>16670303</x:v>
      </x:c>
      <x:c r="D66" s="9" t="str">
        <x:v>[]</x:v>
      </x:c>
      <x:c r="E66" s="9" t="str">
        <x:v>CHEMBL3855278</x:v>
      </x:c>
      <x:c r="F66" s="9" t="str">
        <x:v>Displacement of [3H]-spiperone from human dopamine D2 receptor expressed in CHO-K1 cell membranes coexpressing Galpha16 after 120 mins by liquid scintillation counting</x:v>
      </x:c>
      <x:c r="G66" s="9" t="str">
        <x:v>B</x:v>
      </x:c>
      <x:c r="H66" s="9" t="str">
        <x:v>null</x:v>
      </x:c>
      <x:c r="I66" s="9" t="str">
        <x:v>null</x:v>
      </x:c>
      <x:c r="J66" s="9" t="str">
        <x:v>BAO_0000192</x:v>
      </x:c>
      <x:c r="K66" s="9" t="str">
        <x:v>BAO_0000219</x:v>
      </x:c>
      <x:c r="L66" s="9" t="str">
        <x:v>cell-based format</x:v>
      </x:c>
      <x:c r="M66" s="9" t="str">
        <x:v>CC(=O)c1ccc(-c2nnc(SCCCN3CC[C@]4(C[C@@H]4c4ccc(C(F)(F)F)cc4)C3)n2C)cc1</x:v>
      </x:c>
      <x:c r="N66" s="9" t="str">
        <x:v>null</x:v>
      </x:c>
      <x:c r="O66" s="9" t="str">
        <x:v>null</x:v>
      </x:c>
      <x:c r="P66" s="9" t="str">
        <x:v>CHEMBL3853329</x:v>
      </x:c>
      <x:c r="Q66" s="9" t="str">
        <x:v>J Med Chem</x:v>
      </x:c>
      <x:c r="R66" s="13" t="n">
        <x:v>2016</x:v>
      </x:c>
      <x:c r="S66" s="9" t="str">
        <x:v>{"bei":"12.34","le":"0.24","lle":"0.28","sei":"12.45"}</x:v>
      </x:c>
      <x:c r="T66" s="9" t="str">
        <x:v>null</x:v>
      </x:c>
      <x:c r="U66" s="9" t="str">
        <x:v>CHEMBL3979523</x:v>
      </x:c>
      <x:c r="V66" s="9" t="str">
        <x:v>null</x:v>
      </x:c>
      <x:c r="W66" s="9" t="str">
        <x:v>CHEMBL3979523</x:v>
      </x:c>
      <x:c r="X66" s="11" t="n">
        <x:v>6.35</x:v>
      </x:c>
      <x:c r="Y66" s="13" t="n">
        <x:v>0</x:v>
      </x:c>
      <x:c r="Z66" s="9" t="str">
        <x:v>http://www.openphacts.org/units/Nanomolar</x:v>
      </x:c>
      <x:c r="AA66" s="9" t="str">
        <x:v>2796837</x:v>
      </x:c>
      <x:c r="AB66" s="9" t="str">
        <x:v>=</x:v>
      </x:c>
      <x:c r="AC66" s="9" t="str">
        <x:v>1</x:v>
      </x:c>
      <x:c r="AD66" s="13" t="n">
        <x:v>1</x:v>
      </x:c>
      <x:c r="AE66" s="9" t="str">
        <x:v>=</x:v>
      </x:c>
      <x:c r="AF66" s="9" t="str">
        <x:v>null</x:v>
      </x:c>
      <x:c r="AG66" s="9" t="str">
        <x:v>Ki</x:v>
      </x:c>
      <x:c r="AH66" s="9" t="str">
        <x:v>nM</x:v>
      </x:c>
      <x:c r="AI66" s="9" t="str">
        <x:v>null</x:v>
      </x:c>
      <x:c r="AJ66" s="11" t="n">
        <x:v>446.68</x:v>
      </x:c>
      <x:c r="AK66" s="9" t="str">
        <x:v>CHEMBL217</x:v>
      </x:c>
      <x:c r="AL66" s="9" t="str">
        <x:v>Homo sapiens</x:v>
      </x:c>
      <x:c r="AM66" s="9" t="str">
        <x:v>D(2) dopamine receptor</x:v>
      </x:c>
      <x:c r="AN66" s="9" t="str">
        <x:v>9606</x:v>
      </x:c>
      <x:c r="AO66" s="9" t="str">
        <x:v>null</x:v>
      </x:c>
      <x:c r="AP66" s="9" t="str">
        <x:v>null</x:v>
      </x:c>
      <x:c r="AQ66" s="9" t="str">
        <x:v>pKi</x:v>
      </x:c>
      <x:c r="AR66" s="9" t="str">
        <x:v>null</x:v>
      </x:c>
      <x:c r="AS66" s="9" t="str">
        <x:v>UO_0000065</x:v>
      </x:c>
      <x:c r="AT66" s="9" t="str">
        <x:v>null</x:v>
      </x:c>
      <x:c r="AU66" s="9" t="str">
        <x:v>6.35</x:v>
      </x:c>
      <x:c r="AV66" s="11" t="n">
        <x:v>0.00501</x:v>
      </x:c>
      <x:c r="AW66" s="9" t="str">
        <x:v>include</x:v>
      </x:c>
      <x:c r="AX66" s="9" t="str"/>
      <x:c r="AY66" s="11" t="n">
        <x:v>446.6835921509635</x:v>
      </x:c>
      <x:c r="AZ66" s="9" t="str">
        <x:v>source_reported_pKi</x:v>
      </x:c>
      <x:c r="BA66" s="11" t="n">
        <x:v>6.35</x:v>
      </x:c>
      <x:c r="BB66" s="9" t="str">
        <x:v>937a5f4a510a2f6c5c20fbc83a11f4d7740ba04666162f3995b908ecc66e0f62</x:v>
      </x:c>
      <x:c r="BC66" s="9" t="str">
        <x:v>HMTJKRFRBLRBNL-BVAGGSTKSA-N</x:v>
      </x:c>
      <x:c r="BD66" s="9" t="str">
        <x:v>CC(=O)c1ccc(-c2nnc(SCCCN3CC[C@]4(C[C@@H]4c4ccc(C(F)(F)F)cc4)C3)n2C)cc1</x:v>
      </x:c>
      <x:c r="BE66" s="9" t="str">
        <x:v>CC(=O)c1ccc(-c2nnc(SCCCN3CCC4(CC4c4ccc(C(F)(F)F)cc4)C3)n2C)cc1</x:v>
      </x:c>
      <x:c r="BF66" s="9" t="str">
        <x:v>CC(=O)c1ccc(-c2nnc(SCCCN3CC[C@]4(C[C@@H]4c4ccc(C(F)(F)F)cc4)C3)n2C)cc1</x:v>
      </x:c>
      <x:c r="BG66" s="12" t="n">
        <x:v>0.000003492533958926458</x:v>
      </x:c>
      <x:c r="BH66" s="11" t="n">
        <x:v>6.350003492533959</x:v>
      </x:c>
      <x:c r="BI66" s="9" t="str">
        <x:v>c1ccc(-c2nnc(SCCCN3CCC4(CC4c4ccccc4)C3)[nH]2)cc1</x:v>
      </x:c>
      <x:c r="BJ66" s="13" t="n">
        <x:v>1</x:v>
      </x:c>
      <x:c r="BK66" s="11" t="n">
        <x:v>446.68</x:v>
      </x:c>
      <x:c r="BL66" s="12" t="n">
        <x:v>-0.0035921509634704307</x:v>
      </x:c>
      <x:c r="BM66" s="9" t="str">
        <x:v>false</x:v>
      </x:c>
    </x:row>
    <x:row r="67" ht="51" customHeight="1">
      <x:c r="A67" s="14" t="str">
        <x:v>null</x:v>
      </x:c>
      <x:c r="B67" s="14" t="str">
        <x:v>null</x:v>
      </x:c>
      <x:c r="C67" s="14" t="str">
        <x:v>16670304</x:v>
      </x:c>
      <x:c r="D67" s="14" t="str">
        <x:v>[]</x:v>
      </x:c>
      <x:c r="E67" s="14" t="str">
        <x:v>CHEMBL3855278</x:v>
      </x:c>
      <x:c r="F67" s="14" t="str">
        <x:v>Displacement of [3H]-spiperone from human dopamine D2 receptor expressed in CHO-K1 cell membranes coexpressing Galpha16 after 120 mins by liquid scintillation counting</x:v>
      </x:c>
      <x:c r="G67" s="14" t="str">
        <x:v>B</x:v>
      </x:c>
      <x:c r="H67" s="14" t="str">
        <x:v>null</x:v>
      </x:c>
      <x:c r="I67" s="14" t="str">
        <x:v>null</x:v>
      </x:c>
      <x:c r="J67" s="14" t="str">
        <x:v>BAO_0000192</x:v>
      </x:c>
      <x:c r="K67" s="14" t="str">
        <x:v>BAO_0000219</x:v>
      </x:c>
      <x:c r="L67" s="14" t="str">
        <x:v>cell-based format</x:v>
      </x:c>
      <x:c r="M67" s="14" t="str">
        <x:v>Cn1c(SCCCN2CC[C@]3(C[C@@H]3c3ccc(C(F)(F)F)cc3)C2)nnc1-c1ccc(C#N)cc1</x:v>
      </x:c>
      <x:c r="N67" s="14" t="str">
        <x:v>null</x:v>
      </x:c>
      <x:c r="O67" s="14" t="str">
        <x:v>null</x:v>
      </x:c>
      <x:c r="P67" s="14" t="str">
        <x:v>CHEMBL3853329</x:v>
      </x:c>
      <x:c r="Q67" s="14" t="str">
        <x:v>J Med Chem</x:v>
      </x:c>
      <x:c r="R67" s="17" t="n">
        <x:v>2016</x:v>
      </x:c>
      <x:c r="S67" s="14" t="str">
        <x:v>{"bei":"12.98","le":"0.25","lle":"0.73","sei":"11.19"}</x:v>
      </x:c>
      <x:c r="T67" s="14" t="str">
        <x:v>null</x:v>
      </x:c>
      <x:c r="U67" s="14" t="str">
        <x:v>CHEMBL3950540</x:v>
      </x:c>
      <x:c r="V67" s="14" t="str">
        <x:v>null</x:v>
      </x:c>
      <x:c r="W67" s="14" t="str">
        <x:v>CHEMBL3950540</x:v>
      </x:c>
      <x:c r="X67" s="15" t="n">
        <x:v>6.46</x:v>
      </x:c>
      <x:c r="Y67" s="17" t="n">
        <x:v>0</x:v>
      </x:c>
      <x:c r="Z67" s="14" t="str">
        <x:v>http://www.openphacts.org/units/Nanomolar</x:v>
      </x:c>
      <x:c r="AA67" s="14" t="str">
        <x:v>2796838</x:v>
      </x:c>
      <x:c r="AB67" s="14" t="str">
        <x:v>=</x:v>
      </x:c>
      <x:c r="AC67" s="14" t="str">
        <x:v>1</x:v>
      </x:c>
      <x:c r="AD67" s="17" t="n">
        <x:v>1</x:v>
      </x:c>
      <x:c r="AE67" s="14" t="str">
        <x:v>=</x:v>
      </x:c>
      <x:c r="AF67" s="14" t="str">
        <x:v>null</x:v>
      </x:c>
      <x:c r="AG67" s="14" t="str">
        <x:v>Ki</x:v>
      </x:c>
      <x:c r="AH67" s="14" t="str">
        <x:v>nM</x:v>
      </x:c>
      <x:c r="AI67" s="14" t="str">
        <x:v>null</x:v>
      </x:c>
      <x:c r="AJ67" s="15" t="n">
        <x:v>346.74</x:v>
      </x:c>
      <x:c r="AK67" s="14" t="str">
        <x:v>CHEMBL217</x:v>
      </x:c>
      <x:c r="AL67" s="14" t="str">
        <x:v>Homo sapiens</x:v>
      </x:c>
      <x:c r="AM67" s="14" t="str">
        <x:v>D(2) dopamine receptor</x:v>
      </x:c>
      <x:c r="AN67" s="14" t="str">
        <x:v>9606</x:v>
      </x:c>
      <x:c r="AO67" s="14" t="str">
        <x:v>null</x:v>
      </x:c>
      <x:c r="AP67" s="14" t="str">
        <x:v>null</x:v>
      </x:c>
      <x:c r="AQ67" s="14" t="str">
        <x:v>pKi</x:v>
      </x:c>
      <x:c r="AR67" s="14" t="str">
        <x:v>null</x:v>
      </x:c>
      <x:c r="AS67" s="14" t="str">
        <x:v>UO_0000065</x:v>
      </x:c>
      <x:c r="AT67" s="14" t="str">
        <x:v>null</x:v>
      </x:c>
      <x:c r="AU67" s="14" t="str">
        <x:v>6.46</x:v>
      </x:c>
      <x:c r="AV67" s="15" t="n">
        <x:v>0.00501</x:v>
      </x:c>
      <x:c r="AW67" s="14" t="str">
        <x:v>include</x:v>
      </x:c>
      <x:c r="AX67" s="14" t="str"/>
      <x:c r="AY67" s="15" t="n">
        <x:v>346.73685045253166</x:v>
      </x:c>
      <x:c r="AZ67" s="14" t="str">
        <x:v>source_reported_pKi</x:v>
      </x:c>
      <x:c r="BA67" s="15" t="n">
        <x:v>6.46</x:v>
      </x:c>
      <x:c r="BB67" s="14" t="str">
        <x:v>87e7630fa76ee459b5d904476950fa622c73953c83840af36eeb4e85b24cf142</x:v>
      </x:c>
      <x:c r="BC67" s="14" t="str">
        <x:v>ITIATPRLDJMYTO-RDGATRHJSA-N</x:v>
      </x:c>
      <x:c r="BD67" s="14" t="str">
        <x:v>Cn1c(SCCCN2CC[C@]3(C[C@@H]3c3ccc(C(F)(F)F)cc3)C2)nnc1-c1ccc(C#N)cc1</x:v>
      </x:c>
      <x:c r="BE67" s="14" t="str">
        <x:v>Cn1c(SCCCN2CCC3(CC3c3ccc(C(F)(F)F)cc3)C2)nnc1-c1ccc(C#N)cc1</x:v>
      </x:c>
      <x:c r="BF67" s="14" t="str">
        <x:v>Cn1c(SCCCN2CC[C@]3(C[C@@H]3c3ccc(C(F)(F)F)cc3)C2)nnc1-c1ccc(C#N)cc1</x:v>
      </x:c>
      <x:c r="BG67" s="16" t="n">
        <x:v>-0.000003944850026194047</x:v>
      </x:c>
      <x:c r="BH67" s="15" t="n">
        <x:v>6.459996055149974</x:v>
      </x:c>
      <x:c r="BI67" s="14" t="str">
        <x:v>c1ccc(-c2nnc(SCCCN3CCC4(CC4c4ccccc4)C3)[nH]2)cc1</x:v>
      </x:c>
      <x:c r="BJ67" s="17" t="n">
        <x:v>1</x:v>
      </x:c>
      <x:c r="BK67" s="15" t="n">
        <x:v>346.74</x:v>
      </x:c>
      <x:c r="BL67" s="16" t="n">
        <x:v>0.0031495474683538305</x:v>
      </x:c>
      <x:c r="BM67" s="14" t="str">
        <x:v>false</x:v>
      </x:c>
    </x:row>
    <x:row r="68" ht="51" customHeight="1">
      <x:c r="A68" s="9" t="str">
        <x:v>null</x:v>
      </x:c>
      <x:c r="B68" s="9" t="str">
        <x:v>null</x:v>
      </x:c>
      <x:c r="C68" s="9" t="str">
        <x:v>16670305</x:v>
      </x:c>
      <x:c r="D68" s="9" t="str">
        <x:v>[]</x:v>
      </x:c>
      <x:c r="E68" s="9" t="str">
        <x:v>CHEMBL3855278</x:v>
      </x:c>
      <x:c r="F68" s="9" t="str">
        <x:v>Displacement of [3H]-spiperone from human dopamine D2 receptor expressed in CHO-K1 cell membranes coexpressing Galpha16 after 120 mins by liquid scintillation counting</x:v>
      </x:c>
      <x:c r="G68" s="9" t="str">
        <x:v>B</x:v>
      </x:c>
      <x:c r="H68" s="9" t="str">
        <x:v>null</x:v>
      </x:c>
      <x:c r="I68" s="9" t="str">
        <x:v>null</x:v>
      </x:c>
      <x:c r="J68" s="9" t="str">
        <x:v>BAO_0000192</x:v>
      </x:c>
      <x:c r="K68" s="9" t="str">
        <x:v>BAO_0000219</x:v>
      </x:c>
      <x:c r="L68" s="9" t="str">
        <x:v>cell-based format</x:v>
      </x:c>
      <x:c r="M68" s="9" t="str">
        <x:v>Cn1c(SCCCN2CC[C@]3(C[C@@H]3c3ccc(C(F)(F)F)cc3)C2)nnc1-c1ccc(CC(N)=O)cc1</x:v>
      </x:c>
      <x:c r="N68" s="9" t="str">
        <x:v>null</x:v>
      </x:c>
      <x:c r="O68" s="9" t="str">
        <x:v>null</x:v>
      </x:c>
      <x:c r="P68" s="9" t="str">
        <x:v>CHEMBL3853329</x:v>
      </x:c>
      <x:c r="Q68" s="9" t="str">
        <x:v>J Med Chem</x:v>
      </x:c>
      <x:c r="R68" s="13" t="n">
        <x:v>2016</x:v>
      </x:c>
      <x:c r="S68" s="9" t="str">
        <x:v>{"bei":"11.95","le":"0.23","lle":"1.44","sei":"8.22"}</x:v>
      </x:c>
      <x:c r="T68" s="9" t="str">
        <x:v>null</x:v>
      </x:c>
      <x:c r="U68" s="9" t="str">
        <x:v>CHEMBL3981856</x:v>
      </x:c>
      <x:c r="V68" s="9" t="str">
        <x:v>null</x:v>
      </x:c>
      <x:c r="W68" s="9" t="str">
        <x:v>CHEMBL3981856</x:v>
      </x:c>
      <x:c r="X68" s="11" t="n">
        <x:v>6.33</x:v>
      </x:c>
      <x:c r="Y68" s="13" t="n">
        <x:v>0</x:v>
      </x:c>
      <x:c r="Z68" s="9" t="str">
        <x:v>http://www.openphacts.org/units/Nanomolar</x:v>
      </x:c>
      <x:c r="AA68" s="9" t="str">
        <x:v>2796839</x:v>
      </x:c>
      <x:c r="AB68" s="9" t="str">
        <x:v>=</x:v>
      </x:c>
      <x:c r="AC68" s="9" t="str">
        <x:v>1</x:v>
      </x:c>
      <x:c r="AD68" s="13" t="n">
        <x:v>1</x:v>
      </x:c>
      <x:c r="AE68" s="9" t="str">
        <x:v>=</x:v>
      </x:c>
      <x:c r="AF68" s="9" t="str">
        <x:v>null</x:v>
      </x:c>
      <x:c r="AG68" s="9" t="str">
        <x:v>Ki</x:v>
      </x:c>
      <x:c r="AH68" s="9" t="str">
        <x:v>nM</x:v>
      </x:c>
      <x:c r="AI68" s="9" t="str">
        <x:v>null</x:v>
      </x:c>
      <x:c r="AJ68" s="11" t="n">
        <x:v>467.74</x:v>
      </x:c>
      <x:c r="AK68" s="9" t="str">
        <x:v>CHEMBL217</x:v>
      </x:c>
      <x:c r="AL68" s="9" t="str">
        <x:v>Homo sapiens</x:v>
      </x:c>
      <x:c r="AM68" s="9" t="str">
        <x:v>D(2) dopamine receptor</x:v>
      </x:c>
      <x:c r="AN68" s="9" t="str">
        <x:v>9606</x:v>
      </x:c>
      <x:c r="AO68" s="9" t="str">
        <x:v>null</x:v>
      </x:c>
      <x:c r="AP68" s="9" t="str">
        <x:v>null</x:v>
      </x:c>
      <x:c r="AQ68" s="9" t="str">
        <x:v>pKi</x:v>
      </x:c>
      <x:c r="AR68" s="9" t="str">
        <x:v>null</x:v>
      </x:c>
      <x:c r="AS68" s="9" t="str">
        <x:v>UO_0000065</x:v>
      </x:c>
      <x:c r="AT68" s="9" t="str">
        <x:v>null</x:v>
      </x:c>
      <x:c r="AU68" s="9" t="str">
        <x:v>6.33</x:v>
      </x:c>
      <x:c r="AV68" s="11" t="n">
        <x:v>0.00501</x:v>
      </x:c>
      <x:c r="AW68" s="9" t="str">
        <x:v>include</x:v>
      </x:c>
      <x:c r="AX68" s="9" t="str"/>
      <x:c r="AY68" s="11" t="n">
        <x:v>467.73514128719813</x:v>
      </x:c>
      <x:c r="AZ68" s="9" t="str">
        <x:v>source_reported_pKi</x:v>
      </x:c>
      <x:c r="BA68" s="11" t="n">
        <x:v>6.33</x:v>
      </x:c>
      <x:c r="BB68" s="9" t="str">
        <x:v>411434279c8dd5ea224d3ee66a301b20e492548db6d6e63d4c904ae6b2ee7597</x:v>
      </x:c>
      <x:c r="BC68" s="9" t="str">
        <x:v>BCTUVZJFJIFLND-GJZUVCINSA-N</x:v>
      </x:c>
      <x:c r="BD68" s="9" t="str">
        <x:v>Cn1c(SCCCN2CC[C@]3(C[C@@H]3c3ccc(C(F)(F)F)cc3)C2)nnc1-c1ccc(CC(N)=O)cc1</x:v>
      </x:c>
      <x:c r="BE68" s="9" t="str">
        <x:v>Cn1c(SCCCN2CCC3(CC3c3ccc(C(F)(F)F)cc3)C2)nnc1-c1ccc(CC(N)=O)cc1</x:v>
      </x:c>
      <x:c r="BF68" s="9" t="str">
        <x:v>Cn1c(SCCCN2CC[C@]3(C[C@@H]3c3ccc(C(F)(F)F)cc3)C2)nnc1-c1ccc(CC(N)=O)cc1</x:v>
      </x:c>
      <x:c r="BG68" s="12" t="n">
        <x:v>-0.0000045113163693599745</x:v>
      </x:c>
      <x:c r="BH68" s="11" t="n">
        <x:v>6.329995488683631</x:v>
      </x:c>
      <x:c r="BI68" s="9" t="str">
        <x:v>c1ccc(-c2nnc(SCCCN3CCC4(CC4c4ccccc4)C3)[nH]2)cc1</x:v>
      </x:c>
      <x:c r="BJ68" s="13" t="n">
        <x:v>1</x:v>
      </x:c>
      <x:c r="BK68" s="11" t="n">
        <x:v>467.74</x:v>
      </x:c>
      <x:c r="BL68" s="12" t="n">
        <x:v>0.0048587128018766634</x:v>
      </x:c>
      <x:c r="BM68" s="9" t="str">
        <x:v>false</x:v>
      </x:c>
    </x:row>
    <x:row r="69" ht="51" customHeight="1">
      <x:c r="A69" s="14" t="str">
        <x:v>null</x:v>
      </x:c>
      <x:c r="B69" s="14" t="str">
        <x:v>null</x:v>
      </x:c>
      <x:c r="C69" s="14" t="str">
        <x:v>16670306</x:v>
      </x:c>
      <x:c r="D69" s="14" t="str">
        <x:v>[]</x:v>
      </x:c>
      <x:c r="E69" s="14" t="str">
        <x:v>CHEMBL3855278</x:v>
      </x:c>
      <x:c r="F69" s="14" t="str">
        <x:v>Displacement of [3H]-spiperone from human dopamine D2 receptor expressed in CHO-K1 cell membranes coexpressing Galpha16 after 120 mins by liquid scintillation counting</x:v>
      </x:c>
      <x:c r="G69" s="14" t="str">
        <x:v>B</x:v>
      </x:c>
      <x:c r="H69" s="14" t="str">
        <x:v>null</x:v>
      </x:c>
      <x:c r="I69" s="14" t="str">
        <x:v>null</x:v>
      </x:c>
      <x:c r="J69" s="14" t="str">
        <x:v>BAO_0000192</x:v>
      </x:c>
      <x:c r="K69" s="14" t="str">
        <x:v>BAO_0000219</x:v>
      </x:c>
      <x:c r="L69" s="14" t="str">
        <x:v>cell-based format</x:v>
      </x:c>
      <x:c r="M69" s="14" t="str">
        <x:v>Cn1c(SCCCN2CC[C@]3(C[C@@H]3c3ccc(C(F)(F)F)cc3)C2)nnc1-c1ccc(-c2ncco2)cc1</x:v>
      </x:c>
      <x:c r="N69" s="14" t="str">
        <x:v>null</x:v>
      </x:c>
      <x:c r="O69" s="14" t="str">
        <x:v>null</x:v>
      </x:c>
      <x:c r="P69" s="14" t="str">
        <x:v>CHEMBL3853329</x:v>
      </x:c>
      <x:c r="Q69" s="14" t="str">
        <x:v>J Med Chem</x:v>
      </x:c>
      <x:c r="R69" s="17" t="n">
        <x:v>2016</x:v>
      </x:c>
      <x:c r="S69" s="14" t="str">
        <x:v>{"bei":"11.93","le":"0.23","lle":"-0.08","sei":"10.74"}</x:v>
      </x:c>
      <x:c r="T69" s="14" t="str">
        <x:v>null</x:v>
      </x:c>
      <x:c r="U69" s="14" t="str">
        <x:v>CHEMBL3941818</x:v>
      </x:c>
      <x:c r="V69" s="14" t="str">
        <x:v>null</x:v>
      </x:c>
      <x:c r="W69" s="14" t="str">
        <x:v>CHEMBL3941818</x:v>
      </x:c>
      <x:c r="X69" s="15" t="n">
        <x:v>6.44</x:v>
      </x:c>
      <x:c r="Y69" s="17" t="n">
        <x:v>0</x:v>
      </x:c>
      <x:c r="Z69" s="14" t="str">
        <x:v>http://www.openphacts.org/units/Nanomolar</x:v>
      </x:c>
      <x:c r="AA69" s="14" t="str">
        <x:v>2796840</x:v>
      </x:c>
      <x:c r="AB69" s="14" t="str">
        <x:v>=</x:v>
      </x:c>
      <x:c r="AC69" s="14" t="str">
        <x:v>1</x:v>
      </x:c>
      <x:c r="AD69" s="17" t="n">
        <x:v>1</x:v>
      </x:c>
      <x:c r="AE69" s="14" t="str">
        <x:v>=</x:v>
      </x:c>
      <x:c r="AF69" s="14" t="str">
        <x:v>null</x:v>
      </x:c>
      <x:c r="AG69" s="14" t="str">
        <x:v>Ki</x:v>
      </x:c>
      <x:c r="AH69" s="14" t="str">
        <x:v>nM</x:v>
      </x:c>
      <x:c r="AI69" s="14" t="str">
        <x:v>null</x:v>
      </x:c>
      <x:c r="AJ69" s="15" t="n">
        <x:v>363.08</x:v>
      </x:c>
      <x:c r="AK69" s="14" t="str">
        <x:v>CHEMBL217</x:v>
      </x:c>
      <x:c r="AL69" s="14" t="str">
        <x:v>Homo sapiens</x:v>
      </x:c>
      <x:c r="AM69" s="14" t="str">
        <x:v>D(2) dopamine receptor</x:v>
      </x:c>
      <x:c r="AN69" s="14" t="str">
        <x:v>9606</x:v>
      </x:c>
      <x:c r="AO69" s="14" t="str">
        <x:v>null</x:v>
      </x:c>
      <x:c r="AP69" s="14" t="str">
        <x:v>null</x:v>
      </x:c>
      <x:c r="AQ69" s="14" t="str">
        <x:v>pKi</x:v>
      </x:c>
      <x:c r="AR69" s="14" t="str">
        <x:v>null</x:v>
      </x:c>
      <x:c r="AS69" s="14" t="str">
        <x:v>UO_0000065</x:v>
      </x:c>
      <x:c r="AT69" s="14" t="str">
        <x:v>null</x:v>
      </x:c>
      <x:c r="AU69" s="14" t="str">
        <x:v>6.44</x:v>
      </x:c>
      <x:c r="AV69" s="15" t="n">
        <x:v>0.00501</x:v>
      </x:c>
      <x:c r="AW69" s="14" t="str">
        <x:v>include</x:v>
      </x:c>
      <x:c r="AX69" s="14" t="str"/>
      <x:c r="AY69" s="15" t="n">
        <x:v>363.078054770101</x:v>
      </x:c>
      <x:c r="AZ69" s="14" t="str">
        <x:v>source_reported_pKi</x:v>
      </x:c>
      <x:c r="BA69" s="15" t="n">
        <x:v>6.44</x:v>
      </x:c>
      <x:c r="BB69" s="14" t="str">
        <x:v>30976e9e06f7c731642413a37e92805222af3364a28811be87a92dc0cf0c7d2d</x:v>
      </x:c>
      <x:c r="BC69" s="14" t="str">
        <x:v>NIFGQHGFOUMQJN-KCWPFWIISA-N</x:v>
      </x:c>
      <x:c r="BD69" s="14" t="str">
        <x:v>Cn1c(SCCCN2CC[C@]3(C[C@@H]3c3ccc(C(F)(F)F)cc3)C2)nnc1-c1ccc(-c2ncco2)cc1</x:v>
      </x:c>
      <x:c r="BE69" s="14" t="str">
        <x:v>Cn1c(SCCCN2CCC3(CC3c3ccc(C(F)(F)F)cc3)C2)nnc1-c1ccc(-c2ncco2)cc1</x:v>
      </x:c>
      <x:c r="BF69" s="14" t="str">
        <x:v>Cn1c(SCCCN2CC[C@]3(C[C@@H]3c3ccc(C(F)(F)F)cc3)C2)nnc1-c1ccc(-c2ncco2)cc1</x:v>
      </x:c>
      <x:c r="BG69" s="16" t="n">
        <x:v>-0.000002326773366867485</x:v>
      </x:c>
      <x:c r="BH69" s="15" t="n">
        <x:v>6.4399976732266335</x:v>
      </x:c>
      <x:c r="BI69" s="14" t="str">
        <x:v>c1ccc(C2CC23CCN(CCCSc2nnc(-c4ccc(-c5ncco5)cc4)[nH]2)C3)cc1</x:v>
      </x:c>
      <x:c r="BJ69" s="17" t="n">
        <x:v>1</x:v>
      </x:c>
      <x:c r="BK69" s="15" t="n">
        <x:v>363.08</x:v>
      </x:c>
      <x:c r="BL69" s="16" t="n">
        <x:v>0.0019452298989790506</x:v>
      </x:c>
      <x:c r="BM69" s="14" t="str">
        <x:v>false</x:v>
      </x:c>
    </x:row>
    <x:row r="70" ht="51" customHeight="1">
      <x:c r="A70" s="9" t="str">
        <x:v>null</x:v>
      </x:c>
      <x:c r="B70" s="9" t="str">
        <x:v>null</x:v>
      </x:c>
      <x:c r="C70" s="9" t="str">
        <x:v>16670307</x:v>
      </x:c>
      <x:c r="D70" s="9" t="str">
        <x:v>[]</x:v>
      </x:c>
      <x:c r="E70" s="9" t="str">
        <x:v>CHEMBL3855278</x:v>
      </x:c>
      <x:c r="F70" s="9" t="str">
        <x:v>Displacement of [3H]-spiperone from human dopamine D2 receptor expressed in CHO-K1 cell membranes coexpressing Galpha16 after 120 mins by liquid scintillation counting</x:v>
      </x:c>
      <x:c r="G70" s="9" t="str">
        <x:v>B</x:v>
      </x:c>
      <x:c r="H70" s="9" t="str">
        <x:v>null</x:v>
      </x:c>
      <x:c r="I70" s="9" t="str">
        <x:v>null</x:v>
      </x:c>
      <x:c r="J70" s="9" t="str">
        <x:v>BAO_0000192</x:v>
      </x:c>
      <x:c r="K70" s="9" t="str">
        <x:v>BAO_0000219</x:v>
      </x:c>
      <x:c r="L70" s="9" t="str">
        <x:v>cell-based format</x:v>
      </x:c>
      <x:c r="M70" s="9" t="str">
        <x:v>Cn1c(SCCCN2CC[C@]3(C[C@@H]3c3ccc(C(F)(F)F)cc3)C2)nnc1-c1cccc(-c2ncco2)c1</x:v>
      </x:c>
      <x:c r="N70" s="9" t="str">
        <x:v>null</x:v>
      </x:c>
      <x:c r="O70" s="9" t="str">
        <x:v>null</x:v>
      </x:c>
      <x:c r="P70" s="9" t="str">
        <x:v>CHEMBL3853329</x:v>
      </x:c>
      <x:c r="Q70" s="9" t="str">
        <x:v>J Med Chem</x:v>
      </x:c>
      <x:c r="R70" s="13" t="n">
        <x:v>2016</x:v>
      </x:c>
      <x:c r="S70" s="9" t="str">
        <x:v>{"bei":"11.67","le":"0.23","lle":"-0.22","sei":"10.50"}</x:v>
      </x:c>
      <x:c r="T70" s="9" t="str">
        <x:v>null</x:v>
      </x:c>
      <x:c r="U70" s="9" t="str">
        <x:v>CHEMBL3920167</x:v>
      </x:c>
      <x:c r="V70" s="9" t="str">
        <x:v>null</x:v>
      </x:c>
      <x:c r="W70" s="9" t="str">
        <x:v>CHEMBL3920167</x:v>
      </x:c>
      <x:c r="X70" s="11" t="n">
        <x:v>6.3</x:v>
      </x:c>
      <x:c r="Y70" s="13" t="n">
        <x:v>0</x:v>
      </x:c>
      <x:c r="Z70" s="9" t="str">
        <x:v>http://www.openphacts.org/units/Nanomolar</x:v>
      </x:c>
      <x:c r="AA70" s="9" t="str">
        <x:v>2796841</x:v>
      </x:c>
      <x:c r="AB70" s="9" t="str">
        <x:v>=</x:v>
      </x:c>
      <x:c r="AC70" s="9" t="str">
        <x:v>1</x:v>
      </x:c>
      <x:c r="AD70" s="13" t="n">
        <x:v>1</x:v>
      </x:c>
      <x:c r="AE70" s="9" t="str">
        <x:v>=</x:v>
      </x:c>
      <x:c r="AF70" s="9" t="str">
        <x:v>null</x:v>
      </x:c>
      <x:c r="AG70" s="9" t="str">
        <x:v>Ki</x:v>
      </x:c>
      <x:c r="AH70" s="9" t="str">
        <x:v>nM</x:v>
      </x:c>
      <x:c r="AI70" s="9" t="str">
        <x:v>null</x:v>
      </x:c>
      <x:c r="AJ70" s="11" t="n">
        <x:v>501.19</x:v>
      </x:c>
      <x:c r="AK70" s="9" t="str">
        <x:v>CHEMBL217</x:v>
      </x:c>
      <x:c r="AL70" s="9" t="str">
        <x:v>Homo sapiens</x:v>
      </x:c>
      <x:c r="AM70" s="9" t="str">
        <x:v>D(2) dopamine receptor</x:v>
      </x:c>
      <x:c r="AN70" s="9" t="str">
        <x:v>9606</x:v>
      </x:c>
      <x:c r="AO70" s="9" t="str">
        <x:v>null</x:v>
      </x:c>
      <x:c r="AP70" s="9" t="str">
        <x:v>null</x:v>
      </x:c>
      <x:c r="AQ70" s="9" t="str">
        <x:v>pKi</x:v>
      </x:c>
      <x:c r="AR70" s="9" t="str">
        <x:v>null</x:v>
      </x:c>
      <x:c r="AS70" s="9" t="str">
        <x:v>UO_0000065</x:v>
      </x:c>
      <x:c r="AT70" s="9" t="str">
        <x:v>null</x:v>
      </x:c>
      <x:c r="AU70" s="9" t="str">
        <x:v>6.3</x:v>
      </x:c>
      <x:c r="AV70" s="11" t="n">
        <x:v>0.00501</x:v>
      </x:c>
      <x:c r="AW70" s="9" t="str">
        <x:v>include</x:v>
      </x:c>
      <x:c r="AX70" s="9" t="str"/>
      <x:c r="AY70" s="11" t="n">
        <x:v>501.18723362727246</x:v>
      </x:c>
      <x:c r="AZ70" s="9" t="str">
        <x:v>source_reported_pKi</x:v>
      </x:c>
      <x:c r="BA70" s="11" t="n">
        <x:v>6.3</x:v>
      </x:c>
      <x:c r="BB70" s="9" t="str">
        <x:v>28764455c1c52ec84bfcdc47fbdd7f951200696393581083dcb0a1b873472a1d</x:v>
      </x:c>
      <x:c r="BC70" s="9" t="str">
        <x:v>NMEPMLDUQJFQOK-KCWPFWIISA-N</x:v>
      </x:c>
      <x:c r="BD70" s="9" t="str">
        <x:v>Cn1c(SCCCN2CC[C@]3(C[C@@H]3c3ccc(C(F)(F)F)cc3)C2)nnc1-c1cccc(-c2ncco2)c1</x:v>
      </x:c>
      <x:c r="BE70" s="9" t="str">
        <x:v>Cn1c(SCCCN2CCC3(CC3c3ccc(C(F)(F)F)cc3)C2)nnc1-c1cccc(-c2ncco2)c1</x:v>
      </x:c>
      <x:c r="BF70" s="9" t="str">
        <x:v>Cn1c(SCCCN2CC[C@]3(C[C@@H]3c3ccc(C(F)(F)F)cc3)C2)nnc1-c1cccc(-c2ncco2)c1</x:v>
      </x:c>
      <x:c r="BG70" s="12" t="n">
        <x:v>-0.000002397142253585116</x:v>
      </x:c>
      <x:c r="BH70" s="11" t="n">
        <x:v>6.299997602857746</x:v>
      </x:c>
      <x:c r="BI70" s="9" t="str">
        <x:v>c1ccc(C2CC23CCN(CCCSc2nnc(-c4cccc(-c5ncco5)c4)[nH]2)C3)cc1</x:v>
      </x:c>
      <x:c r="BJ70" s="13" t="n">
        <x:v>1</x:v>
      </x:c>
      <x:c r="BK70" s="11" t="n">
        <x:v>501.19</x:v>
      </x:c>
      <x:c r="BL70" s="12" t="n">
        <x:v>0.0027663727275353267</x:v>
      </x:c>
      <x:c r="BM70" s="9" t="str">
        <x:v>false</x:v>
      </x:c>
    </x:row>
    <x:row r="71" ht="51" customHeight="1">
      <x:c r="A71" s="14" t="str">
        <x:v>null</x:v>
      </x:c>
      <x:c r="B71" s="14" t="str">
        <x:v>null</x:v>
      </x:c>
      <x:c r="C71" s="14" t="str">
        <x:v>16670402</x:v>
      </x:c>
      <x:c r="D71" s="14" t="str">
        <x:v>[]</x:v>
      </x:c>
      <x:c r="E71" s="14" t="str">
        <x:v>CHEMBL3855278</x:v>
      </x:c>
      <x:c r="F71" s="14" t="str">
        <x:v>Displacement of [3H]-spiperone from human dopamine D2 receptor expressed in CHO-K1 cell membranes coexpressing Galpha16 after 120 mins by liquid scintillation counting</x:v>
      </x:c>
      <x:c r="G71" s="14" t="str">
        <x:v>B</x:v>
      </x:c>
      <x:c r="H71" s="14" t="str">
        <x:v>null</x:v>
      </x:c>
      <x:c r="I71" s="14" t="str">
        <x:v>null</x:v>
      </x:c>
      <x:c r="J71" s="14" t="str">
        <x:v>BAO_0000192</x:v>
      </x:c>
      <x:c r="K71" s="14" t="str">
        <x:v>BAO_0000219</x:v>
      </x:c>
      <x:c r="L71" s="14" t="str">
        <x:v>cell-based format</x:v>
      </x:c>
      <x:c r="M71" s="14" t="str">
        <x:v>Cn1c(SCCCN2CC[C@]3(C[C@H]3c3ccc(C(F)(F)F)cc3)C2)nnc1-c1ccncc1</x:v>
      </x:c>
      <x:c r="N71" s="14" t="str">
        <x:v>null</x:v>
      </x:c>
      <x:c r="O71" s="14" t="str">
        <x:v>null</x:v>
      </x:c>
      <x:c r="P71" s="14" t="str">
        <x:v>CHEMBL3853329</x:v>
      </x:c>
      <x:c r="Q71" s="14" t="str">
        <x:v>J Med Chem</x:v>
      </x:c>
      <x:c r="R71" s="17" t="n">
        <x:v>2016</x:v>
      </x:c>
      <x:c r="S71" s="14" t="str">
        <x:v>{"bei":"12.80","le":"0.25","lle":"0.80","sei":"12.94"}</x:v>
      </x:c>
      <x:c r="T71" s="14" t="str">
        <x:v>null</x:v>
      </x:c>
      <x:c r="U71" s="14" t="str">
        <x:v>CHEMBL3947961</x:v>
      </x:c>
      <x:c r="V71" s="14" t="str">
        <x:v>null</x:v>
      </x:c>
      <x:c r="W71" s="14" t="str">
        <x:v>CHEMBL3947961</x:v>
      </x:c>
      <x:c r="X71" s="15" t="n">
        <x:v>6.06</x:v>
      </x:c>
      <x:c r="Y71" s="17" t="n">
        <x:v>0</x:v>
      </x:c>
      <x:c r="Z71" s="14" t="str">
        <x:v>http://www.openphacts.org/units/Nanomolar</x:v>
      </x:c>
      <x:c r="AA71" s="14" t="str">
        <x:v>2796842</x:v>
      </x:c>
      <x:c r="AB71" s="14" t="str">
        <x:v>=</x:v>
      </x:c>
      <x:c r="AC71" s="14" t="str">
        <x:v>1</x:v>
      </x:c>
      <x:c r="AD71" s="17" t="n">
        <x:v>1</x:v>
      </x:c>
      <x:c r="AE71" s="14" t="str">
        <x:v>=</x:v>
      </x:c>
      <x:c r="AF71" s="14" t="str">
        <x:v>null</x:v>
      </x:c>
      <x:c r="AG71" s="14" t="str">
        <x:v>Ki</x:v>
      </x:c>
      <x:c r="AH71" s="14" t="str">
        <x:v>nM</x:v>
      </x:c>
      <x:c r="AI71" s="14" t="str">
        <x:v>null</x:v>
      </x:c>
      <x:c r="AJ71" s="15" t="n">
        <x:v>870.96</x:v>
      </x:c>
      <x:c r="AK71" s="14" t="str">
        <x:v>CHEMBL217</x:v>
      </x:c>
      <x:c r="AL71" s="14" t="str">
        <x:v>Homo sapiens</x:v>
      </x:c>
      <x:c r="AM71" s="14" t="str">
        <x:v>D(2) dopamine receptor</x:v>
      </x:c>
      <x:c r="AN71" s="14" t="str">
        <x:v>9606</x:v>
      </x:c>
      <x:c r="AO71" s="14" t="str">
        <x:v>null</x:v>
      </x:c>
      <x:c r="AP71" s="14" t="str">
        <x:v>null</x:v>
      </x:c>
      <x:c r="AQ71" s="14" t="str">
        <x:v>pKi</x:v>
      </x:c>
      <x:c r="AR71" s="14" t="str">
        <x:v>null</x:v>
      </x:c>
      <x:c r="AS71" s="14" t="str">
        <x:v>UO_0000065</x:v>
      </x:c>
      <x:c r="AT71" s="14" t="str">
        <x:v>null</x:v>
      </x:c>
      <x:c r="AU71" s="14" t="str">
        <x:v>6.06</x:v>
      </x:c>
      <x:c r="AV71" s="15" t="n">
        <x:v>0.00501</x:v>
      </x:c>
      <x:c r="AW71" s="14" t="str">
        <x:v>include</x:v>
      </x:c>
      <x:c r="AX71" s="14" t="str"/>
      <x:c r="AY71" s="15" t="n">
        <x:v>870.9635899560815</x:v>
      </x:c>
      <x:c r="AZ71" s="14" t="str">
        <x:v>source_reported_pKi</x:v>
      </x:c>
      <x:c r="BA71" s="15" t="n">
        <x:v>6.06</x:v>
      </x:c>
      <x:c r="BB71" s="14" t="str">
        <x:v>5522edf84997096a309961b03bdedf323da8ac9d914587fed4da9d136ce2bdeb</x:v>
      </x:c>
      <x:c r="BC71" s="14" t="str">
        <x:v>DWDIQEPGVYBABO-REWPJTCUSA-N</x:v>
      </x:c>
      <x:c r="BD71" s="14" t="str">
        <x:v>Cn1c(SCCCN2CC[C@]3(C[C@H]3c3ccc(C(F)(F)F)cc3)C2)nnc1-c1ccncc1</x:v>
      </x:c>
      <x:c r="BE71" s="14" t="str">
        <x:v>Cn1c(SCCCN2CCC3(CC3c3ccc(C(F)(F)F)cc3)C2)nnc1-c1ccncc1</x:v>
      </x:c>
      <x:c r="BF71" s="14" t="str">
        <x:v>Cn1c(SCCCN2CC[C@]3(C[C@H]3c3ccc(C(F)(F)F)cc3)C2)nnc1-c1ccncc1</x:v>
      </x:c>
      <x:c r="BG71" s="16" t="n">
        <x:v>0.000001790087837960641</x:v>
      </x:c>
      <x:c r="BH71" s="15" t="n">
        <x:v>6.060001790087838</x:v>
      </x:c>
      <x:c r="BI71" s="14" t="str">
        <x:v>c1ccc(C2CC23CCN(CCCSc2nnc(-c4ccncc4)[nH]2)C3)cc1</x:v>
      </x:c>
      <x:c r="BJ71" s="17" t="n">
        <x:v>1</x:v>
      </x:c>
      <x:c r="BK71" s="15" t="n">
        <x:v>870.96</x:v>
      </x:c>
      <x:c r="BL71" s="16" t="n">
        <x:v>-0.0035899560814414144</x:v>
      </x:c>
      <x:c r="BM71" s="14" t="str">
        <x:v>false</x:v>
      </x:c>
    </x:row>
    <x:row r="72" ht="51" customHeight="1">
      <x:c r="A72" s="9" t="str">
        <x:v>null</x:v>
      </x:c>
      <x:c r="B72" s="9" t="str">
        <x:v>null</x:v>
      </x:c>
      <x:c r="C72" s="9" t="str">
        <x:v>16670403</x:v>
      </x:c>
      <x:c r="D72" s="9" t="str">
        <x:v>[]</x:v>
      </x:c>
      <x:c r="E72" s="9" t="str">
        <x:v>CHEMBL3855278</x:v>
      </x:c>
      <x:c r="F72" s="9" t="str">
        <x:v>Displacement of [3H]-spiperone from human dopamine D2 receptor expressed in CHO-K1 cell membranes coexpressing Galpha16 after 120 mins by liquid scintillation counting</x:v>
      </x:c>
      <x:c r="G72" s="9" t="str">
        <x:v>B</x:v>
      </x:c>
      <x:c r="H72" s="9" t="str">
        <x:v>null</x:v>
      </x:c>
      <x:c r="I72" s="9" t="str">
        <x:v>null</x:v>
      </x:c>
      <x:c r="J72" s="9" t="str">
        <x:v>BAO_0000192</x:v>
      </x:c>
      <x:c r="K72" s="9" t="str">
        <x:v>BAO_0000219</x:v>
      </x:c>
      <x:c r="L72" s="9" t="str">
        <x:v>cell-based format</x:v>
      </x:c>
      <x:c r="M72" s="9" t="str">
        <x:v>Cn1c(SCCCN2CC[C@]3(C[C@@H]3c3ccc(C(F)(F)F)cc3)C2)nnc1-c1ccncc1</x:v>
      </x:c>
      <x:c r="N72" s="9" t="str">
        <x:v>null</x:v>
      </x:c>
      <x:c r="O72" s="9" t="str">
        <x:v>null</x:v>
      </x:c>
      <x:c r="P72" s="9" t="str">
        <x:v>CHEMBL3853329</x:v>
      </x:c>
      <x:c r="Q72" s="9" t="str">
        <x:v>J Med Chem</x:v>
      </x:c>
      <x:c r="R72" s="13" t="n">
        <x:v>2016</x:v>
      </x:c>
      <x:c r="S72" s="9" t="str">
        <x:v>{"bei":"13.11","le":"0.26","lle":"0.95","sei":"13.26"}</x:v>
      </x:c>
      <x:c r="T72" s="9" t="str">
        <x:v>null</x:v>
      </x:c>
      <x:c r="U72" s="9" t="str">
        <x:v>CHEMBL3929083</x:v>
      </x:c>
      <x:c r="V72" s="9" t="str">
        <x:v>null</x:v>
      </x:c>
      <x:c r="W72" s="9" t="str">
        <x:v>CHEMBL3929083</x:v>
      </x:c>
      <x:c r="X72" s="11" t="n">
        <x:v>6.21</x:v>
      </x:c>
      <x:c r="Y72" s="13" t="n">
        <x:v>0</x:v>
      </x:c>
      <x:c r="Z72" s="9" t="str">
        <x:v>http://www.openphacts.org/units/Nanomolar</x:v>
      </x:c>
      <x:c r="AA72" s="9" t="str">
        <x:v>2796843</x:v>
      </x:c>
      <x:c r="AB72" s="9" t="str">
        <x:v>=</x:v>
      </x:c>
      <x:c r="AC72" s="9" t="str">
        <x:v>1</x:v>
      </x:c>
      <x:c r="AD72" s="13" t="n">
        <x:v>1</x:v>
      </x:c>
      <x:c r="AE72" s="9" t="str">
        <x:v>=</x:v>
      </x:c>
      <x:c r="AF72" s="9" t="str">
        <x:v>null</x:v>
      </x:c>
      <x:c r="AG72" s="9" t="str">
        <x:v>Ki</x:v>
      </x:c>
      <x:c r="AH72" s="9" t="str">
        <x:v>nM</x:v>
      </x:c>
      <x:c r="AI72" s="9" t="str">
        <x:v>null</x:v>
      </x:c>
      <x:c r="AJ72" s="11" t="n">
        <x:v>616.6</x:v>
      </x:c>
      <x:c r="AK72" s="9" t="str">
        <x:v>CHEMBL217</x:v>
      </x:c>
      <x:c r="AL72" s="9" t="str">
        <x:v>Homo sapiens</x:v>
      </x:c>
      <x:c r="AM72" s="9" t="str">
        <x:v>D(2) dopamine receptor</x:v>
      </x:c>
      <x:c r="AN72" s="9" t="str">
        <x:v>9606</x:v>
      </x:c>
      <x:c r="AO72" s="9" t="str">
        <x:v>null</x:v>
      </x:c>
      <x:c r="AP72" s="9" t="str">
        <x:v>null</x:v>
      </x:c>
      <x:c r="AQ72" s="9" t="str">
        <x:v>pKi</x:v>
      </x:c>
      <x:c r="AR72" s="9" t="str">
        <x:v>null</x:v>
      </x:c>
      <x:c r="AS72" s="9" t="str">
        <x:v>UO_0000065</x:v>
      </x:c>
      <x:c r="AT72" s="9" t="str">
        <x:v>null</x:v>
      </x:c>
      <x:c r="AU72" s="9" t="str">
        <x:v>6.21</x:v>
      </x:c>
      <x:c r="AV72" s="11" t="n">
        <x:v>0.00501</x:v>
      </x:c>
      <x:c r="AW72" s="9" t="str">
        <x:v>include</x:v>
      </x:c>
      <x:c r="AX72" s="9" t="str"/>
      <x:c r="AY72" s="11" t="n">
        <x:v>616.5950018614822</x:v>
      </x:c>
      <x:c r="AZ72" s="9" t="str">
        <x:v>source_reported_pKi</x:v>
      </x:c>
      <x:c r="BA72" s="11" t="n">
        <x:v>6.21</x:v>
      </x:c>
      <x:c r="BB72" s="9" t="str">
        <x:v>5522edf84997096a309961b03bdedf323da8ac9d914587fed4da9d136ce2bdeb</x:v>
      </x:c>
      <x:c r="BC72" s="9" t="str">
        <x:v>DWDIQEPGVYBABO-OFNKIYASSA-N</x:v>
      </x:c>
      <x:c r="BD72" s="9" t="str">
        <x:v>Cn1c(SCCCN2CC[C@]3(C[C@@H]3c3ccc(C(F)(F)F)cc3)C2)nnc1-c1ccncc1</x:v>
      </x:c>
      <x:c r="BE72" s="9" t="str">
        <x:v>Cn1c(SCCCN2CCC3(CC3c3ccc(C(F)(F)F)cc3)C2)nnc1-c1ccncc1</x:v>
      </x:c>
      <x:c r="BF72" s="9" t="str">
        <x:v>Cn1c(SCCCN2CC[C@]3(C[C@@H]3c3ccc(C(F)(F)F)cc3)C2)nnc1-c1ccncc1</x:v>
      </x:c>
      <x:c r="BG72" s="12" t="n">
        <x:v>-0.0000035203904893421623</x:v>
      </x:c>
      <x:c r="BH72" s="11" t="n">
        <x:v>6.209996479609511</x:v>
      </x:c>
      <x:c r="BI72" s="9" t="str">
        <x:v>c1ccc(C2CC23CCN(CCCSc2nnc(-c4ccncc4)[nH]2)C3)cc1</x:v>
      </x:c>
      <x:c r="BJ72" s="13" t="n">
        <x:v>1</x:v>
      </x:c>
      <x:c r="BK72" s="11" t="n">
        <x:v>616.6</x:v>
      </x:c>
      <x:c r="BL72" s="12" t="n">
        <x:v>0.0049981385178625715</x:v>
      </x:c>
      <x:c r="BM72" s="9" t="str">
        <x:v>false</x:v>
      </x:c>
    </x:row>
    <x:row r="73" ht="51" customHeight="1">
      <x:c r="A73" s="14" t="str">
        <x:v>null</x:v>
      </x:c>
      <x:c r="B73" s="14" t="str">
        <x:v>null</x:v>
      </x:c>
      <x:c r="C73" s="14" t="str">
        <x:v>16670404</x:v>
      </x:c>
      <x:c r="D73" s="14" t="str">
        <x:v>[]</x:v>
      </x:c>
      <x:c r="E73" s="14" t="str">
        <x:v>CHEMBL3855278</x:v>
      </x:c>
      <x:c r="F73" s="14" t="str">
        <x:v>Displacement of [3H]-spiperone from human dopamine D2 receptor expressed in CHO-K1 cell membranes coexpressing Galpha16 after 120 mins by liquid scintillation counting</x:v>
      </x:c>
      <x:c r="G73" s="14" t="str">
        <x:v>B</x:v>
      </x:c>
      <x:c r="H73" s="14" t="str">
        <x:v>null</x:v>
      </x:c>
      <x:c r="I73" s="14" t="str">
        <x:v>null</x:v>
      </x:c>
      <x:c r="J73" s="14" t="str">
        <x:v>BAO_0000192</x:v>
      </x:c>
      <x:c r="K73" s="14" t="str">
        <x:v>BAO_0000219</x:v>
      </x:c>
      <x:c r="L73" s="14" t="str">
        <x:v>cell-based format</x:v>
      </x:c>
      <x:c r="M73" s="14" t="str">
        <x:v>Cn1c(SCCCN2CC[C@]3(C[C@H]3c3ccc(C(F)(F)F)cc3)C2)nnc1-c1cccnc1</x:v>
      </x:c>
      <x:c r="N73" s="14" t="str">
        <x:v>null</x:v>
      </x:c>
      <x:c r="O73" s="14" t="str">
        <x:v>null</x:v>
      </x:c>
      <x:c r="P73" s="14" t="str">
        <x:v>CHEMBL3853329</x:v>
      </x:c>
      <x:c r="Q73" s="14" t="str">
        <x:v>J Med Chem</x:v>
      </x:c>
      <x:c r="R73" s="17" t="n">
        <x:v>2016</x:v>
      </x:c>
      <x:c r="S73" s="14" t="str">
        <x:v>{"bei":"12.40","le":"0.24","lle":"0.61","sei":"12.53"}</x:v>
      </x:c>
      <x:c r="T73" s="14" t="str">
        <x:v>null</x:v>
      </x:c>
      <x:c r="U73" s="14" t="str">
        <x:v>CHEMBL3956612</x:v>
      </x:c>
      <x:c r="V73" s="14" t="str">
        <x:v>null</x:v>
      </x:c>
      <x:c r="W73" s="14" t="str">
        <x:v>CHEMBL3956612</x:v>
      </x:c>
      <x:c r="X73" s="15" t="n">
        <x:v>5.87</x:v>
      </x:c>
      <x:c r="Y73" s="17" t="n">
        <x:v>0</x:v>
      </x:c>
      <x:c r="Z73" s="14" t="str">
        <x:v>http://www.openphacts.org/units/Nanomolar</x:v>
      </x:c>
      <x:c r="AA73" s="14" t="str">
        <x:v>2796844</x:v>
      </x:c>
      <x:c r="AB73" s="14" t="str">
        <x:v>=</x:v>
      </x:c>
      <x:c r="AC73" s="14" t="str">
        <x:v>1</x:v>
      </x:c>
      <x:c r="AD73" s="17" t="n">
        <x:v>1</x:v>
      </x:c>
      <x:c r="AE73" s="14" t="str">
        <x:v>=</x:v>
      </x:c>
      <x:c r="AF73" s="14" t="str">
        <x:v>null</x:v>
      </x:c>
      <x:c r="AG73" s="14" t="str">
        <x:v>Ki</x:v>
      </x:c>
      <x:c r="AH73" s="14" t="str">
        <x:v>nM</x:v>
      </x:c>
      <x:c r="AI73" s="14" t="str">
        <x:v>null</x:v>
      </x:c>
      <x:c r="AJ73" s="15" t="n">
        <x:v>1348.96</x:v>
      </x:c>
      <x:c r="AK73" s="14" t="str">
        <x:v>CHEMBL217</x:v>
      </x:c>
      <x:c r="AL73" s="14" t="str">
        <x:v>Homo sapiens</x:v>
      </x:c>
      <x:c r="AM73" s="14" t="str">
        <x:v>D(2) dopamine receptor</x:v>
      </x:c>
      <x:c r="AN73" s="14" t="str">
        <x:v>9606</x:v>
      </x:c>
      <x:c r="AO73" s="14" t="str">
        <x:v>null</x:v>
      </x:c>
      <x:c r="AP73" s="14" t="str">
        <x:v>null</x:v>
      </x:c>
      <x:c r="AQ73" s="14" t="str">
        <x:v>pKi</x:v>
      </x:c>
      <x:c r="AR73" s="14" t="str">
        <x:v>null</x:v>
      </x:c>
      <x:c r="AS73" s="14" t="str">
        <x:v>UO_0000065</x:v>
      </x:c>
      <x:c r="AT73" s="14" t="str">
        <x:v>null</x:v>
      </x:c>
      <x:c r="AU73" s="14" t="str">
        <x:v>5.87</x:v>
      </x:c>
      <x:c r="AV73" s="15" t="n">
        <x:v>0.00501</x:v>
      </x:c>
      <x:c r="AW73" s="14" t="str">
        <x:v>include</x:v>
      </x:c>
      <x:c r="AX73" s="14" t="str"/>
      <x:c r="AY73" s="15" t="n">
        <x:v>1348.9628825916532</x:v>
      </x:c>
      <x:c r="AZ73" s="14" t="str">
        <x:v>source_reported_pKi</x:v>
      </x:c>
      <x:c r="BA73" s="15" t="n">
        <x:v>5.87</x:v>
      </x:c>
      <x:c r="BB73" s="14" t="str">
        <x:v>87c0c996e232691977260b40109235ecd04862f1f26c3b32addaaa4ba5c4e385</x:v>
      </x:c>
      <x:c r="BC73" s="14" t="str">
        <x:v>ZDHMFNGMBGJLNF-REWPJTCUSA-N</x:v>
      </x:c>
      <x:c r="BD73" s="14" t="str">
        <x:v>Cn1c(SCCCN2CC[C@]3(C[C@H]3c3ccc(C(F)(F)F)cc3)C2)nnc1-c1cccnc1</x:v>
      </x:c>
      <x:c r="BE73" s="14" t="str">
        <x:v>Cn1c(SCCCN2CCC3(CC3c3ccc(C(F)(F)F)cc3)C2)nnc1-c1cccnc1</x:v>
      </x:c>
      <x:c r="BF73" s="14" t="str">
        <x:v>Cn1c(SCCCN2CC[C@]3(C[C@H]3c3ccc(C(F)(F)F)cc3)C2)nnc1-c1cccnc1</x:v>
      </x:c>
      <x:c r="BG73" s="16" t="n">
        <x:v>9.280425743440901e-7</x:v>
      </x:c>
      <x:c r="BH73" s="15" t="n">
        <x:v>5.8700009280425745</x:v>
      </x:c>
      <x:c r="BI73" s="14" t="str">
        <x:v>c1ccc(C2CC23CCN(CCCSc2nnc(-c4cccnc4)[nH]2)C3)cc1</x:v>
      </x:c>
      <x:c r="BJ73" s="17" t="n">
        <x:v>1</x:v>
      </x:c>
      <x:c r="BK73" s="15" t="n">
        <x:v>1348.96</x:v>
      </x:c>
      <x:c r="BL73" s="16" t="n">
        <x:v>-0.002882591653133204</x:v>
      </x:c>
      <x:c r="BM73" s="14" t="str">
        <x:v>false</x:v>
      </x:c>
    </x:row>
    <x:row r="74" ht="51" customHeight="1">
      <x:c r="A74" s="9" t="str">
        <x:v>null</x:v>
      </x:c>
      <x:c r="B74" s="9" t="str">
        <x:v>null</x:v>
      </x:c>
      <x:c r="C74" s="9" t="str">
        <x:v>16670405</x:v>
      </x:c>
      <x:c r="D74" s="9" t="str">
        <x:v>[]</x:v>
      </x:c>
      <x:c r="E74" s="9" t="str">
        <x:v>CHEMBL3855278</x:v>
      </x:c>
      <x:c r="F74" s="9" t="str">
        <x:v>Displacement of [3H]-spiperone from human dopamine D2 receptor expressed in CHO-K1 cell membranes coexpressing Galpha16 after 120 mins by liquid scintillation counting</x:v>
      </x:c>
      <x:c r="G74" s="9" t="str">
        <x:v>B</x:v>
      </x:c>
      <x:c r="H74" s="9" t="str">
        <x:v>null</x:v>
      </x:c>
      <x:c r="I74" s="9" t="str">
        <x:v>null</x:v>
      </x:c>
      <x:c r="J74" s="9" t="str">
        <x:v>BAO_0000192</x:v>
      </x:c>
      <x:c r="K74" s="9" t="str">
        <x:v>BAO_0000219</x:v>
      </x:c>
      <x:c r="L74" s="9" t="str">
        <x:v>cell-based format</x:v>
      </x:c>
      <x:c r="M74" s="9" t="str">
        <x:v>Cn1c(SCCCN2CC[C@]3(C[C@@H]3c3ccc(C(F)(F)F)cc3)C2)nnc1-c1cccnc1</x:v>
      </x:c>
      <x:c r="N74" s="9" t="str">
        <x:v>null</x:v>
      </x:c>
      <x:c r="O74" s="9" t="str">
        <x:v>null</x:v>
      </x:c>
      <x:c r="P74" s="9" t="str">
        <x:v>CHEMBL3853329</x:v>
      </x:c>
      <x:c r="Q74" s="9" t="str">
        <x:v>J Med Chem</x:v>
      </x:c>
      <x:c r="R74" s="13" t="n">
        <x:v>2016</x:v>
      </x:c>
      <x:c r="S74" s="9" t="str">
        <x:v>{"bei":"12.78","le":"0.25","lle":"0.79","sei":"12.92"}</x:v>
      </x:c>
      <x:c r="T74" s="9" t="str">
        <x:v>null</x:v>
      </x:c>
      <x:c r="U74" s="9" t="str">
        <x:v>CHEMBL3938107</x:v>
      </x:c>
      <x:c r="V74" s="9" t="str">
        <x:v>null</x:v>
      </x:c>
      <x:c r="W74" s="9" t="str">
        <x:v>CHEMBL3938107</x:v>
      </x:c>
      <x:c r="X74" s="11" t="n">
        <x:v>6.05</x:v>
      </x:c>
      <x:c r="Y74" s="13" t="n">
        <x:v>0</x:v>
      </x:c>
      <x:c r="Z74" s="9" t="str">
        <x:v>http://www.openphacts.org/units/Nanomolar</x:v>
      </x:c>
      <x:c r="AA74" s="9" t="str">
        <x:v>2796845</x:v>
      </x:c>
      <x:c r="AB74" s="9" t="str">
        <x:v>=</x:v>
      </x:c>
      <x:c r="AC74" s="9" t="str">
        <x:v>1</x:v>
      </x:c>
      <x:c r="AD74" s="13" t="n">
        <x:v>1</x:v>
      </x:c>
      <x:c r="AE74" s="9" t="str">
        <x:v>=</x:v>
      </x:c>
      <x:c r="AF74" s="9" t="str">
        <x:v>null</x:v>
      </x:c>
      <x:c r="AG74" s="9" t="str">
        <x:v>Ki</x:v>
      </x:c>
      <x:c r="AH74" s="9" t="str">
        <x:v>nM</x:v>
      </x:c>
      <x:c r="AI74" s="9" t="str">
        <x:v>null</x:v>
      </x:c>
      <x:c r="AJ74" s="11" t="n">
        <x:v>891.25</x:v>
      </x:c>
      <x:c r="AK74" s="9" t="str">
        <x:v>CHEMBL217</x:v>
      </x:c>
      <x:c r="AL74" s="9" t="str">
        <x:v>Homo sapiens</x:v>
      </x:c>
      <x:c r="AM74" s="9" t="str">
        <x:v>D(2) dopamine receptor</x:v>
      </x:c>
      <x:c r="AN74" s="9" t="str">
        <x:v>9606</x:v>
      </x:c>
      <x:c r="AO74" s="9" t="str">
        <x:v>null</x:v>
      </x:c>
      <x:c r="AP74" s="9" t="str">
        <x:v>null</x:v>
      </x:c>
      <x:c r="AQ74" s="9" t="str">
        <x:v>pKi</x:v>
      </x:c>
      <x:c r="AR74" s="9" t="str">
        <x:v>null</x:v>
      </x:c>
      <x:c r="AS74" s="9" t="str">
        <x:v>UO_0000065</x:v>
      </x:c>
      <x:c r="AT74" s="9" t="str">
        <x:v>null</x:v>
      </x:c>
      <x:c r="AU74" s="9" t="str">
        <x:v>6.05</x:v>
      </x:c>
      <x:c r="AV74" s="11" t="n">
        <x:v>0.00501</x:v>
      </x:c>
      <x:c r="AW74" s="9" t="str">
        <x:v>include</x:v>
      </x:c>
      <x:c r="AX74" s="9" t="str"/>
      <x:c r="AY74" s="11" t="n">
        <x:v>891.2509381337459</x:v>
      </x:c>
      <x:c r="AZ74" s="9" t="str">
        <x:v>source_reported_pKi</x:v>
      </x:c>
      <x:c r="BA74" s="11" t="n">
        <x:v>6.05</x:v>
      </x:c>
      <x:c r="BB74" s="9" t="str">
        <x:v>87c0c996e232691977260b40109235ecd04862f1f26c3b32addaaa4ba5c4e385</x:v>
      </x:c>
      <x:c r="BC74" s="9" t="str">
        <x:v>ZDHMFNGMBGJLNF-OFNKIYASSA-N</x:v>
      </x:c>
      <x:c r="BD74" s="9" t="str">
        <x:v>Cn1c(SCCCN2CC[C@]3(C[C@@H]3c3ccc(C(F)(F)F)cc3)C2)nnc1-c1cccnc1</x:v>
      </x:c>
      <x:c r="BE74" s="9" t="str">
        <x:v>Cn1c(SCCCN2CCC3(CC3c3ccc(C(F)(F)F)cc3)C2)nnc1-c1cccnc1</x:v>
      </x:c>
      <x:c r="BF74" s="9" t="str">
        <x:v>Cn1c(SCCCN2CC[C@]3(C[C@@H]3c3ccc(C(F)(F)F)cc3)C2)nnc1-c1cccnc1</x:v>
      </x:c>
      <x:c r="BG74" s="12" t="n">
        <x:v>4.571400777919621e-7</x:v>
      </x:c>
      <x:c r="BH74" s="11" t="n">
        <x:v>6.050000457140078</x:v>
      </x:c>
      <x:c r="BI74" s="9" t="str">
        <x:v>c1ccc(C2CC23CCN(CCCSc2nnc(-c4cccnc4)[nH]2)C3)cc1</x:v>
      </x:c>
      <x:c r="BJ74" s="13" t="n">
        <x:v>1</x:v>
      </x:c>
      <x:c r="BK74" s="11" t="n">
        <x:v>891.25</x:v>
      </x:c>
      <x:c r="BL74" s="12" t="n">
        <x:v>-0.0009381337458762573</x:v>
      </x:c>
      <x:c r="BM74" s="9" t="str">
        <x:v>false</x:v>
      </x:c>
    </x:row>
    <x:row r="75" ht="51" customHeight="1">
      <x:c r="A75" s="14" t="str">
        <x:v>null</x:v>
      </x:c>
      <x:c r="B75" s="14" t="str">
        <x:v>null</x:v>
      </x:c>
      <x:c r="C75" s="14" t="str">
        <x:v>16670406</x:v>
      </x:c>
      <x:c r="D75" s="14" t="str">
        <x:v>[]</x:v>
      </x:c>
      <x:c r="E75" s="14" t="str">
        <x:v>CHEMBL3855278</x:v>
      </x:c>
      <x:c r="F75" s="14" t="str">
        <x:v>Displacement of [3H]-spiperone from human dopamine D2 receptor expressed in CHO-K1 cell membranes coexpressing Galpha16 after 120 mins by liquid scintillation counting</x:v>
      </x:c>
      <x:c r="G75" s="14" t="str">
        <x:v>B</x:v>
      </x:c>
      <x:c r="H75" s="14" t="str">
        <x:v>null</x:v>
      </x:c>
      <x:c r="I75" s="14" t="str">
        <x:v>null</x:v>
      </x:c>
      <x:c r="J75" s="14" t="str">
        <x:v>BAO_0000192</x:v>
      </x:c>
      <x:c r="K75" s="14" t="str">
        <x:v>BAO_0000219</x:v>
      </x:c>
      <x:c r="L75" s="14" t="str">
        <x:v>cell-based format</x:v>
      </x:c>
      <x:c r="M75" s="14" t="str">
        <x:v>Cn1c(SCCCN2CC[C@]3(C[C@H]3c3ccc(C(F)(F)F)cc3)C2)nnc1-c1ccccn1</x:v>
      </x:c>
      <x:c r="N75" s="14" t="str">
        <x:v>null</x:v>
      </x:c>
      <x:c r="O75" s="14" t="str">
        <x:v>null</x:v>
      </x:c>
      <x:c r="P75" s="14" t="str">
        <x:v>CHEMBL3853329</x:v>
      </x:c>
      <x:c r="Q75" s="14" t="str">
        <x:v>J Med Chem</x:v>
      </x:c>
      <x:c r="R75" s="17" t="n">
        <x:v>2016</x:v>
      </x:c>
      <x:c r="S75" s="14" t="str">
        <x:v>{"bei":"13.09","le":"0.26","lle":"0.94","sei":"13.24"}</x:v>
      </x:c>
      <x:c r="T75" s="14" t="str">
        <x:v>null</x:v>
      </x:c>
      <x:c r="U75" s="14" t="str">
        <x:v>CHEMBL3967683</x:v>
      </x:c>
      <x:c r="V75" s="14" t="str">
        <x:v>null</x:v>
      </x:c>
      <x:c r="W75" s="14" t="str">
        <x:v>CHEMBL3967683</x:v>
      </x:c>
      <x:c r="X75" s="15" t="n">
        <x:v>6.2</x:v>
      </x:c>
      <x:c r="Y75" s="17" t="n">
        <x:v>0</x:v>
      </x:c>
      <x:c r="Z75" s="14" t="str">
        <x:v>http://www.openphacts.org/units/Nanomolar</x:v>
      </x:c>
      <x:c r="AA75" s="14" t="str">
        <x:v>2796846</x:v>
      </x:c>
      <x:c r="AB75" s="14" t="str">
        <x:v>=</x:v>
      </x:c>
      <x:c r="AC75" s="14" t="str">
        <x:v>1</x:v>
      </x:c>
      <x:c r="AD75" s="17" t="n">
        <x:v>1</x:v>
      </x:c>
      <x:c r="AE75" s="14" t="str">
        <x:v>=</x:v>
      </x:c>
      <x:c r="AF75" s="14" t="str">
        <x:v>null</x:v>
      </x:c>
      <x:c r="AG75" s="14" t="str">
        <x:v>Ki</x:v>
      </x:c>
      <x:c r="AH75" s="14" t="str">
        <x:v>nM</x:v>
      </x:c>
      <x:c r="AI75" s="14" t="str">
        <x:v>null</x:v>
      </x:c>
      <x:c r="AJ75" s="15" t="n">
        <x:v>630.96</x:v>
      </x:c>
      <x:c r="AK75" s="14" t="str">
        <x:v>CHEMBL217</x:v>
      </x:c>
      <x:c r="AL75" s="14" t="str">
        <x:v>Homo sapiens</x:v>
      </x:c>
      <x:c r="AM75" s="14" t="str">
        <x:v>D(2) dopamine receptor</x:v>
      </x:c>
      <x:c r="AN75" s="14" t="str">
        <x:v>9606</x:v>
      </x:c>
      <x:c r="AO75" s="14" t="str">
        <x:v>null</x:v>
      </x:c>
      <x:c r="AP75" s="14" t="str">
        <x:v>null</x:v>
      </x:c>
      <x:c r="AQ75" s="14" t="str">
        <x:v>pKi</x:v>
      </x:c>
      <x:c r="AR75" s="14" t="str">
        <x:v>null</x:v>
      </x:c>
      <x:c r="AS75" s="14" t="str">
        <x:v>UO_0000065</x:v>
      </x:c>
      <x:c r="AT75" s="14" t="str">
        <x:v>null</x:v>
      </x:c>
      <x:c r="AU75" s="14" t="str">
        <x:v>6.2</x:v>
      </x:c>
      <x:c r="AV75" s="15" t="n">
        <x:v>0.00501</x:v>
      </x:c>
      <x:c r="AW75" s="14" t="str">
        <x:v>include</x:v>
      </x:c>
      <x:c r="AX75" s="14" t="str"/>
      <x:c r="AY75" s="15" t="n">
        <x:v>630.957344480193</x:v>
      </x:c>
      <x:c r="AZ75" s="14" t="str">
        <x:v>source_reported_pKi</x:v>
      </x:c>
      <x:c r="BA75" s="15" t="n">
        <x:v>6.2</x:v>
      </x:c>
      <x:c r="BB75" s="14" t="str">
        <x:v>f95ba44392a179a9568ecf385183c5f7270a941463f51ea3b9510151b7e68e02</x:v>
      </x:c>
      <x:c r="BC75" s="14" t="str">
        <x:v>BGJXBVUWLFEJNM-CVDCTZTESA-N</x:v>
      </x:c>
      <x:c r="BD75" s="14" t="str">
        <x:v>Cn1c(SCCCN2CC[C@]3(C[C@H]3c3ccc(C(F)(F)F)cc3)C2)nnc1-c1ccccn1</x:v>
      </x:c>
      <x:c r="BE75" s="14" t="str">
        <x:v>Cn1c(SCCCN2CCC3(CC3c3ccc(C(F)(F)F)cc3)C2)nnc1-c1ccccn1</x:v>
      </x:c>
      <x:c r="BF75" s="14" t="str">
        <x:v>Cn1c(SCCCN2CC[C@]3(C[C@H]3c3ccc(C(F)(F)F)cc3)C2)nnc1-c1ccccn1</x:v>
      </x:c>
      <x:c r="BG75" s="16" t="n">
        <x:v>-0.0000018278179689801277</x:v>
      </x:c>
      <x:c r="BH75" s="15" t="n">
        <x:v>6.199998172182031</x:v>
      </x:c>
      <x:c r="BI75" s="14" t="str">
        <x:v>c1ccc(C2CC23CCN(CCCSc2nnc(-c4ccccn4)[nH]2)C3)cc1</x:v>
      </x:c>
      <x:c r="BJ75" s="17" t="n">
        <x:v>1</x:v>
      </x:c>
      <x:c r="BK75" s="15" t="n">
        <x:v>630.96</x:v>
      </x:c>
      <x:c r="BL75" s="16" t="n">
        <x:v>0.002655519807035489</x:v>
      </x:c>
      <x:c r="BM75" s="14" t="str">
        <x:v>false</x:v>
      </x:c>
    </x:row>
    <x:row r="76" ht="51" customHeight="1">
      <x:c r="A76" s="9" t="str">
        <x:v>null</x:v>
      </x:c>
      <x:c r="B76" s="9" t="str">
        <x:v>null</x:v>
      </x:c>
      <x:c r="C76" s="9" t="str">
        <x:v>16670407</x:v>
      </x:c>
      <x:c r="D76" s="9" t="str">
        <x:v>[]</x:v>
      </x:c>
      <x:c r="E76" s="9" t="str">
        <x:v>CHEMBL3855278</x:v>
      </x:c>
      <x:c r="F76" s="9" t="str">
        <x:v>Displacement of [3H]-spiperone from human dopamine D2 receptor expressed in CHO-K1 cell membranes coexpressing Galpha16 after 120 mins by liquid scintillation counting</x:v>
      </x:c>
      <x:c r="G76" s="9" t="str">
        <x:v>B</x:v>
      </x:c>
      <x:c r="H76" s="9" t="str">
        <x:v>null</x:v>
      </x:c>
      <x:c r="I76" s="9" t="str">
        <x:v>null</x:v>
      </x:c>
      <x:c r="J76" s="9" t="str">
        <x:v>BAO_0000192</x:v>
      </x:c>
      <x:c r="K76" s="9" t="str">
        <x:v>BAO_0000219</x:v>
      </x:c>
      <x:c r="L76" s="9" t="str">
        <x:v>cell-based format</x:v>
      </x:c>
      <x:c r="M76" s="9" t="str">
        <x:v>Cn1c(SCCCN2CC[C@]3(C[C@@H]3c3ccc(C(F)(F)F)cc3)C2)nnc1-c1ccccn1</x:v>
      </x:c>
      <x:c r="N76" s="9" t="str">
        <x:v>null</x:v>
      </x:c>
      <x:c r="O76" s="9" t="str">
        <x:v>null</x:v>
      </x:c>
      <x:c r="P76" s="9" t="str">
        <x:v>CHEMBL3853329</x:v>
      </x:c>
      <x:c r="Q76" s="9" t="str">
        <x:v>J Med Chem</x:v>
      </x:c>
      <x:c r="R76" s="13" t="n">
        <x:v>2016</x:v>
      </x:c>
      <x:c r="S76" s="9" t="str">
        <x:v>{"bei":"13.26","le":"0.26","lle":"1.02","sei":"13.41"}</x:v>
      </x:c>
      <x:c r="T76" s="9" t="str">
        <x:v>null</x:v>
      </x:c>
      <x:c r="U76" s="9" t="str">
        <x:v>CHEMBL3946901</x:v>
      </x:c>
      <x:c r="V76" s="9" t="str">
        <x:v>null</x:v>
      </x:c>
      <x:c r="W76" s="9" t="str">
        <x:v>CHEMBL3946901</x:v>
      </x:c>
      <x:c r="X76" s="11" t="n">
        <x:v>6.28</x:v>
      </x:c>
      <x:c r="Y76" s="13" t="n">
        <x:v>0</x:v>
      </x:c>
      <x:c r="Z76" s="9" t="str">
        <x:v>http://www.openphacts.org/units/Nanomolar</x:v>
      </x:c>
      <x:c r="AA76" s="9" t="str">
        <x:v>2796847</x:v>
      </x:c>
      <x:c r="AB76" s="9" t="str">
        <x:v>=</x:v>
      </x:c>
      <x:c r="AC76" s="9" t="str">
        <x:v>1</x:v>
      </x:c>
      <x:c r="AD76" s="13" t="n">
        <x:v>1</x:v>
      </x:c>
      <x:c r="AE76" s="9" t="str">
        <x:v>=</x:v>
      </x:c>
      <x:c r="AF76" s="9" t="str">
        <x:v>null</x:v>
      </x:c>
      <x:c r="AG76" s="9" t="str">
        <x:v>Ki</x:v>
      </x:c>
      <x:c r="AH76" s="9" t="str">
        <x:v>nM</x:v>
      </x:c>
      <x:c r="AI76" s="9" t="str">
        <x:v>null</x:v>
      </x:c>
      <x:c r="AJ76" s="11" t="n">
        <x:v>524.81</x:v>
      </x:c>
      <x:c r="AK76" s="9" t="str">
        <x:v>CHEMBL217</x:v>
      </x:c>
      <x:c r="AL76" s="9" t="str">
        <x:v>Homo sapiens</x:v>
      </x:c>
      <x:c r="AM76" s="9" t="str">
        <x:v>D(2) dopamine receptor</x:v>
      </x:c>
      <x:c r="AN76" s="9" t="str">
        <x:v>9606</x:v>
      </x:c>
      <x:c r="AO76" s="9" t="str">
        <x:v>null</x:v>
      </x:c>
      <x:c r="AP76" s="9" t="str">
        <x:v>null</x:v>
      </x:c>
      <x:c r="AQ76" s="9" t="str">
        <x:v>pKi</x:v>
      </x:c>
      <x:c r="AR76" s="9" t="str">
        <x:v>null</x:v>
      </x:c>
      <x:c r="AS76" s="9" t="str">
        <x:v>UO_0000065</x:v>
      </x:c>
      <x:c r="AT76" s="9" t="str">
        <x:v>null</x:v>
      </x:c>
      <x:c r="AU76" s="9" t="str">
        <x:v>6.28</x:v>
      </x:c>
      <x:c r="AV76" s="11" t="n">
        <x:v>0.00501</x:v>
      </x:c>
      <x:c r="AW76" s="9" t="str">
        <x:v>include</x:v>
      </x:c>
      <x:c r="AX76" s="9" t="str"/>
      <x:c r="AY76" s="11" t="n">
        <x:v>524.8074602497722</x:v>
      </x:c>
      <x:c r="AZ76" s="9" t="str">
        <x:v>source_reported_pKi</x:v>
      </x:c>
      <x:c r="BA76" s="11" t="n">
        <x:v>6.28</x:v>
      </x:c>
      <x:c r="BB76" s="9" t="str">
        <x:v>f95ba44392a179a9568ecf385183c5f7270a941463f51ea3b9510151b7e68e02</x:v>
      </x:c>
      <x:c r="BC76" s="9" t="str">
        <x:v>BGJXBVUWLFEJNM-XXBNENTESA-N</x:v>
      </x:c>
      <x:c r="BD76" s="9" t="str">
        <x:v>Cn1c(SCCCN2CC[C@]3(C[C@@H]3c3ccc(C(F)(F)F)cc3)C2)nnc1-c1ccccn1</x:v>
      </x:c>
      <x:c r="BE76" s="9" t="str">
        <x:v>Cn1c(SCCCN2CCC3(CC3c3ccc(C(F)(F)F)cc3)C2)nnc1-c1ccccn1</x:v>
      </x:c>
      <x:c r="BF76" s="9" t="str">
        <x:v>Cn1c(SCCCN2CC[C@]3(C[C@@H]3c3ccc(C(F)(F)F)cc3)C2)nnc1-c1ccccn1</x:v>
      </x:c>
      <x:c r="BG76" s="12" t="n">
        <x:v>-0.0000021017171514259303</x:v>
      </x:c>
      <x:c r="BH76" s="11" t="n">
        <x:v>6.279997898282849</x:v>
      </x:c>
      <x:c r="BI76" s="9" t="str">
        <x:v>c1ccc(C2CC23CCN(CCCSc2nnc(-c4ccccn4)[nH]2)C3)cc1</x:v>
      </x:c>
      <x:c r="BJ76" s="13" t="n">
        <x:v>1</x:v>
      </x:c>
      <x:c r="BK76" s="11" t="n">
        <x:v>524.81</x:v>
      </x:c>
      <x:c r="BL76" s="12" t="n">
        <x:v>0.0025397502276973682</x:v>
      </x:c>
      <x:c r="BM76" s="9" t="str">
        <x:v>false</x:v>
      </x:c>
    </x:row>
    <x:row r="77" ht="51" customHeight="1">
      <x:c r="A77" s="14" t="str">
        <x:v>null</x:v>
      </x:c>
      <x:c r="B77" s="14" t="str">
        <x:v>null</x:v>
      </x:c>
      <x:c r="C77" s="14" t="str">
        <x:v>16670408</x:v>
      </x:c>
      <x:c r="D77" s="14" t="str">
        <x:v>[]</x:v>
      </x:c>
      <x:c r="E77" s="14" t="str">
        <x:v>CHEMBL3855278</x:v>
      </x:c>
      <x:c r="F77" s="14" t="str">
        <x:v>Displacement of [3H]-spiperone from human dopamine D2 receptor expressed in CHO-K1 cell membranes coexpressing Galpha16 after 120 mins by liquid scintillation counting</x:v>
      </x:c>
      <x:c r="G77" s="14" t="str">
        <x:v>B</x:v>
      </x:c>
      <x:c r="H77" s="14" t="str">
        <x:v>null</x:v>
      </x:c>
      <x:c r="I77" s="14" t="str">
        <x:v>null</x:v>
      </x:c>
      <x:c r="J77" s="14" t="str">
        <x:v>BAO_0000192</x:v>
      </x:c>
      <x:c r="K77" s="14" t="str">
        <x:v>BAO_0000219</x:v>
      </x:c>
      <x:c r="L77" s="14" t="str">
        <x:v>cell-based format</x:v>
      </x:c>
      <x:c r="M77" s="14" t="str">
        <x:v>Cn1c(SCCCN2CC[C@]3(C[C@H]3c3ccc(C(F)(F)F)cc3)C2)nnc1-c1cnccn1</x:v>
      </x:c>
      <x:c r="N77" s="14" t="str">
        <x:v>null</x:v>
      </x:c>
      <x:c r="O77" s="14" t="str">
        <x:v>null</x:v>
      </x:c>
      <x:c r="P77" s="14" t="str">
        <x:v>CHEMBL3853329</x:v>
      </x:c>
      <x:c r="Q77" s="14" t="str">
        <x:v>J Med Chem</x:v>
      </x:c>
      <x:c r="R77" s="17" t="n">
        <x:v>2016</x:v>
      </x:c>
      <x:c r="S77" s="14" t="str">
        <x:v>{"bei":"12.31","le":"0.24","lle":"1.19","sei":"9.78"}</x:v>
      </x:c>
      <x:c r="T77" s="14" t="str">
        <x:v>null</x:v>
      </x:c>
      <x:c r="U77" s="14" t="str">
        <x:v>CHEMBL3976192</x:v>
      </x:c>
      <x:c r="V77" s="14" t="str">
        <x:v>null</x:v>
      </x:c>
      <x:c r="W77" s="14" t="str">
        <x:v>CHEMBL3976192</x:v>
      </x:c>
      <x:c r="X77" s="15" t="n">
        <x:v>5.84</x:v>
      </x:c>
      <x:c r="Y77" s="17" t="n">
        <x:v>0</x:v>
      </x:c>
      <x:c r="Z77" s="14" t="str">
        <x:v>http://www.openphacts.org/units/Nanomolar</x:v>
      </x:c>
      <x:c r="AA77" s="14" t="str">
        <x:v>2796848</x:v>
      </x:c>
      <x:c r="AB77" s="14" t="str">
        <x:v>=</x:v>
      </x:c>
      <x:c r="AC77" s="14" t="str">
        <x:v>1</x:v>
      </x:c>
      <x:c r="AD77" s="17" t="n">
        <x:v>1</x:v>
      </x:c>
      <x:c r="AE77" s="14" t="str">
        <x:v>=</x:v>
      </x:c>
      <x:c r="AF77" s="14" t="str">
        <x:v>null</x:v>
      </x:c>
      <x:c r="AG77" s="14" t="str">
        <x:v>Ki</x:v>
      </x:c>
      <x:c r="AH77" s="14" t="str">
        <x:v>nM</x:v>
      </x:c>
      <x:c r="AI77" s="14" t="str">
        <x:v>null</x:v>
      </x:c>
      <x:c r="AJ77" s="15" t="n">
        <x:v>1445.44</x:v>
      </x:c>
      <x:c r="AK77" s="14" t="str">
        <x:v>CHEMBL217</x:v>
      </x:c>
      <x:c r="AL77" s="14" t="str">
        <x:v>Homo sapiens</x:v>
      </x:c>
      <x:c r="AM77" s="14" t="str">
        <x:v>D(2) dopamine receptor</x:v>
      </x:c>
      <x:c r="AN77" s="14" t="str">
        <x:v>9606</x:v>
      </x:c>
      <x:c r="AO77" s="14" t="str">
        <x:v>null</x:v>
      </x:c>
      <x:c r="AP77" s="14" t="str">
        <x:v>null</x:v>
      </x:c>
      <x:c r="AQ77" s="14" t="str">
        <x:v>pKi</x:v>
      </x:c>
      <x:c r="AR77" s="14" t="str">
        <x:v>null</x:v>
      </x:c>
      <x:c r="AS77" s="14" t="str">
        <x:v>UO_0000065</x:v>
      </x:c>
      <x:c r="AT77" s="14" t="str">
        <x:v>null</x:v>
      </x:c>
      <x:c r="AU77" s="14" t="str">
        <x:v>5.84</x:v>
      </x:c>
      <x:c r="AV77" s="15" t="n">
        <x:v>0.00501</x:v>
      </x:c>
      <x:c r="AW77" s="14" t="str">
        <x:v>include</x:v>
      </x:c>
      <x:c r="AX77" s="14" t="str"/>
      <x:c r="AY77" s="15" t="n">
        <x:v>1445.439770745928</x:v>
      </x:c>
      <x:c r="AZ77" s="14" t="str">
        <x:v>source_reported_pKi</x:v>
      </x:c>
      <x:c r="BA77" s="15" t="n">
        <x:v>5.84</x:v>
      </x:c>
      <x:c r="BB77" s="14" t="str">
        <x:v>bf8c337e163c734818a73277dfa77802c4776f2aeee9aac72227f5c033905c48</x:v>
      </x:c>
      <x:c r="BC77" s="14" t="str">
        <x:v>GPDZHKOGLHALQL-AVRDEDQJSA-N</x:v>
      </x:c>
      <x:c r="BD77" s="14" t="str">
        <x:v>Cn1c(SCCCN2CC[C@]3(C[C@H]3c3ccc(C(F)(F)F)cc3)C2)nnc1-c1cnccn1</x:v>
      </x:c>
      <x:c r="BE77" s="14" t="str">
        <x:v>Cn1c(SCCCN2CCC3(CC3c3ccc(C(F)(F)F)cc3)C2)nnc1-c1cnccn1</x:v>
      </x:c>
      <x:c r="BF77" s="14" t="str">
        <x:v>Cn1c(SCCCN2CC[C@]3(C[C@H]3c3ccc(C(F)(F)F)cc3)C2)nnc1-c1cnccn1</x:v>
      </x:c>
      <x:c r="BG77" s="16" t="n">
        <x:v>-6.888130066329268e-8</x:v>
      </x:c>
      <x:c r="BH77" s="15" t="n">
        <x:v>5.839999931118699</x:v>
      </x:c>
      <x:c r="BI77" s="14" t="str">
        <x:v>c1ccc(C2CC23CCN(CCCSc2nnc(-c4cnccn4)[nH]2)C3)cc1</x:v>
      </x:c>
      <x:c r="BJ77" s="17" t="n">
        <x:v>1</x:v>
      </x:c>
      <x:c r="BK77" s="15" t="n">
        <x:v>1445.44</x:v>
      </x:c>
      <x:c r="BL77" s="16" t="n">
        <x:v>0.00022925407211005222</x:v>
      </x:c>
      <x:c r="BM77" s="14" t="str">
        <x:v>false</x:v>
      </x:c>
    </x:row>
    <x:row r="78" ht="51" customHeight="1">
      <x:c r="A78" s="9" t="str">
        <x:v>null</x:v>
      </x:c>
      <x:c r="B78" s="9" t="str">
        <x:v>null</x:v>
      </x:c>
      <x:c r="C78" s="9" t="str">
        <x:v>16670409</x:v>
      </x:c>
      <x:c r="D78" s="9" t="str">
        <x:v>[]</x:v>
      </x:c>
      <x:c r="E78" s="9" t="str">
        <x:v>CHEMBL3855278</x:v>
      </x:c>
      <x:c r="F78" s="9" t="str">
        <x:v>Displacement of [3H]-spiperone from human dopamine D2 receptor expressed in CHO-K1 cell membranes coexpressing Galpha16 after 120 mins by liquid scintillation counting</x:v>
      </x:c>
      <x:c r="G78" s="9" t="str">
        <x:v>B</x:v>
      </x:c>
      <x:c r="H78" s="9" t="str">
        <x:v>null</x:v>
      </x:c>
      <x:c r="I78" s="9" t="str">
        <x:v>null</x:v>
      </x:c>
      <x:c r="J78" s="9" t="str">
        <x:v>BAO_0000192</x:v>
      </x:c>
      <x:c r="K78" s="9" t="str">
        <x:v>BAO_0000219</x:v>
      </x:c>
      <x:c r="L78" s="9" t="str">
        <x:v>cell-based format</x:v>
      </x:c>
      <x:c r="M78" s="9" t="str">
        <x:v>Cn1c(SCCCN2CC[C@]3(C[C@@H]3c3ccc(C(F)(F)F)cc3)C2)nnc1-c1cnccn1</x:v>
      </x:c>
      <x:c r="N78" s="9" t="str">
        <x:v>null</x:v>
      </x:c>
      <x:c r="O78" s="9" t="str">
        <x:v>null</x:v>
      </x:c>
      <x:c r="P78" s="9" t="str">
        <x:v>CHEMBL3853329</x:v>
      </x:c>
      <x:c r="Q78" s="9" t="str">
        <x:v>J Med Chem</x:v>
      </x:c>
      <x:c r="R78" s="13" t="n">
        <x:v>2016</x:v>
      </x:c>
      <x:c r="S78" s="9" t="str">
        <x:v>{"bei":"13.34","le":"0.26","lle":"1.68","sei":"10.60"}</x:v>
      </x:c>
      <x:c r="T78" s="9" t="str">
        <x:v>null</x:v>
      </x:c>
      <x:c r="U78" s="9" t="str">
        <x:v>CHEMBL3955608</x:v>
      </x:c>
      <x:c r="V78" s="9" t="str">
        <x:v>null</x:v>
      </x:c>
      <x:c r="W78" s="9" t="str">
        <x:v>CHEMBL3955608</x:v>
      </x:c>
      <x:c r="X78" s="11" t="n">
        <x:v>6.33</x:v>
      </x:c>
      <x:c r="Y78" s="13" t="n">
        <x:v>0</x:v>
      </x:c>
      <x:c r="Z78" s="9" t="str">
        <x:v>http://www.openphacts.org/units/Nanomolar</x:v>
      </x:c>
      <x:c r="AA78" s="9" t="str">
        <x:v>2796849</x:v>
      </x:c>
      <x:c r="AB78" s="9" t="str">
        <x:v>=</x:v>
      </x:c>
      <x:c r="AC78" s="9" t="str">
        <x:v>1</x:v>
      </x:c>
      <x:c r="AD78" s="13" t="n">
        <x:v>1</x:v>
      </x:c>
      <x:c r="AE78" s="9" t="str">
        <x:v>=</x:v>
      </x:c>
      <x:c r="AF78" s="9" t="str">
        <x:v>null</x:v>
      </x:c>
      <x:c r="AG78" s="9" t="str">
        <x:v>Ki</x:v>
      </x:c>
      <x:c r="AH78" s="9" t="str">
        <x:v>nM</x:v>
      </x:c>
      <x:c r="AI78" s="9" t="str">
        <x:v>null</x:v>
      </x:c>
      <x:c r="AJ78" s="11" t="n">
        <x:v>467.74</x:v>
      </x:c>
      <x:c r="AK78" s="9" t="str">
        <x:v>CHEMBL217</x:v>
      </x:c>
      <x:c r="AL78" s="9" t="str">
        <x:v>Homo sapiens</x:v>
      </x:c>
      <x:c r="AM78" s="9" t="str">
        <x:v>D(2) dopamine receptor</x:v>
      </x:c>
      <x:c r="AN78" s="9" t="str">
        <x:v>9606</x:v>
      </x:c>
      <x:c r="AO78" s="9" t="str">
        <x:v>null</x:v>
      </x:c>
      <x:c r="AP78" s="9" t="str">
        <x:v>null</x:v>
      </x:c>
      <x:c r="AQ78" s="9" t="str">
        <x:v>pKi</x:v>
      </x:c>
      <x:c r="AR78" s="9" t="str">
        <x:v>null</x:v>
      </x:c>
      <x:c r="AS78" s="9" t="str">
        <x:v>UO_0000065</x:v>
      </x:c>
      <x:c r="AT78" s="9" t="str">
        <x:v>null</x:v>
      </x:c>
      <x:c r="AU78" s="9" t="str">
        <x:v>6.33</x:v>
      </x:c>
      <x:c r="AV78" s="11" t="n">
        <x:v>0.00501</x:v>
      </x:c>
      <x:c r="AW78" s="9" t="str">
        <x:v>include</x:v>
      </x:c>
      <x:c r="AX78" s="9" t="str"/>
      <x:c r="AY78" s="11" t="n">
        <x:v>467.73514128719813</x:v>
      </x:c>
      <x:c r="AZ78" s="9" t="str">
        <x:v>source_reported_pKi</x:v>
      </x:c>
      <x:c r="BA78" s="11" t="n">
        <x:v>6.33</x:v>
      </x:c>
      <x:c r="BB78" s="9" t="str">
        <x:v>bf8c337e163c734818a73277dfa77802c4776f2aeee9aac72227f5c033905c48</x:v>
      </x:c>
      <x:c r="BC78" s="9" t="str">
        <x:v>GPDZHKOGLHALQL-GCJKJVERSA-N</x:v>
      </x:c>
      <x:c r="BD78" s="9" t="str">
        <x:v>Cn1c(SCCCN2CC[C@]3(C[C@@H]3c3ccc(C(F)(F)F)cc3)C2)nnc1-c1cnccn1</x:v>
      </x:c>
      <x:c r="BE78" s="9" t="str">
        <x:v>Cn1c(SCCCN2CCC3(CC3c3ccc(C(F)(F)F)cc3)C2)nnc1-c1cnccn1</x:v>
      </x:c>
      <x:c r="BF78" s="9" t="str">
        <x:v>Cn1c(SCCCN2CC[C@]3(C[C@@H]3c3ccc(C(F)(F)F)cc3)C2)nnc1-c1cnccn1</x:v>
      </x:c>
      <x:c r="BG78" s="12" t="n">
        <x:v>-0.0000045113163693599745</x:v>
      </x:c>
      <x:c r="BH78" s="11" t="n">
        <x:v>6.329995488683631</x:v>
      </x:c>
      <x:c r="BI78" s="9" t="str">
        <x:v>c1ccc(C2CC23CCN(CCCSc2nnc(-c4cnccn4)[nH]2)C3)cc1</x:v>
      </x:c>
      <x:c r="BJ78" s="13" t="n">
        <x:v>1</x:v>
      </x:c>
      <x:c r="BK78" s="11" t="n">
        <x:v>467.74</x:v>
      </x:c>
      <x:c r="BL78" s="12" t="n">
        <x:v>0.0048587128018766634</x:v>
      </x:c>
      <x:c r="BM78" s="9" t="str">
        <x:v>false</x:v>
      </x:c>
    </x:row>
    <x:row r="79" ht="51" customHeight="1">
      <x:c r="A79" s="14" t="str">
        <x:v>null</x:v>
      </x:c>
      <x:c r="B79" s="14" t="str">
        <x:v>null</x:v>
      </x:c>
      <x:c r="C79" s="14" t="str">
        <x:v>16670410</x:v>
      </x:c>
      <x:c r="D79" s="14" t="str">
        <x:v>[]</x:v>
      </x:c>
      <x:c r="E79" s="14" t="str">
        <x:v>CHEMBL3855278</x:v>
      </x:c>
      <x:c r="F79" s="14" t="str">
        <x:v>Displacement of [3H]-spiperone from human dopamine D2 receptor expressed in CHO-K1 cell membranes coexpressing Galpha16 after 120 mins by liquid scintillation counting</x:v>
      </x:c>
      <x:c r="G79" s="14" t="str">
        <x:v>B</x:v>
      </x:c>
      <x:c r="H79" s="14" t="str">
        <x:v>null</x:v>
      </x:c>
      <x:c r="I79" s="14" t="str">
        <x:v>null</x:v>
      </x:c>
      <x:c r="J79" s="14" t="str">
        <x:v>BAO_0000192</x:v>
      </x:c>
      <x:c r="K79" s="14" t="str">
        <x:v>BAO_0000219</x:v>
      </x:c>
      <x:c r="L79" s="14" t="str">
        <x:v>cell-based format</x:v>
      </x:c>
      <x:c r="M79" s="14" t="str">
        <x:v>Cn1c(SCCCN2CC[C@]3(C[C@H]3c3ccc(C(F)(F)F)cc3)C2)nnc1-c1ccncn1</x:v>
      </x:c>
      <x:c r="N79" s="14" t="str">
        <x:v>null</x:v>
      </x:c>
      <x:c r="O79" s="14" t="str">
        <x:v>null</x:v>
      </x:c>
      <x:c r="P79" s="14" t="str">
        <x:v>CHEMBL3853329</x:v>
      </x:c>
      <x:c r="Q79" s="14" t="str">
        <x:v>J Med Chem</x:v>
      </x:c>
      <x:c r="R79" s="17" t="n">
        <x:v>2016</x:v>
      </x:c>
      <x:c r="S79" s="14" t="str">
        <x:v>{"bei":"13.40","le":"0.26","lle":"1.71","sei":"10.65"}</x:v>
      </x:c>
      <x:c r="T79" s="14" t="str">
        <x:v>null</x:v>
      </x:c>
      <x:c r="U79" s="14" t="str">
        <x:v>CHEMBL3984236</x:v>
      </x:c>
      <x:c r="V79" s="14" t="str">
        <x:v>null</x:v>
      </x:c>
      <x:c r="W79" s="14" t="str">
        <x:v>CHEMBL3984236</x:v>
      </x:c>
      <x:c r="X79" s="15" t="n">
        <x:v>6.36</x:v>
      </x:c>
      <x:c r="Y79" s="17" t="n">
        <x:v>0</x:v>
      </x:c>
      <x:c r="Z79" s="14" t="str">
        <x:v>http://www.openphacts.org/units/Nanomolar</x:v>
      </x:c>
      <x:c r="AA79" s="14" t="str">
        <x:v>2796850</x:v>
      </x:c>
      <x:c r="AB79" s="14" t="str">
        <x:v>=</x:v>
      </x:c>
      <x:c r="AC79" s="14" t="str">
        <x:v>1</x:v>
      </x:c>
      <x:c r="AD79" s="17" t="n">
        <x:v>1</x:v>
      </x:c>
      <x:c r="AE79" s="14" t="str">
        <x:v>=</x:v>
      </x:c>
      <x:c r="AF79" s="14" t="str">
        <x:v>null</x:v>
      </x:c>
      <x:c r="AG79" s="14" t="str">
        <x:v>Ki</x:v>
      </x:c>
      <x:c r="AH79" s="14" t="str">
        <x:v>nM</x:v>
      </x:c>
      <x:c r="AI79" s="14" t="str">
        <x:v>null</x:v>
      </x:c>
      <x:c r="AJ79" s="15" t="n">
        <x:v>436.52</x:v>
      </x:c>
      <x:c r="AK79" s="14" t="str">
        <x:v>CHEMBL217</x:v>
      </x:c>
      <x:c r="AL79" s="14" t="str">
        <x:v>Homo sapiens</x:v>
      </x:c>
      <x:c r="AM79" s="14" t="str">
        <x:v>D(2) dopamine receptor</x:v>
      </x:c>
      <x:c r="AN79" s="14" t="str">
        <x:v>9606</x:v>
      </x:c>
      <x:c r="AO79" s="14" t="str">
        <x:v>null</x:v>
      </x:c>
      <x:c r="AP79" s="14" t="str">
        <x:v>null</x:v>
      </x:c>
      <x:c r="AQ79" s="14" t="str">
        <x:v>pKi</x:v>
      </x:c>
      <x:c r="AR79" s="14" t="str">
        <x:v>null</x:v>
      </x:c>
      <x:c r="AS79" s="14" t="str">
        <x:v>UO_0000065</x:v>
      </x:c>
      <x:c r="AT79" s="14" t="str">
        <x:v>null</x:v>
      </x:c>
      <x:c r="AU79" s="14" t="str">
        <x:v>6.36</x:v>
      </x:c>
      <x:c r="AV79" s="15" t="n">
        <x:v>0.00501</x:v>
      </x:c>
      <x:c r="AW79" s="14" t="str">
        <x:v>include</x:v>
      </x:c>
      <x:c r="AX79" s="14" t="str"/>
      <x:c r="AY79" s="15" t="n">
        <x:v>436.51583224016565</x:v>
      </x:c>
      <x:c r="AZ79" s="14" t="str">
        <x:v>source_reported_pKi</x:v>
      </x:c>
      <x:c r="BA79" s="15" t="n">
        <x:v>6.36</x:v>
      </x:c>
      <x:c r="BB79" s="14" t="str">
        <x:v>2e58078d38ef706dda1dd5c2ffc7a8906a06379b0de3f8a8e062e721b5075132</x:v>
      </x:c>
      <x:c r="BC79" s="14" t="str">
        <x:v>LKIZJVWLCHAZTJ-AVRDEDQJSA-N</x:v>
      </x:c>
      <x:c r="BD79" s="14" t="str">
        <x:v>Cn1c(SCCCN2CC[C@]3(C[C@H]3c3ccc(C(F)(F)F)cc3)C2)nnc1-c1ccncn1</x:v>
      </x:c>
      <x:c r="BE79" s="14" t="str">
        <x:v>Cn1c(SCCCN2CCC3(CC3c3ccc(C(F)(F)F)cc3)C2)nnc1-c1ccncn1</x:v>
      </x:c>
      <x:c r="BF79" s="14" t="str">
        <x:v>Cn1c(SCCCN2CC[C@]3(C[C@H]3c3ccc(C(F)(F)F)cc3)C2)nnc1-c1ccncn1</x:v>
      </x:c>
      <x:c r="BG79" s="16" t="n">
        <x:v>-0.000004146531060733594</x:v>
      </x:c>
      <x:c r="BH79" s="15" t="n">
        <x:v>6.35999585346894</x:v>
      </x:c>
      <x:c r="BI79" s="14" t="str">
        <x:v>c1ccc(C2CC23CCN(CCCSc2nnc(-c4ccncn4)[nH]2)C3)cc1</x:v>
      </x:c>
      <x:c r="BJ79" s="17" t="n">
        <x:v>1</x:v>
      </x:c>
      <x:c r="BK79" s="15" t="n">
        <x:v>436.52</x:v>
      </x:c>
      <x:c r="BL79" s="16" t="n">
        <x:v>0.004167759834331264</x:v>
      </x:c>
      <x:c r="BM79" s="14" t="str">
        <x:v>false</x:v>
      </x:c>
    </x:row>
    <x:row r="80" ht="51" customHeight="1">
      <x:c r="A80" s="9" t="str">
        <x:v>null</x:v>
      </x:c>
      <x:c r="B80" s="9" t="str">
        <x:v>null</x:v>
      </x:c>
      <x:c r="C80" s="9" t="str">
        <x:v>16670411</x:v>
      </x:c>
      <x:c r="D80" s="9" t="str">
        <x:v>[]</x:v>
      </x:c>
      <x:c r="E80" s="9" t="str">
        <x:v>CHEMBL3855278</x:v>
      </x:c>
      <x:c r="F80" s="9" t="str">
        <x:v>Displacement of [3H]-spiperone from human dopamine D2 receptor expressed in CHO-K1 cell membranes coexpressing Galpha16 after 120 mins by liquid scintillation counting</x:v>
      </x:c>
      <x:c r="G80" s="9" t="str">
        <x:v>B</x:v>
      </x:c>
      <x:c r="H80" s="9" t="str">
        <x:v>null</x:v>
      </x:c>
      <x:c r="I80" s="9" t="str">
        <x:v>null</x:v>
      </x:c>
      <x:c r="J80" s="9" t="str">
        <x:v>BAO_0000192</x:v>
      </x:c>
      <x:c r="K80" s="9" t="str">
        <x:v>BAO_0000219</x:v>
      </x:c>
      <x:c r="L80" s="9" t="str">
        <x:v>cell-based format</x:v>
      </x:c>
      <x:c r="M80" s="9" t="str">
        <x:v>Cn1c(SCCCN2CC[C@]3(C[C@@H]3c3ccc(C(F)(F)F)cc3)C2)nnc1-c1ccncn1</x:v>
      </x:c>
      <x:c r="N80" s="9" t="str">
        <x:v>null</x:v>
      </x:c>
      <x:c r="O80" s="9" t="str">
        <x:v>null</x:v>
      </x:c>
      <x:c r="P80" s="9" t="str">
        <x:v>CHEMBL3853329</x:v>
      </x:c>
      <x:c r="Q80" s="9" t="str">
        <x:v>J Med Chem</x:v>
      </x:c>
      <x:c r="R80" s="13" t="n">
        <x:v>2016</x:v>
      </x:c>
      <x:c r="S80" s="9" t="str">
        <x:v>{"bei":"13.76","le":"0.27","lle":"1.88","sei":"10.93"}</x:v>
      </x:c>
      <x:c r="T80" s="9" t="str">
        <x:v>null</x:v>
      </x:c>
      <x:c r="U80" s="9" t="str">
        <x:v>CHEMBL3958309</x:v>
      </x:c>
      <x:c r="V80" s="9" t="str">
        <x:v>null</x:v>
      </x:c>
      <x:c r="W80" s="9" t="str">
        <x:v>CHEMBL3958309</x:v>
      </x:c>
      <x:c r="X80" s="11" t="n">
        <x:v>6.53</x:v>
      </x:c>
      <x:c r="Y80" s="13" t="n">
        <x:v>0</x:v>
      </x:c>
      <x:c r="Z80" s="9" t="str">
        <x:v>http://www.openphacts.org/units/Nanomolar</x:v>
      </x:c>
      <x:c r="AA80" s="9" t="str">
        <x:v>2796851</x:v>
      </x:c>
      <x:c r="AB80" s="9" t="str">
        <x:v>=</x:v>
      </x:c>
      <x:c r="AC80" s="9" t="str">
        <x:v>1</x:v>
      </x:c>
      <x:c r="AD80" s="13" t="n">
        <x:v>1</x:v>
      </x:c>
      <x:c r="AE80" s="9" t="str">
        <x:v>=</x:v>
      </x:c>
      <x:c r="AF80" s="9" t="str">
        <x:v>null</x:v>
      </x:c>
      <x:c r="AG80" s="9" t="str">
        <x:v>Ki</x:v>
      </x:c>
      <x:c r="AH80" s="9" t="str">
        <x:v>nM</x:v>
      </x:c>
      <x:c r="AI80" s="9" t="str">
        <x:v>null</x:v>
      </x:c>
      <x:c r="AJ80" s="11" t="n">
        <x:v>295.12</x:v>
      </x:c>
      <x:c r="AK80" s="9" t="str">
        <x:v>CHEMBL217</x:v>
      </x:c>
      <x:c r="AL80" s="9" t="str">
        <x:v>Homo sapiens</x:v>
      </x:c>
      <x:c r="AM80" s="9" t="str">
        <x:v>D(2) dopamine receptor</x:v>
      </x:c>
      <x:c r="AN80" s="9" t="str">
        <x:v>9606</x:v>
      </x:c>
      <x:c r="AO80" s="9" t="str">
        <x:v>null</x:v>
      </x:c>
      <x:c r="AP80" s="9" t="str">
        <x:v>null</x:v>
      </x:c>
      <x:c r="AQ80" s="9" t="str">
        <x:v>pKi</x:v>
      </x:c>
      <x:c r="AR80" s="9" t="str">
        <x:v>null</x:v>
      </x:c>
      <x:c r="AS80" s="9" t="str">
        <x:v>UO_0000065</x:v>
      </x:c>
      <x:c r="AT80" s="9" t="str">
        <x:v>null</x:v>
      </x:c>
      <x:c r="AU80" s="9" t="str">
        <x:v>6.53</x:v>
      </x:c>
      <x:c r="AV80" s="11" t="n">
        <x:v>0.00501</x:v>
      </x:c>
      <x:c r="AW80" s="9" t="str">
        <x:v>include</x:v>
      </x:c>
      <x:c r="AX80" s="9" t="str"/>
      <x:c r="AY80" s="11" t="n">
        <x:v>295.1209226666384</x:v>
      </x:c>
      <x:c r="AZ80" s="9" t="str">
        <x:v>source_reported_pKi</x:v>
      </x:c>
      <x:c r="BA80" s="11" t="n">
        <x:v>6.53</x:v>
      </x:c>
      <x:c r="BB80" s="9" t="str">
        <x:v>2e58078d38ef706dda1dd5c2ffc7a8906a06379b0de3f8a8e062e721b5075132</x:v>
      </x:c>
      <x:c r="BC80" s="9" t="str">
        <x:v>LKIZJVWLCHAZTJ-GCJKJVERSA-N</x:v>
      </x:c>
      <x:c r="BD80" s="9" t="str">
        <x:v>Cn1c(SCCCN2CC[C@]3(C[C@@H]3c3ccc(C(F)(F)F)cc3)C2)nnc1-c1ccncn1</x:v>
      </x:c>
      <x:c r="BE80" s="9" t="str">
        <x:v>Cn1c(SCCCN2CCC3(CC3c3ccc(C(F)(F)F)cc3)C2)nnc1-c1ccncn1</x:v>
      </x:c>
      <x:c r="BF80" s="9" t="str">
        <x:v>Cn1c(SCCCN2CC[C@]3(C[C@@H]3c3ccc(C(F)(F)F)cc3)C2)nnc1-c1ccncn1</x:v>
      </x:c>
      <x:c r="BG80" s="12" t="n">
        <x:v>0.0000013577812527643118</x:v>
      </x:c>
      <x:c r="BH80" s="11" t="n">
        <x:v>6.530001357781253</x:v>
      </x:c>
      <x:c r="BI80" s="9" t="str">
        <x:v>c1ccc(C2CC23CCN(CCCSc2nnc(-c4ccncn4)[nH]2)C3)cc1</x:v>
      </x:c>
      <x:c r="BJ80" s="13" t="n">
        <x:v>1</x:v>
      </x:c>
      <x:c r="BK80" s="11" t="n">
        <x:v>295.12</x:v>
      </x:c>
      <x:c r="BL80" s="12" t="n">
        <x:v>-0.0009226666384165583</x:v>
      </x:c>
      <x:c r="BM80" s="9" t="str">
        <x:v>false</x:v>
      </x:c>
    </x:row>
    <x:row r="81" ht="51" customHeight="1">
      <x:c r="A81" s="14" t="str">
        <x:v>null</x:v>
      </x:c>
      <x:c r="B81" s="14" t="str">
        <x:v>null</x:v>
      </x:c>
      <x:c r="C81" s="14" t="str">
        <x:v>16670412</x:v>
      </x:c>
      <x:c r="D81" s="14" t="str">
        <x:v>[]</x:v>
      </x:c>
      <x:c r="E81" s="14" t="str">
        <x:v>CHEMBL3855278</x:v>
      </x:c>
      <x:c r="F81" s="14" t="str">
        <x:v>Displacement of [3H]-spiperone from human dopamine D2 receptor expressed in CHO-K1 cell membranes coexpressing Galpha16 after 120 mins by liquid scintillation counting</x:v>
      </x:c>
      <x:c r="G81" s="14" t="str">
        <x:v>B</x:v>
      </x:c>
      <x:c r="H81" s="14" t="str">
        <x:v>null</x:v>
      </x:c>
      <x:c r="I81" s="14" t="str">
        <x:v>null</x:v>
      </x:c>
      <x:c r="J81" s="14" t="str">
        <x:v>BAO_0000192</x:v>
      </x:c>
      <x:c r="K81" s="14" t="str">
        <x:v>BAO_0000219</x:v>
      </x:c>
      <x:c r="L81" s="14" t="str">
        <x:v>cell-based format</x:v>
      </x:c>
      <x:c r="M81" s="14" t="str">
        <x:v>Cn1c(SCCCN2CC[C@]3(C[C@H]3c3ccc(C(F)(F)F)cc3)C2)nnc1-c1cccnn1</x:v>
      </x:c>
      <x:c r="N81" s="14" t="str">
        <x:v>null</x:v>
      </x:c>
      <x:c r="O81" s="14" t="str">
        <x:v>null</x:v>
      </x:c>
      <x:c r="P81" s="14" t="str">
        <x:v>CHEMBL3853329</x:v>
      </x:c>
      <x:c r="Q81" s="14" t="str">
        <x:v>J Med Chem</x:v>
      </x:c>
      <x:c r="R81" s="17" t="n">
        <x:v>2016</x:v>
      </x:c>
      <x:c r="S81" s="14" t="str">
        <x:v>{"bei":"12.12","le":"0.24","lle":"1.10","sei":"9.63"}</x:v>
      </x:c>
      <x:c r="T81" s="14" t="str">
        <x:v>null</x:v>
      </x:c>
      <x:c r="U81" s="14" t="str">
        <x:v>CHEMBL3930825</x:v>
      </x:c>
      <x:c r="V81" s="14" t="str">
        <x:v>null</x:v>
      </x:c>
      <x:c r="W81" s="14" t="str">
        <x:v>CHEMBL3930825</x:v>
      </x:c>
      <x:c r="X81" s="15" t="n">
        <x:v>5.75</x:v>
      </x:c>
      <x:c r="Y81" s="17" t="n">
        <x:v>0</x:v>
      </x:c>
      <x:c r="Z81" s="14" t="str">
        <x:v>http://www.openphacts.org/units/Nanomolar</x:v>
      </x:c>
      <x:c r="AA81" s="14" t="str">
        <x:v>2796852</x:v>
      </x:c>
      <x:c r="AB81" s="14" t="str">
        <x:v>=</x:v>
      </x:c>
      <x:c r="AC81" s="14" t="str">
        <x:v>1</x:v>
      </x:c>
      <x:c r="AD81" s="17" t="n">
        <x:v>1</x:v>
      </x:c>
      <x:c r="AE81" s="14" t="str">
        <x:v>=</x:v>
      </x:c>
      <x:c r="AF81" s="14" t="str">
        <x:v>null</x:v>
      </x:c>
      <x:c r="AG81" s="14" t="str">
        <x:v>Ki</x:v>
      </x:c>
      <x:c r="AH81" s="14" t="str">
        <x:v>nM</x:v>
      </x:c>
      <x:c r="AI81" s="14" t="str">
        <x:v>null</x:v>
      </x:c>
      <x:c r="AJ81" s="15" t="n">
        <x:v>1778.28</x:v>
      </x:c>
      <x:c r="AK81" s="14" t="str">
        <x:v>CHEMBL217</x:v>
      </x:c>
      <x:c r="AL81" s="14" t="str">
        <x:v>Homo sapiens</x:v>
      </x:c>
      <x:c r="AM81" s="14" t="str">
        <x:v>D(2) dopamine receptor</x:v>
      </x:c>
      <x:c r="AN81" s="14" t="str">
        <x:v>9606</x:v>
      </x:c>
      <x:c r="AO81" s="14" t="str">
        <x:v>null</x:v>
      </x:c>
      <x:c r="AP81" s="14" t="str">
        <x:v>null</x:v>
      </x:c>
      <x:c r="AQ81" s="14" t="str">
        <x:v>pKi</x:v>
      </x:c>
      <x:c r="AR81" s="14" t="str">
        <x:v>null</x:v>
      </x:c>
      <x:c r="AS81" s="14" t="str">
        <x:v>UO_0000065</x:v>
      </x:c>
      <x:c r="AT81" s="14" t="str">
        <x:v>null</x:v>
      </x:c>
      <x:c r="AU81" s="14" t="str">
        <x:v>5.75</x:v>
      </x:c>
      <x:c r="AV81" s="15" t="n">
        <x:v>0.00501</x:v>
      </x:c>
      <x:c r="AW81" s="14" t="str">
        <x:v>include</x:v>
      </x:c>
      <x:c r="AX81" s="14" t="str"/>
      <x:c r="AY81" s="15" t="n">
        <x:v>1778.2794100389228</x:v>
      </x:c>
      <x:c r="AZ81" s="14" t="str">
        <x:v>source_reported_pKi</x:v>
      </x:c>
      <x:c r="BA81" s="15" t="n">
        <x:v>5.75</x:v>
      </x:c>
      <x:c r="BB81" s="14" t="str">
        <x:v>356b794ceb6c6f7983e56fd1052b5fe303cb17c1c8052cc68a7c9c5de14d7d47</x:v>
      </x:c>
      <x:c r="BC81" s="14" t="str">
        <x:v>USSJQLOQXQBGTM-AVRDEDQJSA-N</x:v>
      </x:c>
      <x:c r="BD81" s="14" t="str">
        <x:v>Cn1c(SCCCN2CC[C@]3(C[C@H]3c3ccc(C(F)(F)F)cc3)C2)nnc1-c1cccnn1</x:v>
      </x:c>
      <x:c r="BE81" s="14" t="str">
        <x:v>Cn1c(SCCCN2CCC3(CC3c3ccc(C(F)(F)F)cc3)C2)nnc1-c1cccnn1</x:v>
      </x:c>
      <x:c r="BF81" s="14" t="str">
        <x:v>Cn1c(SCCCN2CC[C@]3(C[C@H]3c3ccc(C(F)(F)F)cc3)C2)nnc1-c1cccnn1</x:v>
      </x:c>
      <x:c r="BG81" s="16" t="n">
        <x:v>-1.4408129356269228e-7</x:v>
      </x:c>
      <x:c r="BH81" s="15" t="n">
        <x:v>5.749999855918706</x:v>
      </x:c>
      <x:c r="BI81" s="14" t="str">
        <x:v>c1ccc(C2CC23CCN(CCCSc2nnc(-c4cccnn4)[nH]2)C3)cc1</x:v>
      </x:c>
      <x:c r="BJ81" s="17" t="n">
        <x:v>1</x:v>
      </x:c>
      <x:c r="BK81" s="15" t="n">
        <x:v>1778.28</x:v>
      </x:c>
      <x:c r="BL81" s="16" t="n">
        <x:v>0.0005899610771393782</x:v>
      </x:c>
      <x:c r="BM81" s="14" t="str">
        <x:v>false</x:v>
      </x:c>
    </x:row>
    <x:row r="82" ht="51" customHeight="1">
      <x:c r="A82" s="9" t="str">
        <x:v>null</x:v>
      </x:c>
      <x:c r="B82" s="9" t="str">
        <x:v>null</x:v>
      </x:c>
      <x:c r="C82" s="9" t="str">
        <x:v>16670413</x:v>
      </x:c>
      <x:c r="D82" s="9" t="str">
        <x:v>[]</x:v>
      </x:c>
      <x:c r="E82" s="9" t="str">
        <x:v>CHEMBL3855278</x:v>
      </x:c>
      <x:c r="F82" s="9" t="str">
        <x:v>Displacement of [3H]-spiperone from human dopamine D2 receptor expressed in CHO-K1 cell membranes coexpressing Galpha16 after 120 mins by liquid scintillation counting</x:v>
      </x:c>
      <x:c r="G82" s="9" t="str">
        <x:v>B</x:v>
      </x:c>
      <x:c r="H82" s="9" t="str">
        <x:v>null</x:v>
      </x:c>
      <x:c r="I82" s="9" t="str">
        <x:v>null</x:v>
      </x:c>
      <x:c r="J82" s="9" t="str">
        <x:v>BAO_0000192</x:v>
      </x:c>
      <x:c r="K82" s="9" t="str">
        <x:v>BAO_0000219</x:v>
      </x:c>
      <x:c r="L82" s="9" t="str">
        <x:v>cell-based format</x:v>
      </x:c>
      <x:c r="M82" s="9" t="str">
        <x:v>Cn1c(SCCCN2CC[C@]3(C[C@@H]3c3ccc(C(F)(F)F)cc3)C2)nnc1-c1cccnn1</x:v>
      </x:c>
      <x:c r="N82" s="9" t="str">
        <x:v>null</x:v>
      </x:c>
      <x:c r="O82" s="9" t="str">
        <x:v>null</x:v>
      </x:c>
      <x:c r="P82" s="9" t="str">
        <x:v>CHEMBL3853329</x:v>
      </x:c>
      <x:c r="Q82" s="9" t="str">
        <x:v>J Med Chem</x:v>
      </x:c>
      <x:c r="R82" s="13" t="n">
        <x:v>2016</x:v>
      </x:c>
      <x:c r="S82" s="9" t="str">
        <x:v>{"bei":"12.35","le":"0.24","lle":"1.21","sei":"9.81"}</x:v>
      </x:c>
      <x:c r="T82" s="9" t="str">
        <x:v>null</x:v>
      </x:c>
      <x:c r="U82" s="9" t="str">
        <x:v>CHEMBL3969386</x:v>
      </x:c>
      <x:c r="V82" s="9" t="str">
        <x:v>null</x:v>
      </x:c>
      <x:c r="W82" s="9" t="str">
        <x:v>CHEMBL3969386</x:v>
      </x:c>
      <x:c r="X82" s="11" t="n">
        <x:v>5.86</x:v>
      </x:c>
      <x:c r="Y82" s="13" t="n">
        <x:v>0</x:v>
      </x:c>
      <x:c r="Z82" s="9" t="str">
        <x:v>http://www.openphacts.org/units/Nanomolar</x:v>
      </x:c>
      <x:c r="AA82" s="9" t="str">
        <x:v>2796853</x:v>
      </x:c>
      <x:c r="AB82" s="9" t="str">
        <x:v>=</x:v>
      </x:c>
      <x:c r="AC82" s="9" t="str">
        <x:v>1</x:v>
      </x:c>
      <x:c r="AD82" s="13" t="n">
        <x:v>1</x:v>
      </x:c>
      <x:c r="AE82" s="9" t="str">
        <x:v>=</x:v>
      </x:c>
      <x:c r="AF82" s="9" t="str">
        <x:v>null</x:v>
      </x:c>
      <x:c r="AG82" s="9" t="str">
        <x:v>Ki</x:v>
      </x:c>
      <x:c r="AH82" s="9" t="str">
        <x:v>nM</x:v>
      </x:c>
      <x:c r="AI82" s="9" t="str">
        <x:v>null</x:v>
      </x:c>
      <x:c r="AJ82" s="11" t="n">
        <x:v>1380.38</x:v>
      </x:c>
      <x:c r="AK82" s="9" t="str">
        <x:v>CHEMBL217</x:v>
      </x:c>
      <x:c r="AL82" s="9" t="str">
        <x:v>Homo sapiens</x:v>
      </x:c>
      <x:c r="AM82" s="9" t="str">
        <x:v>D(2) dopamine receptor</x:v>
      </x:c>
      <x:c r="AN82" s="9" t="str">
        <x:v>9606</x:v>
      </x:c>
      <x:c r="AO82" s="9" t="str">
        <x:v>null</x:v>
      </x:c>
      <x:c r="AP82" s="9" t="str">
        <x:v>null</x:v>
      </x:c>
      <x:c r="AQ82" s="9" t="str">
        <x:v>pKi</x:v>
      </x:c>
      <x:c r="AR82" s="9" t="str">
        <x:v>null</x:v>
      </x:c>
      <x:c r="AS82" s="9" t="str">
        <x:v>UO_0000065</x:v>
      </x:c>
      <x:c r="AT82" s="9" t="str">
        <x:v>null</x:v>
      </x:c>
      <x:c r="AU82" s="9" t="str">
        <x:v>5.86</x:v>
      </x:c>
      <x:c r="AV82" s="11" t="n">
        <x:v>0.00501</x:v>
      </x:c>
      <x:c r="AW82" s="9" t="str">
        <x:v>include</x:v>
      </x:c>
      <x:c r="AX82" s="9" t="str"/>
      <x:c r="AY82" s="11" t="n">
        <x:v>1380.3842646028838</x:v>
      </x:c>
      <x:c r="AZ82" s="9" t="str">
        <x:v>source_reported_pKi</x:v>
      </x:c>
      <x:c r="BA82" s="11" t="n">
        <x:v>5.86</x:v>
      </x:c>
      <x:c r="BB82" s="9" t="str">
        <x:v>356b794ceb6c6f7983e56fd1052b5fe303cb17c1c8052cc68a7c9c5de14d7d47</x:v>
      </x:c>
      <x:c r="BC82" s="9" t="str">
        <x:v>USSJQLOQXQBGTM-GCJKJVERSA-N</x:v>
      </x:c>
      <x:c r="BD82" s="9" t="str">
        <x:v>Cn1c(SCCCN2CC[C@]3(C[C@@H]3c3ccc(C(F)(F)F)cc3)C2)nnc1-c1cccnn1</x:v>
      </x:c>
      <x:c r="BE82" s="9" t="str">
        <x:v>Cn1c(SCCCN2CCC3(CC3c3ccc(C(F)(F)F)cc3)C2)nnc1-c1cccnn1</x:v>
      </x:c>
      <x:c r="BF82" s="9" t="str">
        <x:v>Cn1c(SCCCN2CC[C@]3(C[C@@H]3c3ccc(C(F)(F)F)cc3)C2)nnc1-c1cccnn1</x:v>
      </x:c>
      <x:c r="BG82" s="12" t="n">
        <x:v>0.0000013417252047176476</x:v>
      </x:c>
      <x:c r="BH82" s="11" t="n">
        <x:v>5.860001341725205</x:v>
      </x:c>
      <x:c r="BI82" s="9" t="str">
        <x:v>c1ccc(C2CC23CCN(CCCSc2nnc(-c4cccnn4)[nH]2)C3)cc1</x:v>
      </x:c>
      <x:c r="BJ82" s="13" t="n">
        <x:v>1</x:v>
      </x:c>
      <x:c r="BK82" s="11" t="n">
        <x:v>1380.38</x:v>
      </x:c>
      <x:c r="BL82" s="12" t="n">
        <x:v>-0.004264602883722546</x:v>
      </x:c>
      <x:c r="BM82" s="9" t="str">
        <x:v>false</x:v>
      </x:c>
    </x:row>
    <x:row r="83" ht="51" customHeight="1">
      <x:c r="A83" s="14" t="str">
        <x:v>null</x:v>
      </x:c>
      <x:c r="B83" s="14" t="str">
        <x:v>null</x:v>
      </x:c>
      <x:c r="C83" s="14" t="str">
        <x:v>16670414</x:v>
      </x:c>
      <x:c r="D83" s="14" t="str">
        <x:v>[]</x:v>
      </x:c>
      <x:c r="E83" s="14" t="str">
        <x:v>CHEMBL3855278</x:v>
      </x:c>
      <x:c r="F83" s="14" t="str">
        <x:v>Displacement of [3H]-spiperone from human dopamine D2 receptor expressed in CHO-K1 cell membranes coexpressing Galpha16 after 120 mins by liquid scintillation counting</x:v>
      </x:c>
      <x:c r="G83" s="14" t="str">
        <x:v>B</x:v>
      </x:c>
      <x:c r="H83" s="14" t="str">
        <x:v>null</x:v>
      </x:c>
      <x:c r="I83" s="14" t="str">
        <x:v>null</x:v>
      </x:c>
      <x:c r="J83" s="14" t="str">
        <x:v>BAO_0000192</x:v>
      </x:c>
      <x:c r="K83" s="14" t="str">
        <x:v>BAO_0000219</x:v>
      </x:c>
      <x:c r="L83" s="14" t="str">
        <x:v>cell-based format</x:v>
      </x:c>
      <x:c r="M83" s="14" t="str">
        <x:v>Cn1c(SCCCN2CC[C@]3(C[C@H]3c3ccc(C(F)(F)F)cc3)C2)nnc1-c1ccnnc1</x:v>
      </x:c>
      <x:c r="N83" s="14" t="str">
        <x:v>null</x:v>
      </x:c>
      <x:c r="O83" s="14" t="str">
        <x:v>null</x:v>
      </x:c>
      <x:c r="P83" s="14" t="str">
        <x:v>CHEMBL3853329</x:v>
      </x:c>
      <x:c r="Q83" s="14" t="str">
        <x:v>J Med Chem</x:v>
      </x:c>
      <x:c r="R83" s="17" t="n">
        <x:v>2016</x:v>
      </x:c>
      <x:c r="S83" s="14" t="str">
        <x:v>{"bei":"11.78","le":"0.23","lle":"0.94","sei":"9.36"}</x:v>
      </x:c>
      <x:c r="T83" s="14" t="str">
        <x:v>null</x:v>
      </x:c>
      <x:c r="U83" s="14" t="str">
        <x:v>CHEMBL3939830</x:v>
      </x:c>
      <x:c r="V83" s="14" t="str">
        <x:v>null</x:v>
      </x:c>
      <x:c r="W83" s="14" t="str">
        <x:v>CHEMBL3939830</x:v>
      </x:c>
      <x:c r="X83" s="15" t="n">
        <x:v>5.59</x:v>
      </x:c>
      <x:c r="Y83" s="17" t="n">
        <x:v>0</x:v>
      </x:c>
      <x:c r="Z83" s="14" t="str">
        <x:v>http://www.openphacts.org/units/Nanomolar</x:v>
      </x:c>
      <x:c r="AA83" s="14" t="str">
        <x:v>2796854</x:v>
      </x:c>
      <x:c r="AB83" s="14" t="str">
        <x:v>=</x:v>
      </x:c>
      <x:c r="AC83" s="14" t="str">
        <x:v>1</x:v>
      </x:c>
      <x:c r="AD83" s="17" t="n">
        <x:v>1</x:v>
      </x:c>
      <x:c r="AE83" s="14" t="str">
        <x:v>=</x:v>
      </x:c>
      <x:c r="AF83" s="14" t="str">
        <x:v>null</x:v>
      </x:c>
      <x:c r="AG83" s="14" t="str">
        <x:v>Ki</x:v>
      </x:c>
      <x:c r="AH83" s="14" t="str">
        <x:v>nM</x:v>
      </x:c>
      <x:c r="AI83" s="14" t="str">
        <x:v>null</x:v>
      </x:c>
      <x:c r="AJ83" s="15" t="n">
        <x:v>2570.4</x:v>
      </x:c>
      <x:c r="AK83" s="14" t="str">
        <x:v>CHEMBL217</x:v>
      </x:c>
      <x:c r="AL83" s="14" t="str">
        <x:v>Homo sapiens</x:v>
      </x:c>
      <x:c r="AM83" s="14" t="str">
        <x:v>D(2) dopamine receptor</x:v>
      </x:c>
      <x:c r="AN83" s="14" t="str">
        <x:v>9606</x:v>
      </x:c>
      <x:c r="AO83" s="14" t="str">
        <x:v>null</x:v>
      </x:c>
      <x:c r="AP83" s="14" t="str">
        <x:v>null</x:v>
      </x:c>
      <x:c r="AQ83" s="14" t="str">
        <x:v>pKi</x:v>
      </x:c>
      <x:c r="AR83" s="14" t="str">
        <x:v>null</x:v>
      </x:c>
      <x:c r="AS83" s="14" t="str">
        <x:v>UO_0000065</x:v>
      </x:c>
      <x:c r="AT83" s="14" t="str">
        <x:v>null</x:v>
      </x:c>
      <x:c r="AU83" s="14" t="str">
        <x:v>5.59</x:v>
      </x:c>
      <x:c r="AV83" s="15" t="n">
        <x:v>0.00501</x:v>
      </x:c>
      <x:c r="AW83" s="14" t="str">
        <x:v>include</x:v>
      </x:c>
      <x:c r="AX83" s="14" t="str"/>
      <x:c r="AY83" s="15" t="n">
        <x:v>2570.3957827688646</x:v>
      </x:c>
      <x:c r="AZ83" s="14" t="str">
        <x:v>source_reported_pKi</x:v>
      </x:c>
      <x:c r="BA83" s="15" t="n">
        <x:v>5.59</x:v>
      </x:c>
      <x:c r="BB83" s="14" t="str">
        <x:v>21122fd737b5488cc124d930b16b7e37c6e78e3ebc8d468bc844d995bc045290</x:v>
      </x:c>
      <x:c r="BC83" s="14" t="str">
        <x:v>ACKJXZGTUCARLB-UGKGYDQZSA-N</x:v>
      </x:c>
      <x:c r="BD83" s="14" t="str">
        <x:v>Cn1c(SCCCN2CC[C@]3(C[C@H]3c3ccc(C(F)(F)F)cc3)C2)nnc1-c1ccnnc1</x:v>
      </x:c>
      <x:c r="BE83" s="14" t="str">
        <x:v>Cn1c(SCCCN2CCC3(CC3c3ccc(C(F)(F)F)cc3)C2)nnc1-c1ccnnc1</x:v>
      </x:c>
      <x:c r="BF83" s="14" t="str">
        <x:v>Cn1c(SCCCN2CC[C@]3(C[C@H]3c3ccc(C(F)(F)F)cc3)C2)nnc1-c1ccnnc1</x:v>
      </x:c>
      <x:c r="BG83" s="16" t="n">
        <x:v>-7.125434615673498e-7</x:v>
      </x:c>
      <x:c r="BH83" s="15" t="n">
        <x:v>5.589999287456538</x:v>
      </x:c>
      <x:c r="BI83" s="14" t="str">
        <x:v>c1ccc(C2CC23CCN(CCCSc2nnc(-c4ccnnc4)[nH]2)C3)cc1</x:v>
      </x:c>
      <x:c r="BJ83" s="17" t="n">
        <x:v>1</x:v>
      </x:c>
      <x:c r="BK83" s="15" t="n">
        <x:v>2570.4</x:v>
      </x:c>
      <x:c r="BL83" s="16" t="n">
        <x:v>0.004217231135498878</x:v>
      </x:c>
      <x:c r="BM83" s="14" t="str">
        <x:v>false</x:v>
      </x:c>
    </x:row>
    <x:row r="84" ht="51" customHeight="1">
      <x:c r="A84" s="9" t="str">
        <x:v>null</x:v>
      </x:c>
      <x:c r="B84" s="9" t="str">
        <x:v>null</x:v>
      </x:c>
      <x:c r="C84" s="9" t="str">
        <x:v>16670415</x:v>
      </x:c>
      <x:c r="D84" s="9" t="str">
        <x:v>[]</x:v>
      </x:c>
      <x:c r="E84" s="9" t="str">
        <x:v>CHEMBL3855278</x:v>
      </x:c>
      <x:c r="F84" s="9" t="str">
        <x:v>Displacement of [3H]-spiperone from human dopamine D2 receptor expressed in CHO-K1 cell membranes coexpressing Galpha16 after 120 mins by liquid scintillation counting</x:v>
      </x:c>
      <x:c r="G84" s="9" t="str">
        <x:v>B</x:v>
      </x:c>
      <x:c r="H84" s="9" t="str">
        <x:v>null</x:v>
      </x:c>
      <x:c r="I84" s="9" t="str">
        <x:v>null</x:v>
      </x:c>
      <x:c r="J84" s="9" t="str">
        <x:v>BAO_0000192</x:v>
      </x:c>
      <x:c r="K84" s="9" t="str">
        <x:v>BAO_0000219</x:v>
      </x:c>
      <x:c r="L84" s="9" t="str">
        <x:v>cell-based format</x:v>
      </x:c>
      <x:c r="M84" s="9" t="str">
        <x:v>Cn1c(SCCCN2CC[C@]3(C[C@@H]3c3ccc(C(F)(F)F)cc3)C2)nnc1-c1ccnnc1</x:v>
      </x:c>
      <x:c r="N84" s="9" t="str">
        <x:v>null</x:v>
      </x:c>
      <x:c r="O84" s="9" t="str">
        <x:v>null</x:v>
      </x:c>
      <x:c r="P84" s="9" t="str">
        <x:v>CHEMBL3853329</x:v>
      </x:c>
      <x:c r="Q84" s="9" t="str">
        <x:v>J Med Chem</x:v>
      </x:c>
      <x:c r="R84" s="13" t="n">
        <x:v>2016</x:v>
      </x:c>
      <x:c r="S84" s="9" t="str">
        <x:v>{"bei":"12.24","le":"0.24","lle":"1.16","sei":"9.73"}</x:v>
      </x:c>
      <x:c r="T84" s="9" t="str">
        <x:v>null</x:v>
      </x:c>
      <x:c r="U84" s="9" t="str">
        <x:v>CHEMBL3940897</x:v>
      </x:c>
      <x:c r="V84" s="9" t="str">
        <x:v>null</x:v>
      </x:c>
      <x:c r="W84" s="9" t="str">
        <x:v>CHEMBL3940897</x:v>
      </x:c>
      <x:c r="X84" s="11" t="n">
        <x:v>5.81</x:v>
      </x:c>
      <x:c r="Y84" s="13" t="n">
        <x:v>0</x:v>
      </x:c>
      <x:c r="Z84" s="9" t="str">
        <x:v>http://www.openphacts.org/units/Nanomolar</x:v>
      </x:c>
      <x:c r="AA84" s="9" t="str">
        <x:v>2796855</x:v>
      </x:c>
      <x:c r="AB84" s="9" t="str">
        <x:v>=</x:v>
      </x:c>
      <x:c r="AC84" s="9" t="str">
        <x:v>1</x:v>
      </x:c>
      <x:c r="AD84" s="13" t="n">
        <x:v>1</x:v>
      </x:c>
      <x:c r="AE84" s="9" t="str">
        <x:v>=</x:v>
      </x:c>
      <x:c r="AF84" s="9" t="str">
        <x:v>null</x:v>
      </x:c>
      <x:c r="AG84" s="9" t="str">
        <x:v>Ki</x:v>
      </x:c>
      <x:c r="AH84" s="9" t="str">
        <x:v>nM</x:v>
      </x:c>
      <x:c r="AI84" s="9" t="str">
        <x:v>null</x:v>
      </x:c>
      <x:c r="AJ84" s="11" t="n">
        <x:v>1548.82</x:v>
      </x:c>
      <x:c r="AK84" s="9" t="str">
        <x:v>CHEMBL217</x:v>
      </x:c>
      <x:c r="AL84" s="9" t="str">
        <x:v>Homo sapiens</x:v>
      </x:c>
      <x:c r="AM84" s="9" t="str">
        <x:v>D(2) dopamine receptor</x:v>
      </x:c>
      <x:c r="AN84" s="9" t="str">
        <x:v>9606</x:v>
      </x:c>
      <x:c r="AO84" s="9" t="str">
        <x:v>null</x:v>
      </x:c>
      <x:c r="AP84" s="9" t="str">
        <x:v>null</x:v>
      </x:c>
      <x:c r="AQ84" s="9" t="str">
        <x:v>pKi</x:v>
      </x:c>
      <x:c r="AR84" s="9" t="str">
        <x:v>null</x:v>
      </x:c>
      <x:c r="AS84" s="9" t="str">
        <x:v>UO_0000065</x:v>
      </x:c>
      <x:c r="AT84" s="9" t="str">
        <x:v>null</x:v>
      </x:c>
      <x:c r="AU84" s="9" t="str">
        <x:v>5.81</x:v>
      </x:c>
      <x:c r="AV84" s="11" t="n">
        <x:v>0.00501</x:v>
      </x:c>
      <x:c r="AW84" s="9" t="str">
        <x:v>include</x:v>
      </x:c>
      <x:c r="AX84" s="9" t="str"/>
      <x:c r="AY84" s="11" t="n">
        <x:v>1548.8166189124827</x:v>
      </x:c>
      <x:c r="AZ84" s="9" t="str">
        <x:v>source_reported_pKi</x:v>
      </x:c>
      <x:c r="BA84" s="11" t="n">
        <x:v>5.81</x:v>
      </x:c>
      <x:c r="BB84" s="9" t="str">
        <x:v>21122fd737b5488cc124d930b16b7e37c6e78e3ebc8d468bc844d995bc045290</x:v>
      </x:c>
      <x:c r="BC84" s="9" t="str">
        <x:v>ACKJXZGTUCARLB-KNQAVFIVSA-N</x:v>
      </x:c>
      <x:c r="BD84" s="9" t="str">
        <x:v>Cn1c(SCCCN2CC[C@]3(C[C@@H]3c3ccc(C(F)(F)F)cc3)C2)nnc1-c1ccnnc1</x:v>
      </x:c>
      <x:c r="BE84" s="9" t="str">
        <x:v>Cn1c(SCCCN2CCC3(CC3c3ccc(C(F)(F)F)cc3)C2)nnc1-c1ccnnc1</x:v>
      </x:c>
      <x:c r="BF84" s="9" t="str">
        <x:v>Cn1c(SCCCN2CC[C@]3(C[C@@H]3c3ccc(C(F)(F)F)cc3)C2)nnc1-c1ccnnc1</x:v>
      </x:c>
      <x:c r="BG84" s="12" t="n">
        <x:v>-9.480696627761631e-7</x:v>
      </x:c>
      <x:c r="BH84" s="11" t="n">
        <x:v>5.809999051930337</x:v>
      </x:c>
      <x:c r="BI84" s="9" t="str">
        <x:v>c1ccc(C2CC23CCN(CCCSc2nnc(-c4ccnnc4)[nH]2)C3)cc1</x:v>
      </x:c>
      <x:c r="BJ84" s="13" t="n">
        <x:v>1</x:v>
      </x:c>
      <x:c r="BK84" s="11" t="n">
        <x:v>1548.82</x:v>
      </x:c>
      <x:c r="BL84" s="12" t="n">
        <x:v>0.003381087517254855</x:v>
      </x:c>
      <x:c r="BM84" s="9" t="str">
        <x:v>false</x:v>
      </x:c>
    </x:row>
    <x:row r="85" ht="51" customHeight="1">
      <x:c r="A85" s="14" t="str">
        <x:v>null</x:v>
      </x:c>
      <x:c r="B85" s="14" t="str">
        <x:v>null</x:v>
      </x:c>
      <x:c r="C85" s="14" t="str">
        <x:v>16670416</x:v>
      </x:c>
      <x:c r="D85" s="14" t="str">
        <x:v>[]</x:v>
      </x:c>
      <x:c r="E85" s="14" t="str">
        <x:v>CHEMBL3855278</x:v>
      </x:c>
      <x:c r="F85" s="14" t="str">
        <x:v>Displacement of [3H]-spiperone from human dopamine D2 receptor expressed in CHO-K1 cell membranes coexpressing Galpha16 after 120 mins by liquid scintillation counting</x:v>
      </x:c>
      <x:c r="G85" s="14" t="str">
        <x:v>B</x:v>
      </x:c>
      <x:c r="H85" s="14" t="str">
        <x:v>null</x:v>
      </x:c>
      <x:c r="I85" s="14" t="str">
        <x:v>null</x:v>
      </x:c>
      <x:c r="J85" s="14" t="str">
        <x:v>BAO_0000192</x:v>
      </x:c>
      <x:c r="K85" s="14" t="str">
        <x:v>BAO_0000219</x:v>
      </x:c>
      <x:c r="L85" s="14" t="str">
        <x:v>cell-based format</x:v>
      </x:c>
      <x:c r="M85" s="14" t="str">
        <x:v>Cn1c(SCCCN2CC[C@]3(C[C@@H]3c3ccccc3)C2)nnc1-c1cccnc1</x:v>
      </x:c>
      <x:c r="N85" s="14" t="str">
        <x:v>null</x:v>
      </x:c>
      <x:c r="O85" s="14" t="str">
        <x:v>null</x:v>
      </x:c>
      <x:c r="P85" s="14" t="str">
        <x:v>CHEMBL3853329</x:v>
      </x:c>
      <x:c r="Q85" s="14" t="str">
        <x:v>J Med Chem</x:v>
      </x:c>
      <x:c r="R85" s="17" t="n">
        <x:v>2016</x:v>
      </x:c>
      <x:c r="S85" s="14" t="str">
        <x:v>{"bei":"13.51","le":"0.26","lle":"1.24","sei":"11.70"}</x:v>
      </x:c>
      <x:c r="T85" s="14" t="str">
        <x:v>null</x:v>
      </x:c>
      <x:c r="U85" s="14" t="str">
        <x:v>CHEMBL3912897</x:v>
      </x:c>
      <x:c r="V85" s="14" t="str">
        <x:v>null</x:v>
      </x:c>
      <x:c r="W85" s="14" t="str">
        <x:v>CHEMBL3912897</x:v>
      </x:c>
      <x:c r="X85" s="15" t="n">
        <x:v>5.48</x:v>
      </x:c>
      <x:c r="Y85" s="17" t="n">
        <x:v>0</x:v>
      </x:c>
      <x:c r="Z85" s="14" t="str">
        <x:v>http://www.openphacts.org/units/Nanomolar</x:v>
      </x:c>
      <x:c r="AA85" s="14" t="str">
        <x:v>2796856</x:v>
      </x:c>
      <x:c r="AB85" s="14" t="str">
        <x:v>=</x:v>
      </x:c>
      <x:c r="AC85" s="14" t="str">
        <x:v>1</x:v>
      </x:c>
      <x:c r="AD85" s="17" t="n">
        <x:v>1</x:v>
      </x:c>
      <x:c r="AE85" s="14" t="str">
        <x:v>=</x:v>
      </x:c>
      <x:c r="AF85" s="14" t="str">
        <x:v>null</x:v>
      </x:c>
      <x:c r="AG85" s="14" t="str">
        <x:v>Ki</x:v>
      </x:c>
      <x:c r="AH85" s="14" t="str">
        <x:v>nM</x:v>
      </x:c>
      <x:c r="AI85" s="14" t="str">
        <x:v>null</x:v>
      </x:c>
      <x:c r="AJ85" s="15" t="n">
        <x:v>3311.31</x:v>
      </x:c>
      <x:c r="AK85" s="14" t="str">
        <x:v>CHEMBL217</x:v>
      </x:c>
      <x:c r="AL85" s="14" t="str">
        <x:v>Homo sapiens</x:v>
      </x:c>
      <x:c r="AM85" s="14" t="str">
        <x:v>D(2) dopamine receptor</x:v>
      </x:c>
      <x:c r="AN85" s="14" t="str">
        <x:v>9606</x:v>
      </x:c>
      <x:c r="AO85" s="14" t="str">
        <x:v>null</x:v>
      </x:c>
      <x:c r="AP85" s="14" t="str">
        <x:v>null</x:v>
      </x:c>
      <x:c r="AQ85" s="14" t="str">
        <x:v>pKi</x:v>
      </x:c>
      <x:c r="AR85" s="14" t="str">
        <x:v>null</x:v>
      </x:c>
      <x:c r="AS85" s="14" t="str">
        <x:v>UO_0000065</x:v>
      </x:c>
      <x:c r="AT85" s="14" t="str">
        <x:v>null</x:v>
      </x:c>
      <x:c r="AU85" s="14" t="str">
        <x:v>5.48</x:v>
      </x:c>
      <x:c r="AV85" s="15" t="n">
        <x:v>0.00501</x:v>
      </x:c>
      <x:c r="AW85" s="14" t="str">
        <x:v>include</x:v>
      </x:c>
      <x:c r="AX85" s="14" t="str"/>
      <x:c r="AY85" s="15" t="n">
        <x:v>3311.311214825908</x:v>
      </x:c>
      <x:c r="AZ85" s="14" t="str">
        <x:v>source_reported_pKi</x:v>
      </x:c>
      <x:c r="BA85" s="15" t="n">
        <x:v>5.48</x:v>
      </x:c>
      <x:c r="BB85" s="14" t="str">
        <x:v>e51c76363bb99063c3db629d65f9071a32b70abadd9980e0f879ecb664ae2208</x:v>
      </x:c>
      <x:c r="BC85" s="14" t="str">
        <x:v>WURHPBCTBQAVRU-OFNKIYASSA-N</x:v>
      </x:c>
      <x:c r="BD85" s="14" t="str">
        <x:v>Cn1c(SCCCN2CC[C@]3(C[C@@H]3c3ccccc3)C2)nnc1-c1cccnc1</x:v>
      </x:c>
      <x:c r="BE85" s="14" t="str">
        <x:v>Cn1c(SCCCN2CCC3(CC3c3ccccc3)C2)nnc1-c1cccnc1</x:v>
      </x:c>
      <x:c r="BF85" s="14" t="str">
        <x:v>Cn1c(SCCCN2CC[C@]3(C[C@@H]3c3ccccc3)C2)nnc1-c1cccnc1</x:v>
      </x:c>
      <x:c r="BG85" s="16" t="n">
        <x:v>1.5933032315729179e-7</x:v>
      </x:c>
      <x:c r="BH85" s="15" t="n">
        <x:v>5.480000159330324</x:v>
      </x:c>
      <x:c r="BI85" s="14" t="str">
        <x:v>c1ccc(C2CC23CCN(CCCSc2nnc(-c4cccnc4)[nH]2)C3)cc1</x:v>
      </x:c>
      <x:c r="BJ85" s="17" t="n">
        <x:v>1</x:v>
      </x:c>
      <x:c r="BK85" s="15" t="n">
        <x:v>3311.31</x:v>
      </x:c>
      <x:c r="BL85" s="16" t="n">
        <x:v>-0.0012148259079367563</x:v>
      </x:c>
      <x:c r="BM85" s="14" t="str">
        <x:v>false</x:v>
      </x:c>
    </x:row>
    <x:row r="86" ht="51" customHeight="1">
      <x:c r="A86" s="9" t="str">
        <x:v>null</x:v>
      </x:c>
      <x:c r="B86" s="9" t="str">
        <x:v>null</x:v>
      </x:c>
      <x:c r="C86" s="9" t="str">
        <x:v>16670417</x:v>
      </x:c>
      <x:c r="D86" s="9" t="str">
        <x:v>[]</x:v>
      </x:c>
      <x:c r="E86" s="9" t="str">
        <x:v>CHEMBL3855278</x:v>
      </x:c>
      <x:c r="F86" s="9" t="str">
        <x:v>Displacement of [3H]-spiperone from human dopamine D2 receptor expressed in CHO-K1 cell membranes coexpressing Galpha16 after 120 mins by liquid scintillation counting</x:v>
      </x:c>
      <x:c r="G86" s="9" t="str">
        <x:v>B</x:v>
      </x:c>
      <x:c r="H86" s="9" t="str">
        <x:v>null</x:v>
      </x:c>
      <x:c r="I86" s="9" t="str">
        <x:v>null</x:v>
      </x:c>
      <x:c r="J86" s="9" t="str">
        <x:v>BAO_0000192</x:v>
      </x:c>
      <x:c r="K86" s="9" t="str">
        <x:v>BAO_0000219</x:v>
      </x:c>
      <x:c r="L86" s="9" t="str">
        <x:v>cell-based format</x:v>
      </x:c>
      <x:c r="M86" s="9" t="str">
        <x:v>Cn1c(SCCCN2CC[C@]3(C[C@@H]3c3ccc(C(F)(F)F)cc3F)C2)nnc1-c1cccnc1</x:v>
      </x:c>
      <x:c r="N86" s="9" t="str">
        <x:v>null</x:v>
      </x:c>
      <x:c r="O86" s="9" t="str">
        <x:v>null</x:v>
      </x:c>
      <x:c r="P86" s="9" t="str">
        <x:v>CHEMBL3853329</x:v>
      </x:c>
      <x:c r="Q86" s="9" t="str">
        <x:v>J Med Chem</x:v>
      </x:c>
      <x:c r="R86" s="13" t="n">
        <x:v>2016</x:v>
      </x:c>
      <x:c r="S86" s="9" t="str">
        <x:v>{"bei":"12.49","le":"0.25","lle":"0.74","sei":"13.11"}</x:v>
      </x:c>
      <x:c r="T86" s="9" t="str">
        <x:v>null</x:v>
      </x:c>
      <x:c r="U86" s="9" t="str">
        <x:v>CHEMBL3949662</x:v>
      </x:c>
      <x:c r="V86" s="9" t="str">
        <x:v>null</x:v>
      </x:c>
      <x:c r="W86" s="9" t="str">
        <x:v>CHEMBL3949662</x:v>
      </x:c>
      <x:c r="X86" s="11" t="n">
        <x:v>6.14</x:v>
      </x:c>
      <x:c r="Y86" s="13" t="n">
        <x:v>0</x:v>
      </x:c>
      <x:c r="Z86" s="9" t="str">
        <x:v>http://www.openphacts.org/units/Nanomolar</x:v>
      </x:c>
      <x:c r="AA86" s="9" t="str">
        <x:v>2796857</x:v>
      </x:c>
      <x:c r="AB86" s="9" t="str">
        <x:v>=</x:v>
      </x:c>
      <x:c r="AC86" s="9" t="str">
        <x:v>1</x:v>
      </x:c>
      <x:c r="AD86" s="13" t="n">
        <x:v>1</x:v>
      </x:c>
      <x:c r="AE86" s="9" t="str">
        <x:v>=</x:v>
      </x:c>
      <x:c r="AF86" s="9" t="str">
        <x:v>null</x:v>
      </x:c>
      <x:c r="AG86" s="9" t="str">
        <x:v>Ki</x:v>
      </x:c>
      <x:c r="AH86" s="9" t="str">
        <x:v>nM</x:v>
      </x:c>
      <x:c r="AI86" s="9" t="str">
        <x:v>null</x:v>
      </x:c>
      <x:c r="AJ86" s="11" t="n">
        <x:v>724.44</x:v>
      </x:c>
      <x:c r="AK86" s="9" t="str">
        <x:v>CHEMBL217</x:v>
      </x:c>
      <x:c r="AL86" s="9" t="str">
        <x:v>Homo sapiens</x:v>
      </x:c>
      <x:c r="AM86" s="9" t="str">
        <x:v>D(2) dopamine receptor</x:v>
      </x:c>
      <x:c r="AN86" s="9" t="str">
        <x:v>9606</x:v>
      </x:c>
      <x:c r="AO86" s="9" t="str">
        <x:v>null</x:v>
      </x:c>
      <x:c r="AP86" s="9" t="str">
        <x:v>null</x:v>
      </x:c>
      <x:c r="AQ86" s="9" t="str">
        <x:v>pKi</x:v>
      </x:c>
      <x:c r="AR86" s="9" t="str">
        <x:v>null</x:v>
      </x:c>
      <x:c r="AS86" s="9" t="str">
        <x:v>UO_0000065</x:v>
      </x:c>
      <x:c r="AT86" s="9" t="str">
        <x:v>null</x:v>
      </x:c>
      <x:c r="AU86" s="9" t="str">
        <x:v>6.14</x:v>
      </x:c>
      <x:c r="AV86" s="11" t="n">
        <x:v>0.00501</x:v>
      </x:c>
      <x:c r="AW86" s="9" t="str">
        <x:v>include</x:v>
      </x:c>
      <x:c r="AX86" s="9" t="str"/>
      <x:c r="AY86" s="11" t="n">
        <x:v>724.4359600749906</x:v>
      </x:c>
      <x:c r="AZ86" s="9" t="str">
        <x:v>source_reported_pKi</x:v>
      </x:c>
      <x:c r="BA86" s="11" t="n">
        <x:v>6.14</x:v>
      </x:c>
      <x:c r="BB86" s="9" t="str">
        <x:v>7312a5eb6c36851ab2eae6e069f6f6e14d9aa45b43b157482ebb4f0c2c6d160e</x:v>
      </x:c>
      <x:c r="BC86" s="9" t="str">
        <x:v>JZCCFPRFOOIKRY-XXBNENTESA-N</x:v>
      </x:c>
      <x:c r="BD86" s="9" t="str">
        <x:v>Cn1c(SCCCN2CC[C@]3(C[C@@H]3c3ccc(C(F)(F)F)cc3F)C2)nnc1-c1cccnc1</x:v>
      </x:c>
      <x:c r="BE86" s="9" t="str">
        <x:v>Cn1c(SCCCN2CCC3(CC3c3ccc(C(F)(F)F)cc3F)C2)nnc1-c1cccnc1</x:v>
      </x:c>
      <x:c r="BF86" s="9" t="str">
        <x:v>Cn1c(SCCCN2CC[C@]3(C[C@@H]3c3ccc(C(F)(F)F)cc3F)C2)nnc1-c1cccnc1</x:v>
      </x:c>
      <x:c r="BG86" s="12" t="n">
        <x:v>-0.0000024219010974491084</x:v>
      </x:c>
      <x:c r="BH86" s="11" t="n">
        <x:v>6.139997578098902</x:v>
      </x:c>
      <x:c r="BI86" s="9" t="str">
        <x:v>c1ccc(C2CC23CCN(CCCSc2nnc(-c4cccnc4)[nH]2)C3)cc1</x:v>
      </x:c>
      <x:c r="BJ86" s="13" t="n">
        <x:v>1</x:v>
      </x:c>
      <x:c r="BK86" s="11" t="n">
        <x:v>724.44</x:v>
      </x:c>
      <x:c r="BL86" s="12" t="n">
        <x:v>0.004039925009465151</x:v>
      </x:c>
      <x:c r="BM86" s="9" t="str">
        <x:v>false</x:v>
      </x:c>
    </x:row>
    <x:row r="87" ht="51" customHeight="1">
      <x:c r="A87" s="14" t="str">
        <x:v>null</x:v>
      </x:c>
      <x:c r="B87" s="14" t="str">
        <x:v>null</x:v>
      </x:c>
      <x:c r="C87" s="14" t="str">
        <x:v>16670418</x:v>
      </x:c>
      <x:c r="D87" s="14" t="str">
        <x:v>[]</x:v>
      </x:c>
      <x:c r="E87" s="14" t="str">
        <x:v>CHEMBL3855278</x:v>
      </x:c>
      <x:c r="F87" s="14" t="str">
        <x:v>Displacement of [3H]-spiperone from human dopamine D2 receptor expressed in CHO-K1 cell membranes coexpressing Galpha16 after 120 mins by liquid scintillation counting</x:v>
      </x:c>
      <x:c r="G87" s="14" t="str">
        <x:v>B</x:v>
      </x:c>
      <x:c r="H87" s="14" t="str">
        <x:v>null</x:v>
      </x:c>
      <x:c r="I87" s="14" t="str">
        <x:v>null</x:v>
      </x:c>
      <x:c r="J87" s="14" t="str">
        <x:v>BAO_0000192</x:v>
      </x:c>
      <x:c r="K87" s="14" t="str">
        <x:v>BAO_0000219</x:v>
      </x:c>
      <x:c r="L87" s="14" t="str">
        <x:v>cell-based format</x:v>
      </x:c>
      <x:c r="M87" s="14" t="str">
        <x:v>Cn1c(SCCCN2CC[C@]3(C[C@@H]3c3ccc(F)cc3F)C2)nnc1-c1cccnc1</x:v>
      </x:c>
      <x:c r="N87" s="14" t="str">
        <x:v>null</x:v>
      </x:c>
      <x:c r="O87" s="14" t="str">
        <x:v>null</x:v>
      </x:c>
      <x:c r="P87" s="14" t="str">
        <x:v>CHEMBL3853329</x:v>
      </x:c>
      <x:c r="Q87" s="14" t="str">
        <x:v>J Med Chem</x:v>
      </x:c>
      <x:c r="R87" s="17" t="n">
        <x:v>2016</x:v>
      </x:c>
      <x:c r="S87" s="14" t="str">
        <x:v>{"bei":"14.22","le":"0.28","lle":"1.76","sei":"13.41"}</x:v>
      </x:c>
      <x:c r="T87" s="14" t="str">
        <x:v>null</x:v>
      </x:c>
      <x:c r="U87" s="14" t="str">
        <x:v>CHEMBL3921885</x:v>
      </x:c>
      <x:c r="V87" s="14" t="str">
        <x:v>null</x:v>
      </x:c>
      <x:c r="W87" s="14" t="str">
        <x:v>CHEMBL3921885</x:v>
      </x:c>
      <x:c r="X87" s="15" t="n">
        <x:v>6.28</x:v>
      </x:c>
      <x:c r="Y87" s="17" t="n">
        <x:v>0</x:v>
      </x:c>
      <x:c r="Z87" s="14" t="str">
        <x:v>http://www.openphacts.org/units/Nanomolar</x:v>
      </x:c>
      <x:c r="AA87" s="14" t="str">
        <x:v>2796858</x:v>
      </x:c>
      <x:c r="AB87" s="14" t="str">
        <x:v>=</x:v>
      </x:c>
      <x:c r="AC87" s="14" t="str">
        <x:v>1</x:v>
      </x:c>
      <x:c r="AD87" s="17" t="n">
        <x:v>1</x:v>
      </x:c>
      <x:c r="AE87" s="14" t="str">
        <x:v>=</x:v>
      </x:c>
      <x:c r="AF87" s="14" t="str">
        <x:v>null</x:v>
      </x:c>
      <x:c r="AG87" s="14" t="str">
        <x:v>Ki</x:v>
      </x:c>
      <x:c r="AH87" s="14" t="str">
        <x:v>nM</x:v>
      </x:c>
      <x:c r="AI87" s="14" t="str">
        <x:v>null</x:v>
      </x:c>
      <x:c r="AJ87" s="15" t="n">
        <x:v>524.81</x:v>
      </x:c>
      <x:c r="AK87" s="14" t="str">
        <x:v>CHEMBL217</x:v>
      </x:c>
      <x:c r="AL87" s="14" t="str">
        <x:v>Homo sapiens</x:v>
      </x:c>
      <x:c r="AM87" s="14" t="str">
        <x:v>D(2) dopamine receptor</x:v>
      </x:c>
      <x:c r="AN87" s="14" t="str">
        <x:v>9606</x:v>
      </x:c>
      <x:c r="AO87" s="14" t="str">
        <x:v>null</x:v>
      </x:c>
      <x:c r="AP87" s="14" t="str">
        <x:v>null</x:v>
      </x:c>
      <x:c r="AQ87" s="14" t="str">
        <x:v>pKi</x:v>
      </x:c>
      <x:c r="AR87" s="14" t="str">
        <x:v>null</x:v>
      </x:c>
      <x:c r="AS87" s="14" t="str">
        <x:v>UO_0000065</x:v>
      </x:c>
      <x:c r="AT87" s="14" t="str">
        <x:v>null</x:v>
      </x:c>
      <x:c r="AU87" s="14" t="str">
        <x:v>6.28</x:v>
      </x:c>
      <x:c r="AV87" s="15" t="n">
        <x:v>0.00501</x:v>
      </x:c>
      <x:c r="AW87" s="14" t="str">
        <x:v>include</x:v>
      </x:c>
      <x:c r="AX87" s="14" t="str"/>
      <x:c r="AY87" s="15" t="n">
        <x:v>524.8074602497722</x:v>
      </x:c>
      <x:c r="AZ87" s="14" t="str">
        <x:v>source_reported_pKi</x:v>
      </x:c>
      <x:c r="BA87" s="15" t="n">
        <x:v>6.28</x:v>
      </x:c>
      <x:c r="BB87" s="14" t="str">
        <x:v>3d45ebd612f33e174b22d058850dc4a21cb03efca4b5a6b8dc59edff9dbfb926</x:v>
      </x:c>
      <x:c r="BC87" s="14" t="str">
        <x:v>IKSPSLCLHNNQFS-XXBNENTESA-N</x:v>
      </x:c>
      <x:c r="BD87" s="14" t="str">
        <x:v>Cn1c(SCCCN2CC[C@]3(C[C@@H]3c3ccc(F)cc3F)C2)nnc1-c1cccnc1</x:v>
      </x:c>
      <x:c r="BE87" s="14" t="str">
        <x:v>Cn1c(SCCCN2CCC3(CC3c3ccc(F)cc3F)C2)nnc1-c1cccnc1</x:v>
      </x:c>
      <x:c r="BF87" s="14" t="str">
        <x:v>Cn1c(SCCCN2CC[C@]3(C[C@@H]3c3ccc(F)cc3F)C2)nnc1-c1cccnc1</x:v>
      </x:c>
      <x:c r="BG87" s="16" t="n">
        <x:v>-0.0000021017171514259303</x:v>
      </x:c>
      <x:c r="BH87" s="15" t="n">
        <x:v>6.279997898282849</x:v>
      </x:c>
      <x:c r="BI87" s="14" t="str">
        <x:v>c1ccc(C2CC23CCN(CCCSc2nnc(-c4cccnc4)[nH]2)C3)cc1</x:v>
      </x:c>
      <x:c r="BJ87" s="17" t="n">
        <x:v>1</x:v>
      </x:c>
      <x:c r="BK87" s="15" t="n">
        <x:v>524.81</x:v>
      </x:c>
      <x:c r="BL87" s="16" t="n">
        <x:v>0.0025397502276973682</x:v>
      </x:c>
      <x:c r="BM87" s="14" t="str">
        <x:v>false</x:v>
      </x:c>
    </x:row>
    <x:row r="88" ht="51" customHeight="1">
      <x:c r="A88" s="9" t="str">
        <x:v>null</x:v>
      </x:c>
      <x:c r="B88" s="9" t="str">
        <x:v>null</x:v>
      </x:c>
      <x:c r="C88" s="9" t="str">
        <x:v>16670419</x:v>
      </x:c>
      <x:c r="D88" s="9" t="str">
        <x:v>[]</x:v>
      </x:c>
      <x:c r="E88" s="9" t="str">
        <x:v>CHEMBL3855278</x:v>
      </x:c>
      <x:c r="F88" s="9" t="str">
        <x:v>Displacement of [3H]-spiperone from human dopamine D2 receptor expressed in CHO-K1 cell membranes coexpressing Galpha16 after 120 mins by liquid scintillation counting</x:v>
      </x:c>
      <x:c r="G88" s="9" t="str">
        <x:v>B</x:v>
      </x:c>
      <x:c r="H88" s="9" t="str">
        <x:v>null</x:v>
      </x:c>
      <x:c r="I88" s="9" t="str">
        <x:v>null</x:v>
      </x:c>
      <x:c r="J88" s="9" t="str">
        <x:v>BAO_0000192</x:v>
      </x:c>
      <x:c r="K88" s="9" t="str">
        <x:v>BAO_0000219</x:v>
      </x:c>
      <x:c r="L88" s="9" t="str">
        <x:v>cell-based format</x:v>
      </x:c>
      <x:c r="M88" s="9" t="str">
        <x:v>Cn1c(SCCCN2CC[C@]3(C[C@@H]3c3ccc(F)cc3)C2)nnc1-c1cccnc1</x:v>
      </x:c>
      <x:c r="N88" s="9" t="str">
        <x:v>null</x:v>
      </x:c>
      <x:c r="O88" s="9" t="str">
        <x:v>null</x:v>
      </x:c>
      <x:c r="P88" s="9" t="str">
        <x:v>CHEMBL3853329</x:v>
      </x:c>
      <x:c r="Q88" s="9" t="str">
        <x:v>J Med Chem</x:v>
      </x:c>
      <x:c r="R88" s="13" t="n">
        <x:v>2016</x:v>
      </x:c>
      <x:c r="S88" s="9" t="str">
        <x:v>{"bei":"14.59","le":"0.28","lle":"1.80","sei":"13.19"}</x:v>
      </x:c>
      <x:c r="T88" s="9" t="str">
        <x:v>null</x:v>
      </x:c>
      <x:c r="U88" s="9" t="str">
        <x:v>CHEMBL3897134</x:v>
      </x:c>
      <x:c r="V88" s="9" t="str">
        <x:v>null</x:v>
      </x:c>
      <x:c r="W88" s="9" t="str">
        <x:v>CHEMBL3897134</x:v>
      </x:c>
      <x:c r="X88" s="11" t="n">
        <x:v>6.18</x:v>
      </x:c>
      <x:c r="Y88" s="13" t="n">
        <x:v>0</x:v>
      </x:c>
      <x:c r="Z88" s="9" t="str">
        <x:v>http://www.openphacts.org/units/Nanomolar</x:v>
      </x:c>
      <x:c r="AA88" s="9" t="str">
        <x:v>2796859</x:v>
      </x:c>
      <x:c r="AB88" s="9" t="str">
        <x:v>=</x:v>
      </x:c>
      <x:c r="AC88" s="9" t="str">
        <x:v>1</x:v>
      </x:c>
      <x:c r="AD88" s="13" t="n">
        <x:v>1</x:v>
      </x:c>
      <x:c r="AE88" s="9" t="str">
        <x:v>=</x:v>
      </x:c>
      <x:c r="AF88" s="9" t="str">
        <x:v>null</x:v>
      </x:c>
      <x:c r="AG88" s="9" t="str">
        <x:v>Ki</x:v>
      </x:c>
      <x:c r="AH88" s="9" t="str">
        <x:v>nM</x:v>
      </x:c>
      <x:c r="AI88" s="9" t="str">
        <x:v>null</x:v>
      </x:c>
      <x:c r="AJ88" s="11" t="n">
        <x:v>660.69</x:v>
      </x:c>
      <x:c r="AK88" s="9" t="str">
        <x:v>CHEMBL217</x:v>
      </x:c>
      <x:c r="AL88" s="9" t="str">
        <x:v>Homo sapiens</x:v>
      </x:c>
      <x:c r="AM88" s="9" t="str">
        <x:v>D(2) dopamine receptor</x:v>
      </x:c>
      <x:c r="AN88" s="9" t="str">
        <x:v>9606</x:v>
      </x:c>
      <x:c r="AO88" s="9" t="str">
        <x:v>null</x:v>
      </x:c>
      <x:c r="AP88" s="9" t="str">
        <x:v>null</x:v>
      </x:c>
      <x:c r="AQ88" s="9" t="str">
        <x:v>pKi</x:v>
      </x:c>
      <x:c r="AR88" s="9" t="str">
        <x:v>null</x:v>
      </x:c>
      <x:c r="AS88" s="9" t="str">
        <x:v>UO_0000065</x:v>
      </x:c>
      <x:c r="AT88" s="9" t="str">
        <x:v>null</x:v>
      </x:c>
      <x:c r="AU88" s="9" t="str">
        <x:v>6.18</x:v>
      </x:c>
      <x:c r="AV88" s="11" t="n">
        <x:v>0.00501</x:v>
      </x:c>
      <x:c r="AW88" s="9" t="str">
        <x:v>include</x:v>
      </x:c>
      <x:c r="AX88" s="9" t="str"/>
      <x:c r="AY88" s="11" t="n">
        <x:v>660.6934480075964</x:v>
      </x:c>
      <x:c r="AZ88" s="9" t="str">
        <x:v>source_reported_pKi</x:v>
      </x:c>
      <x:c r="BA88" s="11" t="n">
        <x:v>6.18</x:v>
      </x:c>
      <x:c r="BB88" s="9" t="str">
        <x:v>67837bf3b25973cd5602161e89589fe221722a55869bb467bb83aaf744d079f5</x:v>
      </x:c>
      <x:c r="BC88" s="9" t="str">
        <x:v>JGGOHKJHMHHQML-OFNKIYASSA-N</x:v>
      </x:c>
      <x:c r="BD88" s="9" t="str">
        <x:v>Cn1c(SCCCN2CC[C@]3(C[C@@H]3c3ccc(F)cc3)C2)nnc1-c1cccnc1</x:v>
      </x:c>
      <x:c r="BE88" s="9" t="str">
        <x:v>Cn1c(SCCCN2CCC3(CC3c3ccc(F)cc3)C2)nnc1-c1cccnc1</x:v>
      </x:c>
      <x:c r="BF88" s="9" t="str">
        <x:v>Cn1c(SCCCN2CC[C@]3(C[C@@H]3c3ccc(F)cc3)C2)nnc1-c1cccnc1</x:v>
      </x:c>
      <x:c r="BG88" s="12" t="n">
        <x:v>0.000002266489223856638</x:v>
      </x:c>
      <x:c r="BH88" s="11" t="n">
        <x:v>6.180002266489224</x:v>
      </x:c>
      <x:c r="BI88" s="9" t="str">
        <x:v>c1ccc(C2CC23CCN(CCCSc2nnc(-c4cccnc4)[nH]2)C3)cc1</x:v>
      </x:c>
      <x:c r="BJ88" s="13" t="n">
        <x:v>1</x:v>
      </x:c>
      <x:c r="BK88" s="11" t="n">
        <x:v>660.69</x:v>
      </x:c>
      <x:c r="BL88" s="12" t="n">
        <x:v>-0.0034480075963756462</x:v>
      </x:c>
      <x:c r="BM88" s="9" t="str">
        <x:v>false</x:v>
      </x:c>
    </x:row>
    <x:row r="89" ht="51" customHeight="1">
      <x:c r="A89" s="14" t="str">
        <x:v>null</x:v>
      </x:c>
      <x:c r="B89" s="14" t="str">
        <x:v>null</x:v>
      </x:c>
      <x:c r="C89" s="14" t="str">
        <x:v>16670420</x:v>
      </x:c>
      <x:c r="D89" s="14" t="str">
        <x:v>[]</x:v>
      </x:c>
      <x:c r="E89" s="14" t="str">
        <x:v>CHEMBL3855278</x:v>
      </x:c>
      <x:c r="F89" s="14" t="str">
        <x:v>Displacement of [3H]-spiperone from human dopamine D2 receptor expressed in CHO-K1 cell membranes coexpressing Galpha16 after 120 mins by liquid scintillation counting</x:v>
      </x:c>
      <x:c r="G89" s="14" t="str">
        <x:v>B</x:v>
      </x:c>
      <x:c r="H89" s="14" t="str">
        <x:v>null</x:v>
      </x:c>
      <x:c r="I89" s="14" t="str">
        <x:v>null</x:v>
      </x:c>
      <x:c r="J89" s="14" t="str">
        <x:v>BAO_0000192</x:v>
      </x:c>
      <x:c r="K89" s="14" t="str">
        <x:v>BAO_0000219</x:v>
      </x:c>
      <x:c r="L89" s="14" t="str">
        <x:v>cell-based format</x:v>
      </x:c>
      <x:c r="M89" s="14" t="str">
        <x:v>Cc1ncccc1-c1nnc(SCCCN2CC[C@]3(C[C@@H]3c3ccc(C(F)(F)F)cc3)C2)n1C</x:v>
      </x:c>
      <x:c r="N89" s="14" t="str">
        <x:v>null</x:v>
      </x:c>
      <x:c r="O89" s="14" t="str">
        <x:v>null</x:v>
      </x:c>
      <x:c r="P89" s="14" t="str">
        <x:v>CHEMBL3853329</x:v>
      </x:c>
      <x:c r="Q89" s="14" t="str">
        <x:v>J Med Chem</x:v>
      </x:c>
      <x:c r="R89" s="17" t="n">
        <x:v>2016</x:v>
      </x:c>
      <x:c r="S89" s="14" t="str">
        <x:v>{"bei":"11.96","le":"0.23","lle":"0.26","sei":"12.45"}</x:v>
      </x:c>
      <x:c r="T89" s="14" t="str">
        <x:v>null</x:v>
      </x:c>
      <x:c r="U89" s="14" t="str">
        <x:v>CHEMBL3968272</x:v>
      </x:c>
      <x:c r="V89" s="14" t="str">
        <x:v>null</x:v>
      </x:c>
      <x:c r="W89" s="14" t="str">
        <x:v>CHEMBL3968272</x:v>
      </x:c>
      <x:c r="X89" s="15" t="n">
        <x:v>5.83</x:v>
      </x:c>
      <x:c r="Y89" s="17" t="n">
        <x:v>0</x:v>
      </x:c>
      <x:c r="Z89" s="14" t="str">
        <x:v>http://www.openphacts.org/units/Nanomolar</x:v>
      </x:c>
      <x:c r="AA89" s="14" t="str">
        <x:v>2796860</x:v>
      </x:c>
      <x:c r="AB89" s="14" t="str">
        <x:v>=</x:v>
      </x:c>
      <x:c r="AC89" s="14" t="str">
        <x:v>1</x:v>
      </x:c>
      <x:c r="AD89" s="17" t="n">
        <x:v>1</x:v>
      </x:c>
      <x:c r="AE89" s="14" t="str">
        <x:v>=</x:v>
      </x:c>
      <x:c r="AF89" s="14" t="str">
        <x:v>null</x:v>
      </x:c>
      <x:c r="AG89" s="14" t="str">
        <x:v>Ki</x:v>
      </x:c>
      <x:c r="AH89" s="14" t="str">
        <x:v>nM</x:v>
      </x:c>
      <x:c r="AI89" s="14" t="str">
        <x:v>null</x:v>
      </x:c>
      <x:c r="AJ89" s="15" t="n">
        <x:v>1479.11</x:v>
      </x:c>
      <x:c r="AK89" s="14" t="str">
        <x:v>CHEMBL217</x:v>
      </x:c>
      <x:c r="AL89" s="14" t="str">
        <x:v>Homo sapiens</x:v>
      </x:c>
      <x:c r="AM89" s="14" t="str">
        <x:v>D(2) dopamine receptor</x:v>
      </x:c>
      <x:c r="AN89" s="14" t="str">
        <x:v>9606</x:v>
      </x:c>
      <x:c r="AO89" s="14" t="str">
        <x:v>null</x:v>
      </x:c>
      <x:c r="AP89" s="14" t="str">
        <x:v>null</x:v>
      </x:c>
      <x:c r="AQ89" s="14" t="str">
        <x:v>pKi</x:v>
      </x:c>
      <x:c r="AR89" s="14" t="str">
        <x:v>null</x:v>
      </x:c>
      <x:c r="AS89" s="14" t="str">
        <x:v>UO_0000065</x:v>
      </x:c>
      <x:c r="AT89" s="14" t="str">
        <x:v>null</x:v>
      </x:c>
      <x:c r="AU89" s="14" t="str">
        <x:v>5.83</x:v>
      </x:c>
      <x:c r="AV89" s="15" t="n">
        <x:v>0.00501</x:v>
      </x:c>
      <x:c r="AW89" s="14" t="str">
        <x:v>include</x:v>
      </x:c>
      <x:c r="AX89" s="14" t="str"/>
      <x:c r="AY89" s="15" t="n">
        <x:v>1479.1083881682073</x:v>
      </x:c>
      <x:c r="AZ89" s="14" t="str">
        <x:v>source_reported_pKi</x:v>
      </x:c>
      <x:c r="BA89" s="15" t="n">
        <x:v>5.83</x:v>
      </x:c>
      <x:c r="BB89" s="14" t="str">
        <x:v>1a5ed4d9d841c21bac7a48325ccf00f87a738505af583a447183c940dafec8af</x:v>
      </x:c>
      <x:c r="BC89" s="14" t="str">
        <x:v>MJUZYNLBBPDZMI-QPPBQGQZSA-N</x:v>
      </x:c>
      <x:c r="BD89" s="14" t="str">
        <x:v>Cc1ncccc1-c1nnc(SCCCN2CC[C@]3(C[C@@H]3c3ccc(C(F)(F)F)cc3)C2)n1C</x:v>
      </x:c>
      <x:c r="BE89" s="14" t="str">
        <x:v>Cc1ncccc1-c1nnc(SCCCN2CCC3(CC3c3ccc(C(F)(F)F)cc3)C2)n1C</x:v>
      </x:c>
      <x:c r="BF89" s="14" t="str">
        <x:v>Cc1ncccc1-c1nnc(SCCCN2CC[C@]3(C[C@@H]3c3ccc(C(F)(F)F)cc3)C2)n1C</x:v>
      </x:c>
      <x:c r="BG89" s="16" t="n">
        <x:v>-4.732643512639356e-7</x:v>
      </x:c>
      <x:c r="BH89" s="15" t="n">
        <x:v>5.829999526735649</x:v>
      </x:c>
      <x:c r="BI89" s="14" t="str">
        <x:v>c1ccc(C2CC23CCN(CCCSc2nnc(-c4cccnc4)[nH]2)C3)cc1</x:v>
      </x:c>
      <x:c r="BJ89" s="17" t="n">
        <x:v>1</x:v>
      </x:c>
      <x:c r="BK89" s="15" t="n">
        <x:v>1479.11</x:v>
      </x:c>
      <x:c r="BL89" s="16" t="n">
        <x:v>0.0016118317926157033</x:v>
      </x:c>
      <x:c r="BM89" s="14" t="str">
        <x:v>false</x:v>
      </x:c>
    </x:row>
    <x:row r="90" ht="51" customHeight="1">
      <x:c r="A90" s="9" t="str">
        <x:v>null</x:v>
      </x:c>
      <x:c r="B90" s="9" t="str">
        <x:v>null</x:v>
      </x:c>
      <x:c r="C90" s="9" t="str">
        <x:v>16670421</x:v>
      </x:c>
      <x:c r="D90" s="9" t="str">
        <x:v>[]</x:v>
      </x:c>
      <x:c r="E90" s="9" t="str">
        <x:v>CHEMBL3855278</x:v>
      </x:c>
      <x:c r="F90" s="9" t="str">
        <x:v>Displacement of [3H]-spiperone from human dopamine D2 receptor expressed in CHO-K1 cell membranes coexpressing Galpha16 after 120 mins by liquid scintillation counting</x:v>
      </x:c>
      <x:c r="G90" s="9" t="str">
        <x:v>B</x:v>
      </x:c>
      <x:c r="H90" s="9" t="str">
        <x:v>null</x:v>
      </x:c>
      <x:c r="I90" s="9" t="str">
        <x:v>null</x:v>
      </x:c>
      <x:c r="J90" s="9" t="str">
        <x:v>BAO_0000192</x:v>
      </x:c>
      <x:c r="K90" s="9" t="str">
        <x:v>BAO_0000219</x:v>
      </x:c>
      <x:c r="L90" s="9" t="str">
        <x:v>cell-based format</x:v>
      </x:c>
      <x:c r="M90" s="9" t="str">
        <x:v>Cn1c(SCCCN2CC[C@]3(C[C@@H]3c3ccc(C(F)(F)F)cc3)C2)nnc1-c1cccnc1C(F)(F)F</x:v>
      </x:c>
      <x:c r="N90" s="9" t="str">
        <x:v>null</x:v>
      </x:c>
      <x:c r="O90" s="9" t="str">
        <x:v>null</x:v>
      </x:c>
      <x:c r="P90" s="9" t="str">
        <x:v>CHEMBL3853329</x:v>
      </x:c>
      <x:c r="Q90" s="9" t="str">
        <x:v>J Med Chem</x:v>
      </x:c>
      <x:c r="R90" s="13" t="n">
        <x:v>2016</x:v>
      </x:c>
      <x:c r="S90" s="9" t="str">
        <x:v>{"bei":"11.12","le":"0.22","lle":"-0.26","sei":"12.85"}</x:v>
      </x:c>
      <x:c r="T90" s="9" t="str">
        <x:v>null</x:v>
      </x:c>
      <x:c r="U90" s="9" t="str">
        <x:v>CHEMBL3946313</x:v>
      </x:c>
      <x:c r="V90" s="9" t="str">
        <x:v>null</x:v>
      </x:c>
      <x:c r="W90" s="9" t="str">
        <x:v>CHEMBL3946313</x:v>
      </x:c>
      <x:c r="X90" s="11" t="n">
        <x:v>6.02</x:v>
      </x:c>
      <x:c r="Y90" s="13" t="n">
        <x:v>0</x:v>
      </x:c>
      <x:c r="Z90" s="9" t="str">
        <x:v>http://www.openphacts.org/units/Nanomolar</x:v>
      </x:c>
      <x:c r="AA90" s="9" t="str">
        <x:v>2796861</x:v>
      </x:c>
      <x:c r="AB90" s="9" t="str">
        <x:v>=</x:v>
      </x:c>
      <x:c r="AC90" s="9" t="str">
        <x:v>1</x:v>
      </x:c>
      <x:c r="AD90" s="13" t="n">
        <x:v>1</x:v>
      </x:c>
      <x:c r="AE90" s="9" t="str">
        <x:v>=</x:v>
      </x:c>
      <x:c r="AF90" s="9" t="str">
        <x:v>null</x:v>
      </x:c>
      <x:c r="AG90" s="9" t="str">
        <x:v>Ki</x:v>
      </x:c>
      <x:c r="AH90" s="9" t="str">
        <x:v>nM</x:v>
      </x:c>
      <x:c r="AI90" s="9" t="str">
        <x:v>null</x:v>
      </x:c>
      <x:c r="AJ90" s="11" t="n">
        <x:v>954.99</x:v>
      </x:c>
      <x:c r="AK90" s="9" t="str">
        <x:v>CHEMBL217</x:v>
      </x:c>
      <x:c r="AL90" s="9" t="str">
        <x:v>Homo sapiens</x:v>
      </x:c>
      <x:c r="AM90" s="9" t="str">
        <x:v>D(2) dopamine receptor</x:v>
      </x:c>
      <x:c r="AN90" s="9" t="str">
        <x:v>9606</x:v>
      </x:c>
      <x:c r="AO90" s="9" t="str">
        <x:v>null</x:v>
      </x:c>
      <x:c r="AP90" s="9" t="str">
        <x:v>null</x:v>
      </x:c>
      <x:c r="AQ90" s="9" t="str">
        <x:v>pKi</x:v>
      </x:c>
      <x:c r="AR90" s="9" t="str">
        <x:v>null</x:v>
      </x:c>
      <x:c r="AS90" s="9" t="str">
        <x:v>UO_0000065</x:v>
      </x:c>
      <x:c r="AT90" s="9" t="str">
        <x:v>null</x:v>
      </x:c>
      <x:c r="AU90" s="9" t="str">
        <x:v>6.02</x:v>
      </x:c>
      <x:c r="AV90" s="11" t="n">
        <x:v>0.00501</x:v>
      </x:c>
      <x:c r="AW90" s="9" t="str">
        <x:v>include</x:v>
      </x:c>
      <x:c r="AX90" s="9" t="str"/>
      <x:c r="AY90" s="11" t="n">
        <x:v>954.9925860214369</x:v>
      </x:c>
      <x:c r="AZ90" s="9" t="str">
        <x:v>source_reported_pKi</x:v>
      </x:c>
      <x:c r="BA90" s="11" t="n">
        <x:v>6.02</x:v>
      </x:c>
      <x:c r="BB90" s="9" t="str">
        <x:v>ffdc93482f2936e0c3a7c58e3bc1aeafd646d94c723107a9edf3f59445d01a06</x:v>
      </x:c>
      <x:c r="BC90" s="9" t="str">
        <x:v>DVUOLXOWKHDIAV-XXBNENTESA-N</x:v>
      </x:c>
      <x:c r="BD90" s="9" t="str">
        <x:v>Cn1c(SCCCN2CC[C@]3(C[C@@H]3c3ccc(C(F)(F)F)cc3)C2)nnc1-c1cccnc1C(F)(F)F</x:v>
      </x:c>
      <x:c r="BE90" s="9" t="str">
        <x:v>Cn1c(SCCCN2CCC3(CC3c3ccc(C(F)(F)F)cc3)C2)nnc1-c1cccnc1C(F)(F)F</x:v>
      </x:c>
      <x:c r="BF90" s="9" t="str">
        <x:v>Cn1c(SCCCN2CC[C@]3(C[C@@H]3c3ccc(C(F)(F)F)cc3)C2)nnc1-c1cccnc1C(F)(F)F</x:v>
      </x:c>
      <x:c r="BG90" s="12" t="n">
        <x:v>0.0000011760262612625638</x:v>
      </x:c>
      <x:c r="BH90" s="11" t="n">
        <x:v>6.020001176026261</x:v>
      </x:c>
      <x:c r="BI90" s="9" t="str">
        <x:v>c1ccc(C2CC23CCN(CCCSc2nnc(-c4cccnc4)[nH]2)C3)cc1</x:v>
      </x:c>
      <x:c r="BJ90" s="13" t="n">
        <x:v>1</x:v>
      </x:c>
      <x:c r="BK90" s="11" t="n">
        <x:v>954.99</x:v>
      </x:c>
      <x:c r="BL90" s="12" t="n">
        <x:v>-0.002586021436854935</x:v>
      </x:c>
      <x:c r="BM90" s="9" t="str">
        <x:v>false</x:v>
      </x:c>
    </x:row>
    <x:row r="91" ht="51" customHeight="1">
      <x:c r="A91" s="14" t="str">
        <x:v>null</x:v>
      </x:c>
      <x:c r="B91" s="14" t="str">
        <x:v>null</x:v>
      </x:c>
      <x:c r="C91" s="14" t="str">
        <x:v>16670422</x:v>
      </x:c>
      <x:c r="D91" s="14" t="str">
        <x:v>[]</x:v>
      </x:c>
      <x:c r="E91" s="14" t="str">
        <x:v>CHEMBL3855278</x:v>
      </x:c>
      <x:c r="F91" s="14" t="str">
        <x:v>Displacement of [3H]-spiperone from human dopamine D2 receptor expressed in CHO-K1 cell membranes coexpressing Galpha16 after 120 mins by liquid scintillation counting</x:v>
      </x:c>
      <x:c r="G91" s="14" t="str">
        <x:v>B</x:v>
      </x:c>
      <x:c r="H91" s="14" t="str">
        <x:v>null</x:v>
      </x:c>
      <x:c r="I91" s="14" t="str">
        <x:v>null</x:v>
      </x:c>
      <x:c r="J91" s="14" t="str">
        <x:v>BAO_0000192</x:v>
      </x:c>
      <x:c r="K91" s="14" t="str">
        <x:v>BAO_0000219</x:v>
      </x:c>
      <x:c r="L91" s="14" t="str">
        <x:v>cell-based format</x:v>
      </x:c>
      <x:c r="M91" s="14" t="str">
        <x:v>COc1ncccc1-c1nnc(SCCCN2CC[C@]3(C[C@@H]3c3ccc(C(F)(F)F)cc3)C2)n1C</x:v>
      </x:c>
      <x:c r="N91" s="14" t="str">
        <x:v>null</x:v>
      </x:c>
      <x:c r="O91" s="14" t="str">
        <x:v>null</x:v>
      </x:c>
      <x:c r="P91" s="14" t="str">
        <x:v>CHEMBL3853329</x:v>
      </x:c>
      <x:c r="Q91" s="14" t="str">
        <x:v>J Med Chem</x:v>
      </x:c>
      <x:c r="R91" s="17" t="n">
        <x:v>2016</x:v>
      </x:c>
      <x:c r="S91" s="14" t="str">
        <x:v>{"bei":"11.80","le":"0.23","lle":"0.67","sei":"10.59"}</x:v>
      </x:c>
      <x:c r="T91" s="14" t="str">
        <x:v>null</x:v>
      </x:c>
      <x:c r="U91" s="14" t="str">
        <x:v>CHEMBL3958949</x:v>
      </x:c>
      <x:c r="V91" s="14" t="str">
        <x:v>null</x:v>
      </x:c>
      <x:c r="W91" s="14" t="str">
        <x:v>CHEMBL3958949</x:v>
      </x:c>
      <x:c r="X91" s="15" t="n">
        <x:v>5.94</x:v>
      </x:c>
      <x:c r="Y91" s="17" t="n">
        <x:v>0</x:v>
      </x:c>
      <x:c r="Z91" s="14" t="str">
        <x:v>http://www.openphacts.org/units/Nanomolar</x:v>
      </x:c>
      <x:c r="AA91" s="14" t="str">
        <x:v>2796862</x:v>
      </x:c>
      <x:c r="AB91" s="14" t="str">
        <x:v>=</x:v>
      </x:c>
      <x:c r="AC91" s="14" t="str">
        <x:v>1</x:v>
      </x:c>
      <x:c r="AD91" s="17" t="n">
        <x:v>1</x:v>
      </x:c>
      <x:c r="AE91" s="14" t="str">
        <x:v>=</x:v>
      </x:c>
      <x:c r="AF91" s="14" t="str">
        <x:v>null</x:v>
      </x:c>
      <x:c r="AG91" s="14" t="str">
        <x:v>Ki</x:v>
      </x:c>
      <x:c r="AH91" s="14" t="str">
        <x:v>nM</x:v>
      </x:c>
      <x:c r="AI91" s="14" t="str">
        <x:v>null</x:v>
      </x:c>
      <x:c r="AJ91" s="15" t="n">
        <x:v>1148.15</x:v>
      </x:c>
      <x:c r="AK91" s="14" t="str">
        <x:v>CHEMBL217</x:v>
      </x:c>
      <x:c r="AL91" s="14" t="str">
        <x:v>Homo sapiens</x:v>
      </x:c>
      <x:c r="AM91" s="14" t="str">
        <x:v>D(2) dopamine receptor</x:v>
      </x:c>
      <x:c r="AN91" s="14" t="str">
        <x:v>9606</x:v>
      </x:c>
      <x:c r="AO91" s="14" t="str">
        <x:v>null</x:v>
      </x:c>
      <x:c r="AP91" s="14" t="str">
        <x:v>null</x:v>
      </x:c>
      <x:c r="AQ91" s="14" t="str">
        <x:v>pKi</x:v>
      </x:c>
      <x:c r="AR91" s="14" t="str">
        <x:v>null</x:v>
      </x:c>
      <x:c r="AS91" s="14" t="str">
        <x:v>UO_0000065</x:v>
      </x:c>
      <x:c r="AT91" s="14" t="str">
        <x:v>null</x:v>
      </x:c>
      <x:c r="AU91" s="14" t="str">
        <x:v>5.94</x:v>
      </x:c>
      <x:c r="AV91" s="15" t="n">
        <x:v>0.00501</x:v>
      </x:c>
      <x:c r="AW91" s="14" t="str">
        <x:v>include</x:v>
      </x:c>
      <x:c r="AX91" s="14" t="str"/>
      <x:c r="AY91" s="15" t="n">
        <x:v>1148.1536214968817</x:v>
      </x:c>
      <x:c r="AZ91" s="14" t="str">
        <x:v>source_reported_pKi</x:v>
      </x:c>
      <x:c r="BA91" s="15" t="n">
        <x:v>5.94</x:v>
      </x:c>
      <x:c r="BB91" s="14" t="str">
        <x:v>898e3ec18bfe6c9b712320cd4ede2563247385e5e14072511fcd5548497ca00b</x:v>
      </x:c>
      <x:c r="BC91" s="14" t="str">
        <x:v>DOTLHOVQYVFUDB-YKSBVNFPSA-N</x:v>
      </x:c>
      <x:c r="BD91" s="14" t="str">
        <x:v>COc1ncccc1-c1nnc(SCCCN2CC[C@]3(C[C@@H]3c3ccc(C(F)(F)F)cc3)C2)n1C</x:v>
      </x:c>
      <x:c r="BE91" s="14" t="str">
        <x:v>COc1ncccc1-c1nnc(SCCCN2CCC3(CC3c3ccc(C(F)(F)F)cc3)C2)n1C</x:v>
      </x:c>
      <x:c r="BF91" s="14" t="str">
        <x:v>COc1ncccc1-c1nnc(SCCCN2CC[C@]3(C[C@@H]3c3ccc(C(F)(F)F)cc3)C2)n1C</x:v>
      </x:c>
      <x:c r="BG91" s="16" t="n">
        <x:v>0.0000013698503087411495</x:v>
      </x:c>
      <x:c r="BH91" s="15" t="n">
        <x:v>5.940001369850309</x:v>
      </x:c>
      <x:c r="BI91" s="14" t="str">
        <x:v>c1ccc(C2CC23CCN(CCCSc2nnc(-c4cccnc4)[nH]2)C3)cc1</x:v>
      </x:c>
      <x:c r="BJ91" s="17" t="n">
        <x:v>1</x:v>
      </x:c>
      <x:c r="BK91" s="15" t="n">
        <x:v>1148.15</x:v>
      </x:c>
      <x:c r="BL91" s="16" t="n">
        <x:v>-0.003621496881578423</x:v>
      </x:c>
      <x:c r="BM91" s="14" t="str">
        <x:v>false</x:v>
      </x:c>
    </x:row>
    <x:row r="92" ht="51" customHeight="1">
      <x:c r="A92" s="9" t="str">
        <x:v>null</x:v>
      </x:c>
      <x:c r="B92" s="9" t="str">
        <x:v>null</x:v>
      </x:c>
      <x:c r="C92" s="9" t="str">
        <x:v>16670423</x:v>
      </x:c>
      <x:c r="D92" s="9" t="str">
        <x:v>[]</x:v>
      </x:c>
      <x:c r="E92" s="9" t="str">
        <x:v>CHEMBL3855278</x:v>
      </x:c>
      <x:c r="F92" s="9" t="str">
        <x:v>Displacement of [3H]-spiperone from human dopamine D2 receptor expressed in CHO-K1 cell membranes coexpressing Galpha16 after 120 mins by liquid scintillation counting</x:v>
      </x:c>
      <x:c r="G92" s="9" t="str">
        <x:v>B</x:v>
      </x:c>
      <x:c r="H92" s="9" t="str">
        <x:v>null</x:v>
      </x:c>
      <x:c r="I92" s="9" t="str">
        <x:v>null</x:v>
      </x:c>
      <x:c r="J92" s="9" t="str">
        <x:v>BAO_0000192</x:v>
      </x:c>
      <x:c r="K92" s="9" t="str">
        <x:v>BAO_0000219</x:v>
      </x:c>
      <x:c r="L92" s="9" t="str">
        <x:v>cell-based format</x:v>
      </x:c>
      <x:c r="M92" s="9" t="str">
        <x:v>Cn1c(SCCCN2CC[C@]3(C[C@@H]3c3ccc(C(F)(F)F)cc3)C2)nnc1-c1ccc(C#N)nc1</x:v>
      </x:c>
      <x:c r="N92" s="9" t="str">
        <x:v>null</x:v>
      </x:c>
      <x:c r="O92" s="9" t="str">
        <x:v>null</x:v>
      </x:c>
      <x:c r="P92" s="9" t="str">
        <x:v>CHEMBL3853329</x:v>
      </x:c>
      <x:c r="Q92" s="9" t="str">
        <x:v>J Med Chem</x:v>
      </x:c>
      <x:c r="R92" s="13" t="n">
        <x:v>2016</x:v>
      </x:c>
      <x:c r="S92" s="9" t="str">
        <x:v>{"bei":"12.36","le":"0.24","lle":"1.03","sei":"8.72"}</x:v>
      </x:c>
      <x:c r="T92" s="9" t="str">
        <x:v>null</x:v>
      </x:c>
      <x:c r="U92" s="9" t="str">
        <x:v>CHEMBL3922535</x:v>
      </x:c>
      <x:c r="V92" s="9" t="str">
        <x:v>null</x:v>
      </x:c>
      <x:c r="W92" s="9" t="str">
        <x:v>CHEMBL3922535</x:v>
      </x:c>
      <x:c r="X92" s="11" t="n">
        <x:v>6.16</x:v>
      </x:c>
      <x:c r="Y92" s="13" t="n">
        <x:v>0</x:v>
      </x:c>
      <x:c r="Z92" s="9" t="str">
        <x:v>http://www.openphacts.org/units/Nanomolar</x:v>
      </x:c>
      <x:c r="AA92" s="9" t="str">
        <x:v>2796863</x:v>
      </x:c>
      <x:c r="AB92" s="9" t="str">
        <x:v>=</x:v>
      </x:c>
      <x:c r="AC92" s="9" t="str">
        <x:v>1</x:v>
      </x:c>
      <x:c r="AD92" s="13" t="n">
        <x:v>1</x:v>
      </x:c>
      <x:c r="AE92" s="9" t="str">
        <x:v>=</x:v>
      </x:c>
      <x:c r="AF92" s="9" t="str">
        <x:v>null</x:v>
      </x:c>
      <x:c r="AG92" s="9" t="str">
        <x:v>Ki</x:v>
      </x:c>
      <x:c r="AH92" s="9" t="str">
        <x:v>nM</x:v>
      </x:c>
      <x:c r="AI92" s="9" t="str">
        <x:v>null</x:v>
      </x:c>
      <x:c r="AJ92" s="11" t="n">
        <x:v>691.83</x:v>
      </x:c>
      <x:c r="AK92" s="9" t="str">
        <x:v>CHEMBL217</x:v>
      </x:c>
      <x:c r="AL92" s="9" t="str">
        <x:v>Homo sapiens</x:v>
      </x:c>
      <x:c r="AM92" s="9" t="str">
        <x:v>D(2) dopamine receptor</x:v>
      </x:c>
      <x:c r="AN92" s="9" t="str">
        <x:v>9606</x:v>
      </x:c>
      <x:c r="AO92" s="9" t="str">
        <x:v>null</x:v>
      </x:c>
      <x:c r="AP92" s="9" t="str">
        <x:v>null</x:v>
      </x:c>
      <x:c r="AQ92" s="9" t="str">
        <x:v>pKi</x:v>
      </x:c>
      <x:c r="AR92" s="9" t="str">
        <x:v>null</x:v>
      </x:c>
      <x:c r="AS92" s="9" t="str">
        <x:v>UO_0000065</x:v>
      </x:c>
      <x:c r="AT92" s="9" t="str">
        <x:v>null</x:v>
      </x:c>
      <x:c r="AU92" s="9" t="str">
        <x:v>6.16</x:v>
      </x:c>
      <x:c r="AV92" s="11" t="n">
        <x:v>0.00501</x:v>
      </x:c>
      <x:c r="AW92" s="9" t="str">
        <x:v>include</x:v>
      </x:c>
      <x:c r="AX92" s="9" t="str"/>
      <x:c r="AY92" s="11" t="n">
        <x:v>691.8309709189363</x:v>
      </x:c>
      <x:c r="AZ92" s="9" t="str">
        <x:v>source_reported_pKi</x:v>
      </x:c>
      <x:c r="BA92" s="11" t="n">
        <x:v>6.16</x:v>
      </x:c>
      <x:c r="BB92" s="9" t="str">
        <x:v>15eb3b2aa897ffa440e733f4aaed728d6c6664311005d7c0dc4fc2a5cec3b99d</x:v>
      </x:c>
      <x:c r="BC92" s="9" t="str">
        <x:v>LMYXDMLXVWZVJJ-QPPBQGQZSA-N</x:v>
      </x:c>
      <x:c r="BD92" s="9" t="str">
        <x:v>Cn1c(SCCCN2CC[C@]3(C[C@@H]3c3ccc(C(F)(F)F)cc3)C2)nnc1-c1ccc(C#N)nc1</x:v>
      </x:c>
      <x:c r="BE92" s="9" t="str">
        <x:v>Cn1c(SCCCN2CCC3(CC3c3ccc(C(F)(F)F)cc3)C2)nnc1-c1ccc(C#N)nc1</x:v>
      </x:c>
      <x:c r="BF92" s="9" t="str">
        <x:v>Cn1c(SCCCN2CC[C@]3(C[C@@H]3c3ccc(C(F)(F)F)cc3)C2)nnc1-c1ccc(C#N)nc1</x:v>
      </x:c>
      <x:c r="BG92" s="12" t="n">
        <x:v>6.09491407566054e-7</x:v>
      </x:c>
      <x:c r="BH92" s="11" t="n">
        <x:v>6.160000609491408</x:v>
      </x:c>
      <x:c r="BI92" s="9" t="str">
        <x:v>c1ccc(C2CC23CCN(CCCSc2nnc(-c4cccnc4)[nH]2)C3)cc1</x:v>
      </x:c>
      <x:c r="BJ92" s="13" t="n">
        <x:v>1</x:v>
      </x:c>
      <x:c r="BK92" s="11" t="n">
        <x:v>691.83</x:v>
      </x:c>
      <x:c r="BL92" s="12" t="n">
        <x:v>-0.0009709189362183679</x:v>
      </x:c>
      <x:c r="BM92" s="9" t="str">
        <x:v>false</x:v>
      </x:c>
    </x:row>
    <x:row r="93" ht="51" customHeight="1">
      <x:c r="A93" s="14" t="str">
        <x:v>null</x:v>
      </x:c>
      <x:c r="B93" s="14" t="str">
        <x:v>null</x:v>
      </x:c>
      <x:c r="C93" s="14" t="str">
        <x:v>16670424</x:v>
      </x:c>
      <x:c r="D93" s="14" t="str">
        <x:v>[]</x:v>
      </x:c>
      <x:c r="E93" s="14" t="str">
        <x:v>CHEMBL3855278</x:v>
      </x:c>
      <x:c r="F93" s="14" t="str">
        <x:v>Displacement of [3H]-spiperone from human dopamine D2 receptor expressed in CHO-K1 cell membranes coexpressing Galpha16 after 120 mins by liquid scintillation counting</x:v>
      </x:c>
      <x:c r="G93" s="14" t="str">
        <x:v>B</x:v>
      </x:c>
      <x:c r="H93" s="14" t="str">
        <x:v>null</x:v>
      </x:c>
      <x:c r="I93" s="14" t="str">
        <x:v>null</x:v>
      </x:c>
      <x:c r="J93" s="14" t="str">
        <x:v>BAO_0000192</x:v>
      </x:c>
      <x:c r="K93" s="14" t="str">
        <x:v>BAO_0000219</x:v>
      </x:c>
      <x:c r="L93" s="14" t="str">
        <x:v>cell-based format</x:v>
      </x:c>
      <x:c r="M93" s="14" t="str">
        <x:v>Cn1c(SCCCN2CC[C@]3(C[C@@H]3c3ccc(C(F)(F)F)cc3)C2)nnc1-c1ccc(C(N)=O)nc1</x:v>
      </x:c>
      <x:c r="N93" s="14" t="str">
        <x:v>null</x:v>
      </x:c>
      <x:c r="O93" s="14" t="str">
        <x:v>null</x:v>
      </x:c>
      <x:c r="P93" s="14" t="str">
        <x:v>CHEMBL3853329</x:v>
      </x:c>
      <x:c r="Q93" s="14" t="str">
        <x:v>J Med Chem</x:v>
      </x:c>
      <x:c r="R93" s="17" t="n">
        <x:v>2016</x:v>
      </x:c>
      <x:c r="S93" s="14" t="str">
        <x:v>{"bei":"12.12","le":"0.24","lle":"1.90","sei":"6.96"}</x:v>
      </x:c>
      <x:c r="T93" s="14" t="str">
        <x:v>null</x:v>
      </x:c>
      <x:c r="U93" s="14" t="str">
        <x:v>CHEMBL3950254</x:v>
      </x:c>
      <x:c r="V93" s="14" t="str">
        <x:v>null</x:v>
      </x:c>
      <x:c r="W93" s="14" t="str">
        <x:v>CHEMBL3950254</x:v>
      </x:c>
      <x:c r="X93" s="15" t="n">
        <x:v>6.26</x:v>
      </x:c>
      <x:c r="Y93" s="17" t="n">
        <x:v>0</x:v>
      </x:c>
      <x:c r="Z93" s="14" t="str">
        <x:v>http://www.openphacts.org/units/Nanomolar</x:v>
      </x:c>
      <x:c r="AA93" s="14" t="str">
        <x:v>2796864</x:v>
      </x:c>
      <x:c r="AB93" s="14" t="str">
        <x:v>=</x:v>
      </x:c>
      <x:c r="AC93" s="14" t="str">
        <x:v>1</x:v>
      </x:c>
      <x:c r="AD93" s="17" t="n">
        <x:v>1</x:v>
      </x:c>
      <x:c r="AE93" s="14" t="str">
        <x:v>=</x:v>
      </x:c>
      <x:c r="AF93" s="14" t="str">
        <x:v>null</x:v>
      </x:c>
      <x:c r="AG93" s="14" t="str">
        <x:v>Ki</x:v>
      </x:c>
      <x:c r="AH93" s="14" t="str">
        <x:v>nM</x:v>
      </x:c>
      <x:c r="AI93" s="14" t="str">
        <x:v>null</x:v>
      </x:c>
      <x:c r="AJ93" s="15" t="n">
        <x:v>549.54</x:v>
      </x:c>
      <x:c r="AK93" s="14" t="str">
        <x:v>CHEMBL217</x:v>
      </x:c>
      <x:c r="AL93" s="14" t="str">
        <x:v>Homo sapiens</x:v>
      </x:c>
      <x:c r="AM93" s="14" t="str">
        <x:v>D(2) dopamine receptor</x:v>
      </x:c>
      <x:c r="AN93" s="14" t="str">
        <x:v>9606</x:v>
      </x:c>
      <x:c r="AO93" s="14" t="str">
        <x:v>null</x:v>
      </x:c>
      <x:c r="AP93" s="14" t="str">
        <x:v>null</x:v>
      </x:c>
      <x:c r="AQ93" s="14" t="str">
        <x:v>pKi</x:v>
      </x:c>
      <x:c r="AR93" s="14" t="str">
        <x:v>null</x:v>
      </x:c>
      <x:c r="AS93" s="14" t="str">
        <x:v>UO_0000065</x:v>
      </x:c>
      <x:c r="AT93" s="14" t="str">
        <x:v>null</x:v>
      </x:c>
      <x:c r="AU93" s="14" t="str">
        <x:v>6.26</x:v>
      </x:c>
      <x:c r="AV93" s="15" t="n">
        <x:v>0.00501</x:v>
      </x:c>
      <x:c r="AW93" s="14" t="str">
        <x:v>include</x:v>
      </x:c>
      <x:c r="AX93" s="14" t="str"/>
      <x:c r="AY93" s="15" t="n">
        <x:v>549.5408738576248</x:v>
      </x:c>
      <x:c r="AZ93" s="14" t="str">
        <x:v>source_reported_pKi</x:v>
      </x:c>
      <x:c r="BA93" s="15" t="n">
        <x:v>6.26</x:v>
      </x:c>
      <x:c r="BB93" s="14" t="str">
        <x:v>3759f11dd2859c5a76b5a0e2ec5ee3716c4670d2d7b27d70e83309cd2089062e</x:v>
      </x:c>
      <x:c r="BC93" s="14" t="str">
        <x:v>PQHIRTDXFUZNBI-DVECYGJZSA-N</x:v>
      </x:c>
      <x:c r="BD93" s="14" t="str">
        <x:v>Cn1c(SCCCN2CC[C@]3(C[C@@H]3c3ccc(C(F)(F)F)cc3)C2)nnc1-c1ccc(C(N)=O)nc1</x:v>
      </x:c>
      <x:c r="BE93" s="14" t="str">
        <x:v>Cn1c(SCCCN2CCC3(CC3c3ccc(C(F)(F)F)cc3)C2)nnc1-c1ccc(C(N)=O)nc1</x:v>
      </x:c>
      <x:c r="BF93" s="14" t="str">
        <x:v>Cn1c(SCCCN2CC[C@]3(C[C@@H]3c3ccc(C(F)(F)F)cc3)C2)nnc1-c1ccc(C(N)=O)nc1</x:v>
      </x:c>
      <x:c r="BG93" s="16" t="n">
        <x:v>6.905980320937033e-7</x:v>
      </x:c>
      <x:c r="BH93" s="15" t="n">
        <x:v>6.260000690598032</x:v>
      </x:c>
      <x:c r="BI93" s="14" t="str">
        <x:v>c1ccc(C2CC23CCN(CCCSc2nnc(-c4cccnc4)[nH]2)C3)cc1</x:v>
      </x:c>
      <x:c r="BJ93" s="17" t="n">
        <x:v>1</x:v>
      </x:c>
      <x:c r="BK93" s="15" t="n">
        <x:v>549.54</x:v>
      </x:c>
      <x:c r="BL93" s="16" t="n">
        <x:v>-0.0008738576248106256</x:v>
      </x:c>
      <x:c r="BM93" s="14" t="str">
        <x:v>false</x:v>
      </x:c>
    </x:row>
    <x:row r="94" ht="51" customHeight="1">
      <x:c r="A94" s="9" t="str">
        <x:v>null</x:v>
      </x:c>
      <x:c r="B94" s="9" t="str">
        <x:v>null</x:v>
      </x:c>
      <x:c r="C94" s="9" t="str">
        <x:v>16670425</x:v>
      </x:c>
      <x:c r="D94" s="9" t="str">
        <x:v>[]</x:v>
      </x:c>
      <x:c r="E94" s="9" t="str">
        <x:v>CHEMBL3855278</x:v>
      </x:c>
      <x:c r="F94" s="9" t="str">
        <x:v>Displacement of [3H]-spiperone from human dopamine D2 receptor expressed in CHO-K1 cell membranes coexpressing Galpha16 after 120 mins by liquid scintillation counting</x:v>
      </x:c>
      <x:c r="G94" s="9" t="str">
        <x:v>B</x:v>
      </x:c>
      <x:c r="H94" s="9" t="str">
        <x:v>null</x:v>
      </x:c>
      <x:c r="I94" s="9" t="str">
        <x:v>null</x:v>
      </x:c>
      <x:c r="J94" s="9" t="str">
        <x:v>BAO_0000192</x:v>
      </x:c>
      <x:c r="K94" s="9" t="str">
        <x:v>BAO_0000219</x:v>
      </x:c>
      <x:c r="L94" s="9" t="str">
        <x:v>cell-based format</x:v>
      </x:c>
      <x:c r="M94" s="9" t="str">
        <x:v>Cc1ccc(-c2nnc(SCCCN3CC[C@]4(C[C@@H]4c4ccc(C(F)(F)F)cc4)C3)n2C)c(C)n1</x:v>
      </x:c>
      <x:c r="N94" s="9" t="str">
        <x:v>null</x:v>
      </x:c>
      <x:c r="O94" s="9" t="str">
        <x:v>null</x:v>
      </x:c>
      <x:c r="P94" s="9" t="str">
        <x:v>CHEMBL3853329</x:v>
      </x:c>
      <x:c r="Q94" s="9" t="str">
        <x:v>J Med Chem</x:v>
      </x:c>
      <x:c r="R94" s="13" t="n">
        <x:v>2016</x:v>
      </x:c>
      <x:c r="S94" s="9" t="str">
        <x:v>{"bei":"11.78","le":"0.23","lle":"0.04","sei":"12.62"}</x:v>
      </x:c>
      <x:c r="T94" s="9" t="str">
        <x:v>null</x:v>
      </x:c>
      <x:c r="U94" s="9" t="str">
        <x:v>CHEMBL3913542</x:v>
      </x:c>
      <x:c r="V94" s="9" t="str">
        <x:v>null</x:v>
      </x:c>
      <x:c r="W94" s="9" t="str">
        <x:v>CHEMBL3913542</x:v>
      </x:c>
      <x:c r="X94" s="11" t="n">
        <x:v>5.91</x:v>
      </x:c>
      <x:c r="Y94" s="13" t="n">
        <x:v>0</x:v>
      </x:c>
      <x:c r="Z94" s="9" t="str">
        <x:v>http://www.openphacts.org/units/Nanomolar</x:v>
      </x:c>
      <x:c r="AA94" s="9" t="str">
        <x:v>2796865</x:v>
      </x:c>
      <x:c r="AB94" s="9" t="str">
        <x:v>=</x:v>
      </x:c>
      <x:c r="AC94" s="9" t="str">
        <x:v>1</x:v>
      </x:c>
      <x:c r="AD94" s="13" t="n">
        <x:v>1</x:v>
      </x:c>
      <x:c r="AE94" s="9" t="str">
        <x:v>=</x:v>
      </x:c>
      <x:c r="AF94" s="9" t="str">
        <x:v>null</x:v>
      </x:c>
      <x:c r="AG94" s="9" t="str">
        <x:v>Ki</x:v>
      </x:c>
      <x:c r="AH94" s="9" t="str">
        <x:v>nM</x:v>
      </x:c>
      <x:c r="AI94" s="9" t="str">
        <x:v>null</x:v>
      </x:c>
      <x:c r="AJ94" s="11" t="n">
        <x:v>1230.27</x:v>
      </x:c>
      <x:c r="AK94" s="9" t="str">
        <x:v>CHEMBL217</x:v>
      </x:c>
      <x:c r="AL94" s="9" t="str">
        <x:v>Homo sapiens</x:v>
      </x:c>
      <x:c r="AM94" s="9" t="str">
        <x:v>D(2) dopamine receptor</x:v>
      </x:c>
      <x:c r="AN94" s="9" t="str">
        <x:v>9606</x:v>
      </x:c>
      <x:c r="AO94" s="9" t="str">
        <x:v>null</x:v>
      </x:c>
      <x:c r="AP94" s="9" t="str">
        <x:v>null</x:v>
      </x:c>
      <x:c r="AQ94" s="9" t="str">
        <x:v>pKi</x:v>
      </x:c>
      <x:c r="AR94" s="9" t="str">
        <x:v>null</x:v>
      </x:c>
      <x:c r="AS94" s="9" t="str">
        <x:v>UO_0000065</x:v>
      </x:c>
      <x:c r="AT94" s="9" t="str">
        <x:v>null</x:v>
      </x:c>
      <x:c r="AU94" s="9" t="str">
        <x:v>5.91</x:v>
      </x:c>
      <x:c r="AV94" s="11" t="n">
        <x:v>0.00501</x:v>
      </x:c>
      <x:c r="AW94" s="9" t="str">
        <x:v>include</x:v>
      </x:c>
      <x:c r="AX94" s="9" t="str"/>
      <x:c r="AY94" s="11" t="n">
        <x:v>1230.268770812381</x:v>
      </x:c>
      <x:c r="AZ94" s="9" t="str">
        <x:v>source_reported_pKi</x:v>
      </x:c>
      <x:c r="BA94" s="11" t="n">
        <x:v>5.91</x:v>
      </x:c>
      <x:c r="BB94" s="9" t="str">
        <x:v>27731b4561e40a6f17d05d05646acdb71b9ff87b8c22691cad4b66faf1aeecac</x:v>
      </x:c>
      <x:c r="BC94" s="9" t="str">
        <x:v>MRFLPGUUAPCTFB-RDGATRHJSA-N</x:v>
      </x:c>
      <x:c r="BD94" s="9" t="str">
        <x:v>Cc1ccc(-c2nnc(SCCCN3CC[C@]4(C[C@@H]4c4ccc(C(F)(F)F)cc4)C3)n2C)c(C)n1</x:v>
      </x:c>
      <x:c r="BE94" s="9" t="str">
        <x:v>Cc1ccc(-c2nnc(SCCCN3CCC4(CC4c4ccc(C(F)(F)F)cc4)C3)n2C)c(C)n1</x:v>
      </x:c>
      <x:c r="BF94" s="9" t="str">
        <x:v>Cc1ccc(-c2nnc(SCCCN3CC[C@]4(C[C@@H]4c4ccc(C(F)(F)F)cc4)C3)n2C)c(C)n1</x:v>
      </x:c>
      <x:c r="BG94" s="12" t="n">
        <x:v>-4.3391260984293467e-7</x:v>
      </x:c>
      <x:c r="BH94" s="11" t="n">
        <x:v>5.90999956608739</x:v>
      </x:c>
      <x:c r="BI94" s="9" t="str">
        <x:v>c1ccc(C2CC23CCN(CCCSc2nnc(-c4cccnc4)[nH]2)C3)cc1</x:v>
      </x:c>
      <x:c r="BJ94" s="13" t="n">
        <x:v>1</x:v>
      </x:c>
      <x:c r="BK94" s="11" t="n">
        <x:v>1230.27</x:v>
      </x:c>
      <x:c r="BL94" s="12" t="n">
        <x:v>0.0012291876189465256</x:v>
      </x:c>
      <x:c r="BM94" s="9" t="str">
        <x:v>false</x:v>
      </x:c>
    </x:row>
    <x:row r="95" ht="51" customHeight="1">
      <x:c r="A95" s="14" t="str">
        <x:v>null</x:v>
      </x:c>
      <x:c r="B95" s="14" t="str">
        <x:v>null</x:v>
      </x:c>
      <x:c r="C95" s="14" t="str">
        <x:v>16670426</x:v>
      </x:c>
      <x:c r="D95" s="14" t="str">
        <x:v>[]</x:v>
      </x:c>
      <x:c r="E95" s="14" t="str">
        <x:v>CHEMBL3855278</x:v>
      </x:c>
      <x:c r="F95" s="14" t="str">
        <x:v>Displacement of [3H]-spiperone from human dopamine D2 receptor expressed in CHO-K1 cell membranes coexpressing Galpha16 after 120 mins by liquid scintillation counting</x:v>
      </x:c>
      <x:c r="G95" s="14" t="str">
        <x:v>B</x:v>
      </x:c>
      <x:c r="H95" s="14" t="str">
        <x:v>null</x:v>
      </x:c>
      <x:c r="I95" s="14" t="str">
        <x:v>null</x:v>
      </x:c>
      <x:c r="J95" s="14" t="str">
        <x:v>BAO_0000192</x:v>
      </x:c>
      <x:c r="K95" s="14" t="str">
        <x:v>BAO_0000219</x:v>
      </x:c>
      <x:c r="L95" s="14" t="str">
        <x:v>cell-based format</x:v>
      </x:c>
      <x:c r="M95" s="14" t="str">
        <x:v>Cc1nc(C(N)=O)ccc1-c1nnc(SCCCN2CC[C@]3(C[C@@H]3c3ccc(C(F)(F)F)cc3)C2)n1C</x:v>
      </x:c>
      <x:c r="N95" s="14" t="str">
        <x:v>null</x:v>
      </x:c>
      <x:c r="O95" s="14" t="str">
        <x:v>null</x:v>
      </x:c>
      <x:c r="P95" s="14" t="str">
        <x:v>CHEMBL3853329</x:v>
      </x:c>
      <x:c r="Q95" s="14" t="str">
        <x:v>J Med Chem</x:v>
      </x:c>
      <x:c r="R95" s="17" t="n">
        <x:v>2016</x:v>
      </x:c>
      <x:c r="S95" s="14" t="str">
        <x:v>{"bei":"11.19","le":"0.22","lle":"1.27","sei":"6.61"}</x:v>
      </x:c>
      <x:c r="T95" s="14" t="str">
        <x:v>null</x:v>
      </x:c>
      <x:c r="U95" s="14" t="str">
        <x:v>CHEMBL3941520</x:v>
      </x:c>
      <x:c r="V95" s="14" t="str">
        <x:v>null</x:v>
      </x:c>
      <x:c r="W95" s="14" t="str">
        <x:v>CHEMBL3941520</x:v>
      </x:c>
      <x:c r="X95" s="15" t="n">
        <x:v>5.94</x:v>
      </x:c>
      <x:c r="Y95" s="17" t="n">
        <x:v>0</x:v>
      </x:c>
      <x:c r="Z95" s="14" t="str">
        <x:v>http://www.openphacts.org/units/Nanomolar</x:v>
      </x:c>
      <x:c r="AA95" s="14" t="str">
        <x:v>2796866</x:v>
      </x:c>
      <x:c r="AB95" s="14" t="str">
        <x:v>=</x:v>
      </x:c>
      <x:c r="AC95" s="14" t="str">
        <x:v>1</x:v>
      </x:c>
      <x:c r="AD95" s="17" t="n">
        <x:v>1</x:v>
      </x:c>
      <x:c r="AE95" s="14" t="str">
        <x:v>=</x:v>
      </x:c>
      <x:c r="AF95" s="14" t="str">
        <x:v>null</x:v>
      </x:c>
      <x:c r="AG95" s="14" t="str">
        <x:v>Ki</x:v>
      </x:c>
      <x:c r="AH95" s="14" t="str">
        <x:v>nM</x:v>
      </x:c>
      <x:c r="AI95" s="14" t="str">
        <x:v>null</x:v>
      </x:c>
      <x:c r="AJ95" s="15" t="n">
        <x:v>1148.15</x:v>
      </x:c>
      <x:c r="AK95" s="14" t="str">
        <x:v>CHEMBL217</x:v>
      </x:c>
      <x:c r="AL95" s="14" t="str">
        <x:v>Homo sapiens</x:v>
      </x:c>
      <x:c r="AM95" s="14" t="str">
        <x:v>D(2) dopamine receptor</x:v>
      </x:c>
      <x:c r="AN95" s="14" t="str">
        <x:v>9606</x:v>
      </x:c>
      <x:c r="AO95" s="14" t="str">
        <x:v>null</x:v>
      </x:c>
      <x:c r="AP95" s="14" t="str">
        <x:v>null</x:v>
      </x:c>
      <x:c r="AQ95" s="14" t="str">
        <x:v>pKi</x:v>
      </x:c>
      <x:c r="AR95" s="14" t="str">
        <x:v>null</x:v>
      </x:c>
      <x:c r="AS95" s="14" t="str">
        <x:v>UO_0000065</x:v>
      </x:c>
      <x:c r="AT95" s="14" t="str">
        <x:v>null</x:v>
      </x:c>
      <x:c r="AU95" s="14" t="str">
        <x:v>5.94</x:v>
      </x:c>
      <x:c r="AV95" s="15" t="n">
        <x:v>0.00501</x:v>
      </x:c>
      <x:c r="AW95" s="14" t="str">
        <x:v>include</x:v>
      </x:c>
      <x:c r="AX95" s="14" t="str"/>
      <x:c r="AY95" s="15" t="n">
        <x:v>1148.1536214968817</x:v>
      </x:c>
      <x:c r="AZ95" s="14" t="str">
        <x:v>source_reported_pKi</x:v>
      </x:c>
      <x:c r="BA95" s="15" t="n">
        <x:v>5.94</x:v>
      </x:c>
      <x:c r="BB95" s="14" t="str">
        <x:v>c4ff51d877a5ad4bdaf2d344461b6e2e0e5c9e902f4eb61f1ae1b6a28ec0009e</x:v>
      </x:c>
      <x:c r="BC95" s="14" t="str">
        <x:v>WEEBXSDEOQNZPK-NLFFAJNJSA-N</x:v>
      </x:c>
      <x:c r="BD95" s="14" t="str">
        <x:v>Cc1nc(C(N)=O)ccc1-c1nnc(SCCCN2CC[C@]3(C[C@@H]3c3ccc(C(F)(F)F)cc3)C2)n1C</x:v>
      </x:c>
      <x:c r="BE95" s="14" t="str">
        <x:v>Cc1nc(C(N)=O)ccc1-c1nnc(SCCCN2CCC3(CC3c3ccc(C(F)(F)F)cc3)C2)n1C</x:v>
      </x:c>
      <x:c r="BF95" s="14" t="str">
        <x:v>Cc1nc(C(N)=O)ccc1-c1nnc(SCCCN2CC[C@]3(C[C@@H]3c3ccc(C(F)(F)F)cc3)C2)n1C</x:v>
      </x:c>
      <x:c r="BG95" s="16" t="n">
        <x:v>0.0000013698503087411495</x:v>
      </x:c>
      <x:c r="BH95" s="15" t="n">
        <x:v>5.940001369850309</x:v>
      </x:c>
      <x:c r="BI95" s="14" t="str">
        <x:v>c1ccc(C2CC23CCN(CCCSc2nnc(-c4cccnc4)[nH]2)C3)cc1</x:v>
      </x:c>
      <x:c r="BJ95" s="17" t="n">
        <x:v>1</x:v>
      </x:c>
      <x:c r="BK95" s="15" t="n">
        <x:v>1148.15</x:v>
      </x:c>
      <x:c r="BL95" s="16" t="n">
        <x:v>-0.003621496881578423</x:v>
      </x:c>
      <x:c r="BM95" s="14" t="str">
        <x:v>false</x:v>
      </x:c>
    </x:row>
    <x:row r="96" ht="51" customHeight="1">
      <x:c r="A96" s="9" t="str">
        <x:v>null</x:v>
      </x:c>
      <x:c r="B96" s="9" t="str">
        <x:v>null</x:v>
      </x:c>
      <x:c r="C96" s="9" t="str">
        <x:v>16670427</x:v>
      </x:c>
      <x:c r="D96" s="9" t="str">
        <x:v>[]</x:v>
      </x:c>
      <x:c r="E96" s="9" t="str">
        <x:v>CHEMBL3855278</x:v>
      </x:c>
      <x:c r="F96" s="9" t="str">
        <x:v>Displacement of [3H]-spiperone from human dopamine D2 receptor expressed in CHO-K1 cell membranes coexpressing Galpha16 after 120 mins by liquid scintillation counting</x:v>
      </x:c>
      <x:c r="G96" s="9" t="str">
        <x:v>B</x:v>
      </x:c>
      <x:c r="H96" s="9" t="str">
        <x:v>null</x:v>
      </x:c>
      <x:c r="I96" s="9" t="str">
        <x:v>null</x:v>
      </x:c>
      <x:c r="J96" s="9" t="str">
        <x:v>BAO_0000192</x:v>
      </x:c>
      <x:c r="K96" s="9" t="str">
        <x:v>BAO_0000219</x:v>
      </x:c>
      <x:c r="L96" s="9" t="str">
        <x:v>cell-based format</x:v>
      </x:c>
      <x:c r="M96" s="9" t="str">
        <x:v>Cc1nc(C(=O)O)ccc1-c1nnc(SCCCN2CC[C@]3(C[C@@H]3c3ccc(C(F)(F)F)cc3)C2)n1C</x:v>
      </x:c>
      <x:c r="N96" s="9" t="str">
        <x:v>null</x:v>
      </x:c>
      <x:c r="O96" s="9" t="str">
        <x:v>null</x:v>
      </x:c>
      <x:c r="P96" s="9" t="str">
        <x:v>CHEMBL3853329</x:v>
      </x:c>
      <x:c r="Q96" s="9" t="str">
        <x:v>J Med Chem</x:v>
      </x:c>
      <x:c r="R96" s="13" t="n">
        <x:v>2016</x:v>
      </x:c>
      <x:c r="S96" s="9" t="str">
        <x:v>{"bei":"9.63","le":"0.19","lle":"-0.14","sei":"6.09"}</x:v>
      </x:c>
      <x:c r="T96" s="9" t="str">
        <x:v>null</x:v>
      </x:c>
      <x:c r="U96" s="9" t="str">
        <x:v>CHEMBL3964649</x:v>
      </x:c>
      <x:c r="V96" s="9" t="str">
        <x:v>null</x:v>
      </x:c>
      <x:c r="W96" s="9" t="str">
        <x:v>CHEMBL3964649</x:v>
      </x:c>
      <x:c r="X96" s="11" t="n">
        <x:v>5.12</x:v>
      </x:c>
      <x:c r="Y96" s="13" t="n">
        <x:v>0</x:v>
      </x:c>
      <x:c r="Z96" s="9" t="str">
        <x:v>http://www.openphacts.org/units/Nanomolar</x:v>
      </x:c>
      <x:c r="AA96" s="9" t="str">
        <x:v>2796867</x:v>
      </x:c>
      <x:c r="AB96" s="9" t="str">
        <x:v>=</x:v>
      </x:c>
      <x:c r="AC96" s="9" t="str">
        <x:v>1</x:v>
      </x:c>
      <x:c r="AD96" s="13" t="n">
        <x:v>1</x:v>
      </x:c>
      <x:c r="AE96" s="9" t="str">
        <x:v>=</x:v>
      </x:c>
      <x:c r="AF96" s="9" t="str">
        <x:v>null</x:v>
      </x:c>
      <x:c r="AG96" s="9" t="str">
        <x:v>Ki</x:v>
      </x:c>
      <x:c r="AH96" s="9" t="str">
        <x:v>nM</x:v>
      </x:c>
      <x:c r="AI96" s="9" t="str">
        <x:v>null</x:v>
      </x:c>
      <x:c r="AJ96" s="11" t="n">
        <x:v>7585.78</x:v>
      </x:c>
      <x:c r="AK96" s="9" t="str">
        <x:v>CHEMBL217</x:v>
      </x:c>
      <x:c r="AL96" s="9" t="str">
        <x:v>Homo sapiens</x:v>
      </x:c>
      <x:c r="AM96" s="9" t="str">
        <x:v>D(2) dopamine receptor</x:v>
      </x:c>
      <x:c r="AN96" s="9" t="str">
        <x:v>9606</x:v>
      </x:c>
      <x:c r="AO96" s="9" t="str">
        <x:v>null</x:v>
      </x:c>
      <x:c r="AP96" s="9" t="str">
        <x:v>null</x:v>
      </x:c>
      <x:c r="AQ96" s="9" t="str">
        <x:v>pKi</x:v>
      </x:c>
      <x:c r="AR96" s="9" t="str">
        <x:v>null</x:v>
      </x:c>
      <x:c r="AS96" s="9" t="str">
        <x:v>UO_0000065</x:v>
      </x:c>
      <x:c r="AT96" s="9" t="str">
        <x:v>null</x:v>
      </x:c>
      <x:c r="AU96" s="9" t="str">
        <x:v>5.12</x:v>
      </x:c>
      <x:c r="AV96" s="11" t="n">
        <x:v>0.007585775750291835</x:v>
      </x:c>
      <x:c r="AW96" s="9" t="str">
        <x:v>include</x:v>
      </x:c>
      <x:c r="AX96" s="9" t="str"/>
      <x:c r="AY96" s="11" t="n">
        <x:v>7585.775750291836</x:v>
      </x:c>
      <x:c r="AZ96" s="9" t="str">
        <x:v>source_reported_pKi</x:v>
      </x:c>
      <x:c r="BA96" s="11" t="n">
        <x:v>5.12</x:v>
      </x:c>
      <x:c r="BB96" s="9" t="str">
        <x:v>9f519e4703424464cfd09e1c6a9cd0d43fcdaf1febb212b1976d0396d5f37cf7</x:v>
      </x:c>
      <x:c r="BC96" s="9" t="str">
        <x:v>FXIOLEMXUYMYEG-NLFFAJNJSA-N</x:v>
      </x:c>
      <x:c r="BD96" s="9" t="str">
        <x:v>Cc1nc(C(=O)O)ccc1-c1nnc(SCCCN2CC[C@]3(C[C@@H]3c3ccc(C(F)(F)F)cc3)C2)n1C</x:v>
      </x:c>
      <x:c r="BE96" s="9" t="str">
        <x:v>Cc1nc(C(=O)O)ccc1-c1nnc(SCCCN2CCC3(CC3c3ccc(C(F)(F)F)cc3)C2)n1C</x:v>
      </x:c>
      <x:c r="BF96" s="9" t="str">
        <x:v>Cc1nc(C(=O)O)ccc1-c1nnc(SCCCN2CC[C@]3(C[C@@H]3c3ccc(C(F)(F)F)cc3)C2)n1C</x:v>
      </x:c>
      <x:c r="BG96" s="12" t="n">
        <x:v>-2.433006658364434e-7</x:v>
      </x:c>
      <x:c r="BH96" s="11" t="n">
        <x:v>5.119999756699334</x:v>
      </x:c>
      <x:c r="BI96" s="9" t="str">
        <x:v>c1ccc(C2CC23CCN(CCCSc2nnc(-c4cccnc4)[nH]2)C3)cc1</x:v>
      </x:c>
      <x:c r="BJ96" s="13" t="n">
        <x:v>1</x:v>
      </x:c>
      <x:c r="BK96" s="11" t="n">
        <x:v>7585.78</x:v>
      </x:c>
      <x:c r="BL96" s="12" t="n">
        <x:v>0.0042497081640249235</x:v>
      </x:c>
      <x:c r="BM96" s="9" t="str">
        <x:v>false</x:v>
      </x:c>
    </x:row>
    <x:row r="97" ht="51" customHeight="1">
      <x:c r="A97" s="14" t="str">
        <x:v>null</x:v>
      </x:c>
      <x:c r="B97" s="14" t="str">
        <x:v>null</x:v>
      </x:c>
      <x:c r="C97" s="14" t="str">
        <x:v>16670459</x:v>
      </x:c>
      <x:c r="D97" s="14" t="str">
        <x:v>[]</x:v>
      </x:c>
      <x:c r="E97" s="14" t="str">
        <x:v>CHEMBL3855278</x:v>
      </x:c>
      <x:c r="F97" s="14" t="str">
        <x:v>Displacement of [3H]-spiperone from human dopamine D2 receptor expressed in CHO-K1 cell membranes coexpressing Galpha16 after 120 mins by liquid scintillation counting</x:v>
      </x:c>
      <x:c r="G97" s="14" t="str">
        <x:v>B</x:v>
      </x:c>
      <x:c r="H97" s="14" t="str">
        <x:v>null</x:v>
      </x:c>
      <x:c r="I97" s="14" t="str">
        <x:v>null</x:v>
      </x:c>
      <x:c r="J97" s="14" t="str">
        <x:v>BAO_0000192</x:v>
      </x:c>
      <x:c r="K97" s="14" t="str">
        <x:v>BAO_0000219</x:v>
      </x:c>
      <x:c r="L97" s="14" t="str">
        <x:v>cell-based format</x:v>
      </x:c>
      <x:c r="M97" s="14" t="str">
        <x:v>Cn1c(SCCCN2CC[C@]3(C[C@@H]3c3ccc(C(F)(F)F)cc3)C2)nnc1-c1ccn(C)c(=O)c1</x:v>
      </x:c>
      <x:c r="N97" s="14" t="str">
        <x:v>null</x:v>
      </x:c>
      <x:c r="O97" s="14" t="str">
        <x:v>null</x:v>
      </x:c>
      <x:c r="P97" s="14" t="str">
        <x:v>CHEMBL3853329</x:v>
      </x:c>
      <x:c r="Q97" s="14" t="str">
        <x:v>J Med Chem</x:v>
      </x:c>
      <x:c r="R97" s="17" t="n">
        <x:v>2016</x:v>
      </x:c>
      <x:c r="S97" s="14" t="str">
        <x:v>{"bei":"11.22","le":"0.22","lle":"1.09","sei":"10.10"}</x:v>
      </x:c>
      <x:c r="T97" s="14" t="str">
        <x:v>null</x:v>
      </x:c>
      <x:c r="U97" s="14" t="str">
        <x:v>CHEMBL3894853</x:v>
      </x:c>
      <x:c r="V97" s="14" t="str">
        <x:v>null</x:v>
      </x:c>
      <x:c r="W97" s="14" t="str">
        <x:v>CHEMBL3894853</x:v>
      </x:c>
      <x:c r="X97" s="15" t="n">
        <x:v>5.65</x:v>
      </x:c>
      <x:c r="Y97" s="17" t="n">
        <x:v>0</x:v>
      </x:c>
      <x:c r="Z97" s="14" t="str">
        <x:v>http://www.openphacts.org/units/Nanomolar</x:v>
      </x:c>
      <x:c r="AA97" s="14" t="str">
        <x:v>2796872</x:v>
      </x:c>
      <x:c r="AB97" s="14" t="str">
        <x:v>=</x:v>
      </x:c>
      <x:c r="AC97" s="14" t="str">
        <x:v>1</x:v>
      </x:c>
      <x:c r="AD97" s="17" t="n">
        <x:v>1</x:v>
      </x:c>
      <x:c r="AE97" s="14" t="str">
        <x:v>=</x:v>
      </x:c>
      <x:c r="AF97" s="14" t="str">
        <x:v>null</x:v>
      </x:c>
      <x:c r="AG97" s="14" t="str">
        <x:v>Ki</x:v>
      </x:c>
      <x:c r="AH97" s="14" t="str">
        <x:v>nM</x:v>
      </x:c>
      <x:c r="AI97" s="14" t="str">
        <x:v>null</x:v>
      </x:c>
      <x:c r="AJ97" s="15" t="n">
        <x:v>2238.72</x:v>
      </x:c>
      <x:c r="AK97" s="14" t="str">
        <x:v>CHEMBL217</x:v>
      </x:c>
      <x:c r="AL97" s="14" t="str">
        <x:v>Homo sapiens</x:v>
      </x:c>
      <x:c r="AM97" s="14" t="str">
        <x:v>D(2) dopamine receptor</x:v>
      </x:c>
      <x:c r="AN97" s="14" t="str">
        <x:v>9606</x:v>
      </x:c>
      <x:c r="AO97" s="14" t="str">
        <x:v>null</x:v>
      </x:c>
      <x:c r="AP97" s="14" t="str">
        <x:v>null</x:v>
      </x:c>
      <x:c r="AQ97" s="14" t="str">
        <x:v>pKi</x:v>
      </x:c>
      <x:c r="AR97" s="14" t="str">
        <x:v>null</x:v>
      </x:c>
      <x:c r="AS97" s="14" t="str">
        <x:v>UO_0000065</x:v>
      </x:c>
      <x:c r="AT97" s="14" t="str">
        <x:v>null</x:v>
      </x:c>
      <x:c r="AU97" s="14" t="str">
        <x:v>5.65</x:v>
      </x:c>
      <x:c r="AV97" s="15" t="n">
        <x:v>0.00501</x:v>
      </x:c>
      <x:c r="AW97" s="14" t="str">
        <x:v>include</x:v>
      </x:c>
      <x:c r="AX97" s="14" t="str"/>
      <x:c r="AY97" s="15" t="n">
        <x:v>2238.7211385683377</x:v>
      </x:c>
      <x:c r="AZ97" s="14" t="str">
        <x:v>source_reported_pKi</x:v>
      </x:c>
      <x:c r="BA97" s="15" t="n">
        <x:v>5.65</x:v>
      </x:c>
      <x:c r="BB97" s="14" t="str">
        <x:v>6a804ade9c2b1724e4288c3e86a07b335fdf491ad1c5e3249a30015eb625e6de</x:v>
      </x:c>
      <x:c r="BC97" s="14" t="str">
        <x:v>JVGDBVAGMMZAGB-YKSBVNFPSA-N</x:v>
      </x:c>
      <x:c r="BD97" s="14" t="str">
        <x:v>Cn1c(SCCCN2CC[C@]3(C[C@@H]3c3ccc(C(F)(F)F)cc3)C2)nnc1-c1ccn(C)c(=O)c1</x:v>
      </x:c>
      <x:c r="BE97" s="14" t="str">
        <x:v>Cn1c(SCCCN2CCC3(CC3c3ccc(C(F)(F)F)cc3)C2)nnc1-c1ccn(C)c(=O)c1</x:v>
      </x:c>
      <x:c r="BF97" s="14" t="str">
        <x:v>Cn1c(SCCCN2CC[C@]3(C[C@@H]3c3ccc(C(F)(F)F)cc3)C2)nnc1-c1ccn(C)c(=O)c1</x:v>
      </x:c>
      <x:c r="BG97" s="16" t="n">
        <x:v>2.2087345463717156e-7</x:v>
      </x:c>
      <x:c r="BH97" s="15" t="n">
        <x:v>5.650000220873455</x:v>
      </x:c>
      <x:c r="BI97" s="14" t="str">
        <x:v>O=c1cc(-c2nnc(SCCCN3CCC4(CC4c4ccccc4)C3)[nH]2)cc[nH]1</x:v>
      </x:c>
      <x:c r="BJ97" s="17" t="n">
        <x:v>1</x:v>
      </x:c>
      <x:c r="BK97" s="15" t="n">
        <x:v>2238.72</x:v>
      </x:c>
      <x:c r="BL97" s="16" t="n">
        <x:v>-0.0011385683378648537</x:v>
      </x:c>
      <x:c r="BM97" s="14" t="str">
        <x:v>false</x:v>
      </x:c>
    </x:row>
    <x:row r="98" ht="51" customHeight="1">
      <x:c r="A98" s="9" t="str">
        <x:v>null</x:v>
      </x:c>
      <x:c r="B98" s="9" t="str">
        <x:v>null</x:v>
      </x:c>
      <x:c r="C98" s="9" t="str">
        <x:v>16670460</x:v>
      </x:c>
      <x:c r="D98" s="9" t="str">
        <x:v>[]</x:v>
      </x:c>
      <x:c r="E98" s="9" t="str">
        <x:v>CHEMBL3855278</x:v>
      </x:c>
      <x:c r="F98" s="9" t="str">
        <x:v>Displacement of [3H]-spiperone from human dopamine D2 receptor expressed in CHO-K1 cell membranes coexpressing Galpha16 after 120 mins by liquid scintillation counting</x:v>
      </x:c>
      <x:c r="G98" s="9" t="str">
        <x:v>B</x:v>
      </x:c>
      <x:c r="H98" s="9" t="str">
        <x:v>null</x:v>
      </x:c>
      <x:c r="I98" s="9" t="str">
        <x:v>null</x:v>
      </x:c>
      <x:c r="J98" s="9" t="str">
        <x:v>BAO_0000192</x:v>
      </x:c>
      <x:c r="K98" s="9" t="str">
        <x:v>BAO_0000219</x:v>
      </x:c>
      <x:c r="L98" s="9" t="str">
        <x:v>cell-based format</x:v>
      </x:c>
      <x:c r="M98" s="9" t="str">
        <x:v>Cn1c(SCCCN2CC[C@]3(C[C@@H]3c3ccc(C(F)(F)F)cc3)C2)nnc1C1CCN(C(N)=O)CC1</x:v>
      </x:c>
      <x:c r="N98" s="9" t="str">
        <x:v>null</x:v>
      </x:c>
      <x:c r="O98" s="9" t="str">
        <x:v>null</x:v>
      </x:c>
      <x:c r="P98" s="9" t="str">
        <x:v>CHEMBL3853329</x:v>
      </x:c>
      <x:c r="Q98" s="9" t="str">
        <x:v>J Med Chem</x:v>
      </x:c>
      <x:c r="R98" s="13" t="n">
        <x:v>2016</x:v>
      </x:c>
      <x:c r="S98" s="9" t="str">
        <x:v>{"bei":"11.48","le":"0.23","lle":"1.55","sei":"7.47"}</x:v>
      </x:c>
      <x:c r="T98" s="9" t="str">
        <x:v>null</x:v>
      </x:c>
      <x:c r="U98" s="9" t="str">
        <x:v>CHEMBL3963243</x:v>
      </x:c>
      <x:c r="V98" s="9" t="str">
        <x:v>null</x:v>
      </x:c>
      <x:c r="W98" s="9" t="str">
        <x:v>CHEMBL3963243</x:v>
      </x:c>
      <x:c r="X98" s="11" t="n">
        <x:v>6</x:v>
      </x:c>
      <x:c r="Y98" s="13" t="n">
        <x:v>0</x:v>
      </x:c>
      <x:c r="Z98" s="9" t="str">
        <x:v>http://www.openphacts.org/units/Nanomolar</x:v>
      </x:c>
      <x:c r="AA98" s="9" t="str">
        <x:v>2796875</x:v>
      </x:c>
      <x:c r="AB98" s="9" t="str">
        <x:v>=</x:v>
      </x:c>
      <x:c r="AC98" s="9" t="str">
        <x:v>1</x:v>
      </x:c>
      <x:c r="AD98" s="13" t="n">
        <x:v>1</x:v>
      </x:c>
      <x:c r="AE98" s="9" t="str">
        <x:v>=</x:v>
      </x:c>
      <x:c r="AF98" s="9" t="str">
        <x:v>null</x:v>
      </x:c>
      <x:c r="AG98" s="9" t="str">
        <x:v>Ki</x:v>
      </x:c>
      <x:c r="AH98" s="9" t="str">
        <x:v>nM</x:v>
      </x:c>
      <x:c r="AI98" s="9" t="str">
        <x:v>null</x:v>
      </x:c>
      <x:c r="AJ98" s="11" t="n">
        <x:v>1000</x:v>
      </x:c>
      <x:c r="AK98" s="9" t="str">
        <x:v>CHEMBL217</x:v>
      </x:c>
      <x:c r="AL98" s="9" t="str">
        <x:v>Homo sapiens</x:v>
      </x:c>
      <x:c r="AM98" s="9" t="str">
        <x:v>D(2) dopamine receptor</x:v>
      </x:c>
      <x:c r="AN98" s="9" t="str">
        <x:v>9606</x:v>
      </x:c>
      <x:c r="AO98" s="9" t="str">
        <x:v>null</x:v>
      </x:c>
      <x:c r="AP98" s="9" t="str">
        <x:v>null</x:v>
      </x:c>
      <x:c r="AQ98" s="9" t="str">
        <x:v>pKi</x:v>
      </x:c>
      <x:c r="AR98" s="9" t="str">
        <x:v>null</x:v>
      </x:c>
      <x:c r="AS98" s="9" t="str">
        <x:v>UO_0000065</x:v>
      </x:c>
      <x:c r="AT98" s="9" t="str">
        <x:v>null</x:v>
      </x:c>
      <x:c r="AU98" s="9" t="str">
        <x:v>6.0</x:v>
      </x:c>
      <x:c r="AV98" s="11" t="n">
        <x:v>0.00501</x:v>
      </x:c>
      <x:c r="AW98" s="9" t="str">
        <x:v>include</x:v>
      </x:c>
      <x:c r="AX98" s="9" t="str"/>
      <x:c r="AY98" s="11" t="n">
        <x:v>1000</x:v>
      </x:c>
      <x:c r="AZ98" s="9" t="str">
        <x:v>source_reported_pKi</x:v>
      </x:c>
      <x:c r="BA98" s="11" t="n">
        <x:v>6</x:v>
      </x:c>
      <x:c r="BB98" s="9" t="str">
        <x:v>6c7a54b6a68cee04940cff96462779f9cad11b0a699b84ba141de624145d0c8f</x:v>
      </x:c>
      <x:c r="BC98" s="9" t="str">
        <x:v>VQODXNCHOGDXSX-YKSBVNFPSA-N</x:v>
      </x:c>
      <x:c r="BD98" s="9" t="str">
        <x:v>Cn1c(SCCCN2CC[C@]3(C[C@@H]3c3ccc(C(F)(F)F)cc3)C2)nnc1C1CCN(C(N)=O)CC1</x:v>
      </x:c>
      <x:c r="BE98" s="9" t="str">
        <x:v>Cn1c(SCCCN2CCC3(CC3c3ccc(C(F)(F)F)cc3)C2)nnc1C1CCN(C(N)=O)CC1</x:v>
      </x:c>
      <x:c r="BF98" s="9" t="str">
        <x:v>Cn1c(SCCCN2CC[C@]3(C[C@@H]3c3ccc(C(F)(F)F)cc3)C2)nnc1C1CCN(C(N)=O)CC1</x:v>
      </x:c>
      <x:c r="BG98" s="12" t="n">
        <x:v>0</x:v>
      </x:c>
      <x:c r="BH98" s="11" t="n">
        <x:v>6</x:v>
      </x:c>
      <x:c r="BI98" s="9" t="str">
        <x:v>c1ccc(C2CC23CCN(CCCSc2nnc(C4CCNCC4)[nH]2)C3)cc1</x:v>
      </x:c>
      <x:c r="BJ98" s="13" t="n">
        <x:v>1</x:v>
      </x:c>
      <x:c r="BK98" s="11" t="n">
        <x:v>1000</x:v>
      </x:c>
      <x:c r="BL98" s="12" t="n">
        <x:v>0</x:v>
      </x:c>
      <x:c r="BM98" s="9" t="str">
        <x:v>false</x:v>
      </x:c>
    </x:row>
    <x:row r="99" ht="51" customHeight="1">
      <x:c r="A99" s="14" t="str">
        <x:v>null</x:v>
      </x:c>
      <x:c r="B99" s="14" t="str">
        <x:v>null</x:v>
      </x:c>
      <x:c r="C99" s="14" t="str">
        <x:v>16670461</x:v>
      </x:c>
      <x:c r="D99" s="14" t="str">
        <x:v>[]</x:v>
      </x:c>
      <x:c r="E99" s="14" t="str">
        <x:v>CHEMBL3855278</x:v>
      </x:c>
      <x:c r="F99" s="14" t="str">
        <x:v>Displacement of [3H]-spiperone from human dopamine D2 receptor expressed in CHO-K1 cell membranes coexpressing Galpha16 after 120 mins by liquid scintillation counting</x:v>
      </x:c>
      <x:c r="G99" s="14" t="str">
        <x:v>B</x:v>
      </x:c>
      <x:c r="H99" s="14" t="str">
        <x:v>null</x:v>
      </x:c>
      <x:c r="I99" s="14" t="str">
        <x:v>null</x:v>
      </x:c>
      <x:c r="J99" s="14" t="str">
        <x:v>BAO_0000192</x:v>
      </x:c>
      <x:c r="K99" s="14" t="str">
        <x:v>BAO_0000219</x:v>
      </x:c>
      <x:c r="L99" s="14" t="str">
        <x:v>cell-based format</x:v>
      </x:c>
      <x:c r="M99" s="14" t="str">
        <x:v>Cn1c(SCCCN2CC[C@]3(C[C@@H]3c3ccc(C(F)(F)F)cc3)C2)nnc1C1CCOCC1</x:v>
      </x:c>
      <x:c r="N99" s="14" t="str">
        <x:v>null</x:v>
      </x:c>
      <x:c r="O99" s="14" t="str">
        <x:v>null</x:v>
      </x:c>
      <x:c r="P99" s="14" t="str">
        <x:v>CHEMBL3853329</x:v>
      </x:c>
      <x:c r="Q99" s="14" t="str">
        <x:v>J Med Chem</x:v>
      </x:c>
      <x:c r="R99" s="17" t="n">
        <x:v>2016</x:v>
      </x:c>
      <x:c r="S99" s="14" t="str">
        <x:v>{"bei":"12.67","le":"0.25","lle":"1.00","sei":"14.10"}</x:v>
      </x:c>
      <x:c r="T99" s="14" t="str">
        <x:v>null</x:v>
      </x:c>
      <x:c r="U99" s="14" t="str">
        <x:v>CHEMBL3948167</x:v>
      </x:c>
      <x:c r="V99" s="14" t="str">
        <x:v>null</x:v>
      </x:c>
      <x:c r="W99" s="14" t="str">
        <x:v>CHEMBL3948167</x:v>
      </x:c>
      <x:c r="X99" s="15" t="n">
        <x:v>6.09</x:v>
      </x:c>
      <x:c r="Y99" s="17" t="n">
        <x:v>0</x:v>
      </x:c>
      <x:c r="Z99" s="14" t="str">
        <x:v>http://www.openphacts.org/units/Nanomolar</x:v>
      </x:c>
      <x:c r="AA99" s="14" t="str">
        <x:v>2796877</x:v>
      </x:c>
      <x:c r="AB99" s="14" t="str">
        <x:v>=</x:v>
      </x:c>
      <x:c r="AC99" s="14" t="str">
        <x:v>1</x:v>
      </x:c>
      <x:c r="AD99" s="17" t="n">
        <x:v>1</x:v>
      </x:c>
      <x:c r="AE99" s="14" t="str">
        <x:v>=</x:v>
      </x:c>
      <x:c r="AF99" s="14" t="str">
        <x:v>null</x:v>
      </x:c>
      <x:c r="AG99" s="14" t="str">
        <x:v>Ki</x:v>
      </x:c>
      <x:c r="AH99" s="14" t="str">
        <x:v>nM</x:v>
      </x:c>
      <x:c r="AI99" s="14" t="str">
        <x:v>null</x:v>
      </x:c>
      <x:c r="AJ99" s="15" t="n">
        <x:v>812.83</x:v>
      </x:c>
      <x:c r="AK99" s="14" t="str">
        <x:v>CHEMBL217</x:v>
      </x:c>
      <x:c r="AL99" s="14" t="str">
        <x:v>Homo sapiens</x:v>
      </x:c>
      <x:c r="AM99" s="14" t="str">
        <x:v>D(2) dopamine receptor</x:v>
      </x:c>
      <x:c r="AN99" s="14" t="str">
        <x:v>9606</x:v>
      </x:c>
      <x:c r="AO99" s="14" t="str">
        <x:v>null</x:v>
      </x:c>
      <x:c r="AP99" s="14" t="str">
        <x:v>null</x:v>
      </x:c>
      <x:c r="AQ99" s="14" t="str">
        <x:v>pKi</x:v>
      </x:c>
      <x:c r="AR99" s="14" t="str">
        <x:v>null</x:v>
      </x:c>
      <x:c r="AS99" s="14" t="str">
        <x:v>UO_0000065</x:v>
      </x:c>
      <x:c r="AT99" s="14" t="str">
        <x:v>null</x:v>
      </x:c>
      <x:c r="AU99" s="14" t="str">
        <x:v>6.09</x:v>
      </x:c>
      <x:c r="AV99" s="15" t="n">
        <x:v>0.00501</x:v>
      </x:c>
      <x:c r="AW99" s="14" t="str">
        <x:v>include</x:v>
      </x:c>
      <x:c r="AX99" s="14" t="str"/>
      <x:c r="AY99" s="15" t="n">
        <x:v>812.8305161640995</x:v>
      </x:c>
      <x:c r="AZ99" s="14" t="str">
        <x:v>source_reported_pKi</x:v>
      </x:c>
      <x:c r="BA99" s="15" t="n">
        <x:v>6.09</x:v>
      </x:c>
      <x:c r="BB99" s="14" t="str">
        <x:v>ef2b5648ef015e2fc73bbbe997731efe7ccd5141787e613b97931af8a4e90427</x:v>
      </x:c>
      <x:c r="BC99" s="14" t="str">
        <x:v>PPLSEYBUMZWQHS-OFNKIYASSA-N</x:v>
      </x:c>
      <x:c r="BD99" s="14" t="str">
        <x:v>Cn1c(SCCCN2CC[C@]3(C[C@@H]3c3ccc(C(F)(F)F)cc3)C2)nnc1C1CCOCC1</x:v>
      </x:c>
      <x:c r="BE99" s="14" t="str">
        <x:v>Cn1c(SCCCN2CCC3(CC3c3ccc(C(F)(F)F)cc3)C2)nnc1C1CCOCC1</x:v>
      </x:c>
      <x:c r="BF99" s="14" t="str">
        <x:v>Cn1c(SCCCN2CC[C@]3(C[C@@H]3c3ccc(C(F)(F)F)cc3)C2)nnc1C1CCOCC1</x:v>
      </x:c>
      <x:c r="BG99" s="16" t="n">
        <x:v>2.757860180224725e-7</x:v>
      </x:c>
      <x:c r="BH99" s="15" t="n">
        <x:v>6.090000275786018</x:v>
      </x:c>
      <x:c r="BI99" s="14" t="str">
        <x:v>c1ccc(C2CC23CCN(CCCSc2nnc(C4CCOCC4)[nH]2)C3)cc1</x:v>
      </x:c>
      <x:c r="BJ99" s="17" t="n">
        <x:v>1</x:v>
      </x:c>
      <x:c r="BK99" s="15" t="n">
        <x:v>812.83</x:v>
      </x:c>
      <x:c r="BL99" s="16" t="n">
        <x:v>-0.0005161640995083872</x:v>
      </x:c>
      <x:c r="BM99" s="14" t="str">
        <x:v>false</x:v>
      </x:c>
    </x:row>
    <x:row r="100" ht="51" customHeight="1">
      <x:c r="A100" s="9" t="str">
        <x:v>null</x:v>
      </x:c>
      <x:c r="B100" s="9" t="str">
        <x:v>null</x:v>
      </x:c>
      <x:c r="C100" s="9" t="str">
        <x:v>16670462</x:v>
      </x:c>
      <x:c r="D100" s="9" t="str">
        <x:v>[]</x:v>
      </x:c>
      <x:c r="E100" s="9" t="str">
        <x:v>CHEMBL3855278</x:v>
      </x:c>
      <x:c r="F100" s="9" t="str">
        <x:v>Displacement of [3H]-spiperone from human dopamine D2 receptor expressed in CHO-K1 cell membranes coexpressing Galpha16 after 120 mins by liquid scintillation counting</x:v>
      </x:c>
      <x:c r="G100" s="9" t="str">
        <x:v>B</x:v>
      </x:c>
      <x:c r="H100" s="9" t="str">
        <x:v>null</x:v>
      </x:c>
      <x:c r="I100" s="9" t="str">
        <x:v>null</x:v>
      </x:c>
      <x:c r="J100" s="9" t="str">
        <x:v>BAO_0000192</x:v>
      </x:c>
      <x:c r="K100" s="9" t="str">
        <x:v>BAO_0000219</x:v>
      </x:c>
      <x:c r="L100" s="9" t="str">
        <x:v>cell-based format</x:v>
      </x:c>
      <x:c r="M100" s="9" t="str">
        <x:v>Cn1c(SCCCN2CC[C@]3(C[C@@H]3c3ccc(C(F)(F)F)cc3)C2)nnc1C1CC2CCC(C1)O2</x:v>
      </x:c>
      <x:c r="N100" s="9" t="str">
        <x:v>null</x:v>
      </x:c>
      <x:c r="O100" s="9" t="str">
        <x:v>null</x:v>
      </x:c>
      <x:c r="P100" s="9" t="str">
        <x:v>CHEMBL3853329</x:v>
      </x:c>
      <x:c r="Q100" s="9" t="str">
        <x:v>J Med Chem</x:v>
      </x:c>
      <x:c r="R100" s="13" t="n">
        <x:v>2016</x:v>
      </x:c>
      <x:c r="S100" s="9" t="str">
        <x:v>{"bei":"12.10","le":"0.24","lle":"0.51","sei":"14.20"}</x:v>
      </x:c>
      <x:c r="T100" s="9" t="str">
        <x:v>null</x:v>
      </x:c>
      <x:c r="U100" s="9" t="str">
        <x:v>CHEMBL3903779</x:v>
      </x:c>
      <x:c r="V100" s="9" t="str">
        <x:v>null</x:v>
      </x:c>
      <x:c r="W100" s="9" t="str">
        <x:v>CHEMBL3903779</x:v>
      </x:c>
      <x:c r="X100" s="11" t="n">
        <x:v>6.13</x:v>
      </x:c>
      <x:c r="Y100" s="13" t="n">
        <x:v>0</x:v>
      </x:c>
      <x:c r="Z100" s="9" t="str">
        <x:v>http://www.openphacts.org/units/Nanomolar</x:v>
      </x:c>
      <x:c r="AA100" s="9" t="str">
        <x:v>2796878</x:v>
      </x:c>
      <x:c r="AB100" s="9" t="str">
        <x:v>=</x:v>
      </x:c>
      <x:c r="AC100" s="9" t="str">
        <x:v>1</x:v>
      </x:c>
      <x:c r="AD100" s="13" t="n">
        <x:v>1</x:v>
      </x:c>
      <x:c r="AE100" s="9" t="str">
        <x:v>=</x:v>
      </x:c>
      <x:c r="AF100" s="9" t="str">
        <x:v>null</x:v>
      </x:c>
      <x:c r="AG100" s="9" t="str">
        <x:v>Ki</x:v>
      </x:c>
      <x:c r="AH100" s="9" t="str">
        <x:v>nM</x:v>
      </x:c>
      <x:c r="AI100" s="9" t="str">
        <x:v>null</x:v>
      </x:c>
      <x:c r="AJ100" s="11" t="n">
        <x:v>741.31</x:v>
      </x:c>
      <x:c r="AK100" s="9" t="str">
        <x:v>CHEMBL217</x:v>
      </x:c>
      <x:c r="AL100" s="9" t="str">
        <x:v>Homo sapiens</x:v>
      </x:c>
      <x:c r="AM100" s="9" t="str">
        <x:v>D(2) dopamine receptor</x:v>
      </x:c>
      <x:c r="AN100" s="9" t="str">
        <x:v>9606</x:v>
      </x:c>
      <x:c r="AO100" s="9" t="str">
        <x:v>null</x:v>
      </x:c>
      <x:c r="AP100" s="9" t="str">
        <x:v>null</x:v>
      </x:c>
      <x:c r="AQ100" s="9" t="str">
        <x:v>pKi</x:v>
      </x:c>
      <x:c r="AR100" s="9" t="str">
        <x:v>null</x:v>
      </x:c>
      <x:c r="AS100" s="9" t="str">
        <x:v>UO_0000065</x:v>
      </x:c>
      <x:c r="AT100" s="9" t="str">
        <x:v>null</x:v>
      </x:c>
      <x:c r="AU100" s="9" t="str">
        <x:v>6.13</x:v>
      </x:c>
      <x:c r="AV100" s="11" t="n">
        <x:v>0.00501</x:v>
      </x:c>
      <x:c r="AW100" s="9" t="str">
        <x:v>include</x:v>
      </x:c>
      <x:c r="AX100" s="9" t="str"/>
      <x:c r="AY100" s="11" t="n">
        <x:v>741.3102413009177</x:v>
      </x:c>
      <x:c r="AZ100" s="9" t="str">
        <x:v>source_reported_pKi</x:v>
      </x:c>
      <x:c r="BA100" s="11" t="n">
        <x:v>6.13</x:v>
      </x:c>
      <x:c r="BB100" s="9" t="str">
        <x:v>bdd5fa7d3781d1987b3a2cb325de6a9253015e989bc479b3ac59f476f4898d09</x:v>
      </x:c>
      <x:c r="BC100" s="9" t="str">
        <x:v>IQKUCRAAVAKXAF-CEJRHITASA-N</x:v>
      </x:c>
      <x:c r="BD100" s="9" t="str">
        <x:v>Cn1c(SCCCN2CC[C@]3(C[C@@H]3c3ccc(C(F)(F)F)cc3)C2)nnc1C1CC2CCC(C1)O2</x:v>
      </x:c>
      <x:c r="BE100" s="9" t="str">
        <x:v>Cn1c(SCCCN2CCC3(CC3c3ccc(C(F)(F)F)cc3)C2)nnc1C1CC2CCC(C1)O2</x:v>
      </x:c>
      <x:c r="BF100" s="9" t="str">
        <x:v>Cn1c(SCCCN2CC[C@]3(C[C@@H]3c3ccc(C(F)(F)F)cc3)C2)nnc1C1CC2CCC(C1)O2</x:v>
      </x:c>
      <x:c r="BG100" s="12" t="n">
        <x:v>1.4136547488163842e-7</x:v>
      </x:c>
      <x:c r="BH100" s="11" t="n">
        <x:v>6.130000141365475</x:v>
      </x:c>
      <x:c r="BI100" s="9" t="str">
        <x:v>c1ccc(C2CC23CCN(CCCSc2nnc(C4CC5CCC(C4)O5)[nH]2)C3)cc1</x:v>
      </x:c>
      <x:c r="BJ100" s="13" t="n">
        <x:v>1</x:v>
      </x:c>
      <x:c r="BK100" s="11" t="n">
        <x:v>741.31</x:v>
      </x:c>
      <x:c r="BL100" s="12" t="n">
        <x:v>-0.00024130091776441986</x:v>
      </x:c>
      <x:c r="BM100" s="9" t="str">
        <x:v>false</x:v>
      </x:c>
    </x:row>
    <x:row r="101" ht="51" customHeight="1">
      <x:c r="A101" s="14" t="str">
        <x:v>null</x:v>
      </x:c>
      <x:c r="B101" s="14" t="str">
        <x:v>null</x:v>
      </x:c>
      <x:c r="C101" s="14" t="str">
        <x:v>16670463</x:v>
      </x:c>
      <x:c r="D101" s="14" t="str">
        <x:v>[]</x:v>
      </x:c>
      <x:c r="E101" s="14" t="str">
        <x:v>CHEMBL3855278</x:v>
      </x:c>
      <x:c r="F101" s="14" t="str">
        <x:v>Displacement of [3H]-spiperone from human dopamine D2 receptor expressed in CHO-K1 cell membranes coexpressing Galpha16 after 120 mins by liquid scintillation counting</x:v>
      </x:c>
      <x:c r="G101" s="14" t="str">
        <x:v>B</x:v>
      </x:c>
      <x:c r="H101" s="14" t="str">
        <x:v>null</x:v>
      </x:c>
      <x:c r="I101" s="14" t="str">
        <x:v>null</x:v>
      </x:c>
      <x:c r="J101" s="14" t="str">
        <x:v>BAO_0000192</x:v>
      </x:c>
      <x:c r="K101" s="14" t="str">
        <x:v>BAO_0000219</x:v>
      </x:c>
      <x:c r="L101" s="14" t="str">
        <x:v>cell-based format</x:v>
      </x:c>
      <x:c r="M101" s="14" t="str">
        <x:v>Cn1c(SCCCN2CC[C@]3(C[C@@H]3c3ccc(C(F)(F)F)cc3)C2)nnc1C1CCCCC1</x:v>
      </x:c>
      <x:c r="N101" s="14" t="str">
        <x:v>null</x:v>
      </x:c>
      <x:c r="O101" s="14" t="str">
        <x:v>null</x:v>
      </x:c>
      <x:c r="P101" s="14" t="str">
        <x:v>CHEMBL3853329</x:v>
      </x:c>
      <x:c r="Q101" s="14" t="str">
        <x:v>J Med Chem</x:v>
      </x:c>
      <x:c r="R101" s="17" t="n">
        <x:v>2016</x:v>
      </x:c>
      <x:c r="S101" s="14" t="str">
        <x:v>{"bei":"13.02","le":"0.26","lle":"-0.01","sei":"18.35"}</x:v>
      </x:c>
      <x:c r="T101" s="14" t="str">
        <x:v>null</x:v>
      </x:c>
      <x:c r="U101" s="14" t="str">
        <x:v>CHEMBL3958201</x:v>
      </x:c>
      <x:c r="V101" s="14" t="str">
        <x:v>null</x:v>
      </x:c>
      <x:c r="W101" s="14" t="str">
        <x:v>CHEMBL3958201</x:v>
      </x:c>
      <x:c r="X101" s="15" t="n">
        <x:v>6.23</x:v>
      </x:c>
      <x:c r="Y101" s="17" t="n">
        <x:v>0</x:v>
      </x:c>
      <x:c r="Z101" s="14" t="str">
        <x:v>http://www.openphacts.org/units/Nanomolar</x:v>
      </x:c>
      <x:c r="AA101" s="14" t="str">
        <x:v>2796879</x:v>
      </x:c>
      <x:c r="AB101" s="14" t="str">
        <x:v>=</x:v>
      </x:c>
      <x:c r="AC101" s="14" t="str">
        <x:v>1</x:v>
      </x:c>
      <x:c r="AD101" s="17" t="n">
        <x:v>1</x:v>
      </x:c>
      <x:c r="AE101" s="14" t="str">
        <x:v>=</x:v>
      </x:c>
      <x:c r="AF101" s="14" t="str">
        <x:v>null</x:v>
      </x:c>
      <x:c r="AG101" s="14" t="str">
        <x:v>Ki</x:v>
      </x:c>
      <x:c r="AH101" s="14" t="str">
        <x:v>nM</x:v>
      </x:c>
      <x:c r="AI101" s="14" t="str">
        <x:v>null</x:v>
      </x:c>
      <x:c r="AJ101" s="15" t="n">
        <x:v>588.84</x:v>
      </x:c>
      <x:c r="AK101" s="14" t="str">
        <x:v>CHEMBL217</x:v>
      </x:c>
      <x:c r="AL101" s="14" t="str">
        <x:v>Homo sapiens</x:v>
      </x:c>
      <x:c r="AM101" s="14" t="str">
        <x:v>D(2) dopamine receptor</x:v>
      </x:c>
      <x:c r="AN101" s="14" t="str">
        <x:v>9606</x:v>
      </x:c>
      <x:c r="AO101" s="14" t="str">
        <x:v>null</x:v>
      </x:c>
      <x:c r="AP101" s="14" t="str">
        <x:v>null</x:v>
      </x:c>
      <x:c r="AQ101" s="14" t="str">
        <x:v>pKi</x:v>
      </x:c>
      <x:c r="AR101" s="14" t="str">
        <x:v>null</x:v>
      </x:c>
      <x:c r="AS101" s="14" t="str">
        <x:v>UO_0000065</x:v>
      </x:c>
      <x:c r="AT101" s="14" t="str">
        <x:v>null</x:v>
      </x:c>
      <x:c r="AU101" s="14" t="str">
        <x:v>6.23</x:v>
      </x:c>
      <x:c r="AV101" s="15" t="n">
        <x:v>0.00501</x:v>
      </x:c>
      <x:c r="AW101" s="14" t="str">
        <x:v>include</x:v>
      </x:c>
      <x:c r="AX101" s="14" t="str"/>
      <x:c r="AY101" s="15" t="n">
        <x:v>588.8436553555883</x:v>
      </x:c>
      <x:c r="AZ101" s="14" t="str">
        <x:v>source_reported_pKi</x:v>
      </x:c>
      <x:c r="BA101" s="15" t="n">
        <x:v>6.23</x:v>
      </x:c>
      <x:c r="BB101" s="14" t="str">
        <x:v>cf2f0ebf1c808b5ef998e9f5738b6bf81257897524fbd6b02f5c5df935a83363</x:v>
      </x:c>
      <x:c r="BC101" s="14" t="str">
        <x:v>CTRVTEOXKBMCKO-QPPBQGQZSA-N</x:v>
      </x:c>
      <x:c r="BD101" s="14" t="str">
        <x:v>Cn1c(SCCCN2CC[C@]3(C[C@@H]3c3ccc(C(F)(F)F)cc3)C2)nnc1C1CCCCC1</x:v>
      </x:c>
      <x:c r="BE101" s="14" t="str">
        <x:v>Cn1c(SCCCN2CCC3(CC3c3ccc(C(F)(F)F)cc3)C2)nnc1C1CCCCC1</x:v>
      </x:c>
      <x:c r="BF101" s="14" t="str">
        <x:v>Cn1c(SCCCN2CC[C@]3(C[C@@H]3c3ccc(C(F)(F)F)cc3)C2)nnc1C1CCCCC1</x:v>
      </x:c>
      <x:c r="BG101" s="16" t="n">
        <x:v>0.0000026959714594099182</x:v>
      </x:c>
      <x:c r="BH101" s="15" t="n">
        <x:v>6.23000269597146</x:v>
      </x:c>
      <x:c r="BI101" s="14" t="str">
        <x:v>c1ccc(C2CC23CCN(CCCSc2nnc(C4CCCCC4)[nH]2)C3)cc1</x:v>
      </x:c>
      <x:c r="BJ101" s="17" t="n">
        <x:v>1</x:v>
      </x:c>
      <x:c r="BK101" s="15" t="n">
        <x:v>588.84</x:v>
      </x:c>
      <x:c r="BL101" s="16" t="n">
        <x:v>-0.0036553555883074296</x:v>
      </x:c>
      <x:c r="BM101" s="14" t="str">
        <x:v>false</x:v>
      </x:c>
    </x:row>
    <x:row r="102" ht="51" customHeight="1">
      <x:c r="A102" s="9" t="str">
        <x:v>null</x:v>
      </x:c>
      <x:c r="B102" s="9" t="str">
        <x:v>null</x:v>
      </x:c>
      <x:c r="C102" s="9" t="str">
        <x:v>16670718</x:v>
      </x:c>
      <x:c r="D102" s="9" t="str">
        <x:v>[]</x:v>
      </x:c>
      <x:c r="E102" s="9" t="str">
        <x:v>CHEMBL3855278</x:v>
      </x:c>
      <x:c r="F102" s="9" t="str">
        <x:v>Displacement of [3H]-spiperone from human dopamine D2 receptor expressed in CHO-K1 cell membranes coexpressing Galpha16 after 120 mins by liquid scintillation counting</x:v>
      </x:c>
      <x:c r="G102" s="9" t="str">
        <x:v>B</x:v>
      </x:c>
      <x:c r="H102" s="9" t="str">
        <x:v>null</x:v>
      </x:c>
      <x:c r="I102" s="9" t="str">
        <x:v>null</x:v>
      </x:c>
      <x:c r="J102" s="9" t="str">
        <x:v>BAO_0000192</x:v>
      </x:c>
      <x:c r="K102" s="9" t="str">
        <x:v>BAO_0000219</x:v>
      </x:c>
      <x:c r="L102" s="9" t="str">
        <x:v>cell-based format</x:v>
      </x:c>
      <x:c r="M102" s="9" t="str">
        <x:v>Cn1c(SCCCN2CC[C@]3(C[C@@H]3c3ccc(C(F)(F)F)cc3)C2)nnc1C1=CCC(=O)N=C1</x:v>
      </x:c>
      <x:c r="N102" s="9" t="str">
        <x:v>null</x:v>
      </x:c>
      <x:c r="O102" s="9" t="str">
        <x:v>null</x:v>
      </x:c>
      <x:c r="P102" s="9" t="str">
        <x:v>CHEMBL3853329</x:v>
      </x:c>
      <x:c r="Q102" s="9" t="str">
        <x:v>J Med Chem</x:v>
      </x:c>
      <x:c r="R102" s="13" t="n">
        <x:v>2016</x:v>
      </x:c>
      <x:c r="S102" s="9" t="str">
        <x:v>{"bei":"13.22","le":"0.26","lle":"1.89","sei":"10.21"}</x:v>
      </x:c>
      <x:c r="T102" s="9" t="str">
        <x:v>null</x:v>
      </x:c>
      <x:c r="U102" s="9" t="str">
        <x:v>CHEMBL3964512</x:v>
      </x:c>
      <x:c r="V102" s="9" t="str">
        <x:v>null</x:v>
      </x:c>
      <x:c r="W102" s="9" t="str">
        <x:v>CHEMBL3964512</x:v>
      </x:c>
      <x:c r="X102" s="11" t="n">
        <x:v>6.47</x:v>
      </x:c>
      <x:c r="Y102" s="13" t="n">
        <x:v>0</x:v>
      </x:c>
      <x:c r="Z102" s="9" t="str">
        <x:v>http://www.openphacts.org/units/Nanomolar</x:v>
      </x:c>
      <x:c r="AA102" s="9" t="str">
        <x:v>2796869</x:v>
      </x:c>
      <x:c r="AB102" s="9" t="str">
        <x:v>=</x:v>
      </x:c>
      <x:c r="AC102" s="9" t="str">
        <x:v>1</x:v>
      </x:c>
      <x:c r="AD102" s="13" t="n">
        <x:v>1</x:v>
      </x:c>
      <x:c r="AE102" s="9" t="str">
        <x:v>=</x:v>
      </x:c>
      <x:c r="AF102" s="9" t="str">
        <x:v>null</x:v>
      </x:c>
      <x:c r="AG102" s="9" t="str">
        <x:v>Ki</x:v>
      </x:c>
      <x:c r="AH102" s="9" t="str">
        <x:v>nM</x:v>
      </x:c>
      <x:c r="AI102" s="9" t="str">
        <x:v>null</x:v>
      </x:c>
      <x:c r="AJ102" s="11" t="n">
        <x:v>338.84</x:v>
      </x:c>
      <x:c r="AK102" s="9" t="str">
        <x:v>CHEMBL217</x:v>
      </x:c>
      <x:c r="AL102" s="9" t="str">
        <x:v>Homo sapiens</x:v>
      </x:c>
      <x:c r="AM102" s="9" t="str">
        <x:v>D(2) dopamine receptor</x:v>
      </x:c>
      <x:c r="AN102" s="9" t="str">
        <x:v>9606</x:v>
      </x:c>
      <x:c r="AO102" s="9" t="str">
        <x:v>null</x:v>
      </x:c>
      <x:c r="AP102" s="9" t="str">
        <x:v>null</x:v>
      </x:c>
      <x:c r="AQ102" s="9" t="str">
        <x:v>pKi</x:v>
      </x:c>
      <x:c r="AR102" s="9" t="str">
        <x:v>null</x:v>
      </x:c>
      <x:c r="AS102" s="9" t="str">
        <x:v>UO_0000065</x:v>
      </x:c>
      <x:c r="AT102" s="9" t="str">
        <x:v>null</x:v>
      </x:c>
      <x:c r="AU102" s="9" t="str">
        <x:v>6.47</x:v>
      </x:c>
      <x:c r="AV102" s="11" t="n">
        <x:v>0.00501</x:v>
      </x:c>
      <x:c r="AW102" s="9" t="str">
        <x:v>exclude</x:v>
      </x:c>
      <x:c r="AX102" s="9" t="str">
        <x:v>multiple_source_records_for_full_parent_identity</x:v>
      </x:c>
      <x:c r="AY102" s="11" t="n">
        <x:v>338.84415613920277</x:v>
      </x:c>
      <x:c r="AZ102" s="9" t="str">
        <x:v>source_reported_pKi</x:v>
      </x:c>
      <x:c r="BA102" s="11" t="n">
        <x:v>6.47</x:v>
      </x:c>
      <x:c r="BB102" s="9" t="str">
        <x:v>3842ebb3cf37ce196c93845abc423a242d3dbf45e54e8f51bb9a54a8765b2b26</x:v>
      </x:c>
      <x:c r="BC102" s="9" t="str">
        <x:v>XJTVRXYTOLNCDQ-XXBNENTESA-N</x:v>
      </x:c>
      <x:c r="BD102" s="9" t="str">
        <x:v>Cn1c(SCCCN2CC[C@]3(C[C@@H]3c3ccc(C(F)(F)F)cc3)C2)nnc1C1=CCC(=O)N=C1</x:v>
      </x:c>
      <x:c r="BE102" s="9" t="str">
        <x:v>Cn1c(SCCCN2CCC3(CC3c3ccc(C(F)(F)F)cc3)C2)nnc1C1=CCC(=O)N=C1</x:v>
      </x:c>
      <x:c r="BF102" s="9" t="str">
        <x:v>Cn1c(SCCCN2CC[C@]3(C[C@@H]3c3ccc(C(F)(F)F)cc3)C2)nnc1C1=CCC(=O)N=C1</x:v>
      </x:c>
      <x:c r="BG102" s="12" t="n">
        <x:v>0.000005326930858196022</x:v>
      </x:c>
      <x:c r="BH102" s="11" t="n">
        <x:v>6.470005326930858</x:v>
      </x:c>
      <x:c r="BI102" s="9" t="str">
        <x:v>O=C1CC=C(c2nnc(SCCCN3CCC4(CC4c4ccccc4)C3)[nH]2)C=N1</x:v>
      </x:c>
      <x:c r="BJ102" s="13" t="n">
        <x:v>2</x:v>
      </x:c>
      <x:c r="BK102" s="11" t="n">
        <x:v>338.84</x:v>
      </x:c>
      <x:c r="BL102" s="12" t="n">
        <x:v>-0.0041561392027915645</x:v>
      </x:c>
      <x:c r="BM102" s="9" t="str">
        <x:v>false</x:v>
      </x:c>
    </x:row>
    <x:row r="103" ht="51" customHeight="1">
      <x:c r="A103" s="14" t="str">
        <x:v>null</x:v>
      </x:c>
      <x:c r="B103" s="14" t="str">
        <x:v>null</x:v>
      </x:c>
      <x:c r="C103" s="14" t="str">
        <x:v>16670719</x:v>
      </x:c>
      <x:c r="D103" s="14" t="str">
        <x:v>[]</x:v>
      </x:c>
      <x:c r="E103" s="14" t="str">
        <x:v>CHEMBL3855278</x:v>
      </x:c>
      <x:c r="F103" s="14" t="str">
        <x:v>Displacement of [3H]-spiperone from human dopamine D2 receptor expressed in CHO-K1 cell membranes coexpressing Galpha16 after 120 mins by liquid scintillation counting</x:v>
      </x:c>
      <x:c r="G103" s="14" t="str">
        <x:v>B</x:v>
      </x:c>
      <x:c r="H103" s="14" t="str">
        <x:v>null</x:v>
      </x:c>
      <x:c r="I103" s="14" t="str">
        <x:v>null</x:v>
      </x:c>
      <x:c r="J103" s="14" t="str">
        <x:v>BAO_0000192</x:v>
      </x:c>
      <x:c r="K103" s="14" t="str">
        <x:v>BAO_0000219</x:v>
      </x:c>
      <x:c r="L103" s="14" t="str">
        <x:v>cell-based format</x:v>
      </x:c>
      <x:c r="M103" s="14" t="str">
        <x:v>Cn1c(SCCCN2CC[C@]3(C[C@@H]3c3ccc(C(F)(F)F)cc3)C2)nnc1C1=CC=NC(=O)C1</x:v>
      </x:c>
      <x:c r="N103" s="14" t="str">
        <x:v>null</x:v>
      </x:c>
      <x:c r="O103" s="14" t="str">
        <x:v>null</x:v>
      </x:c>
      <x:c r="P103" s="14" t="str">
        <x:v>CHEMBL3853329</x:v>
      </x:c>
      <x:c r="Q103" s="14" t="str">
        <x:v>J Med Chem</x:v>
      </x:c>
      <x:c r="R103" s="17" t="n">
        <x:v>2016</x:v>
      </x:c>
      <x:c r="S103" s="14" t="str">
        <x:v>{"bei":"11.93","le":"0.23","lle":"1.26","sei":"9.21"}</x:v>
      </x:c>
      <x:c r="T103" s="14" t="str">
        <x:v>null</x:v>
      </x:c>
      <x:c r="U103" s="14" t="str">
        <x:v>CHEMBL3897772</x:v>
      </x:c>
      <x:c r="V103" s="14" t="str">
        <x:v>null</x:v>
      </x:c>
      <x:c r="W103" s="14" t="str">
        <x:v>CHEMBL3897772</x:v>
      </x:c>
      <x:c r="X103" s="15" t="n">
        <x:v>5.84</x:v>
      </x:c>
      <x:c r="Y103" s="17" t="n">
        <x:v>0</x:v>
      </x:c>
      <x:c r="Z103" s="14" t="str">
        <x:v>http://www.openphacts.org/units/Nanomolar</x:v>
      </x:c>
      <x:c r="AA103" s="14" t="str">
        <x:v>2796870</x:v>
      </x:c>
      <x:c r="AB103" s="14" t="str">
        <x:v>=</x:v>
      </x:c>
      <x:c r="AC103" s="14" t="str">
        <x:v>1</x:v>
      </x:c>
      <x:c r="AD103" s="17" t="n">
        <x:v>1</x:v>
      </x:c>
      <x:c r="AE103" s="14" t="str">
        <x:v>=</x:v>
      </x:c>
      <x:c r="AF103" s="14" t="str">
        <x:v>null</x:v>
      </x:c>
      <x:c r="AG103" s="14" t="str">
        <x:v>Ki</x:v>
      </x:c>
      <x:c r="AH103" s="14" t="str">
        <x:v>nM</x:v>
      </x:c>
      <x:c r="AI103" s="14" t="str">
        <x:v>null</x:v>
      </x:c>
      <x:c r="AJ103" s="15" t="n">
        <x:v>1445.44</x:v>
      </x:c>
      <x:c r="AK103" s="14" t="str">
        <x:v>CHEMBL217</x:v>
      </x:c>
      <x:c r="AL103" s="14" t="str">
        <x:v>Homo sapiens</x:v>
      </x:c>
      <x:c r="AM103" s="14" t="str">
        <x:v>D(2) dopamine receptor</x:v>
      </x:c>
      <x:c r="AN103" s="14" t="str">
        <x:v>9606</x:v>
      </x:c>
      <x:c r="AO103" s="14" t="str">
        <x:v>null</x:v>
      </x:c>
      <x:c r="AP103" s="14" t="str">
        <x:v>null</x:v>
      </x:c>
      <x:c r="AQ103" s="14" t="str">
        <x:v>pKi</x:v>
      </x:c>
      <x:c r="AR103" s="14" t="str">
        <x:v>null</x:v>
      </x:c>
      <x:c r="AS103" s="14" t="str">
        <x:v>UO_0000065</x:v>
      </x:c>
      <x:c r="AT103" s="14" t="str">
        <x:v>null</x:v>
      </x:c>
      <x:c r="AU103" s="14" t="str">
        <x:v>5.84</x:v>
      </x:c>
      <x:c r="AV103" s="15" t="n">
        <x:v>0.00501</x:v>
      </x:c>
      <x:c r="AW103" s="14" t="str">
        <x:v>include</x:v>
      </x:c>
      <x:c r="AX103" s="14" t="str"/>
      <x:c r="AY103" s="15" t="n">
        <x:v>1445.439770745928</x:v>
      </x:c>
      <x:c r="AZ103" s="14" t="str">
        <x:v>source_reported_pKi</x:v>
      </x:c>
      <x:c r="BA103" s="15" t="n">
        <x:v>5.84</x:v>
      </x:c>
      <x:c r="BB103" s="14" t="str">
        <x:v>cccbbf0fae3970d9d17e8de18e7166b8b94d878b82a3c5ad227be7231fd166b3</x:v>
      </x:c>
      <x:c r="BC103" s="14" t="str">
        <x:v>OMUDHMBLKINCCX-XXBNENTESA-N</x:v>
      </x:c>
      <x:c r="BD103" s="14" t="str">
        <x:v>Cn1c(SCCCN2CC[C@]3(C[C@@H]3c3ccc(C(F)(F)F)cc3)C2)nnc1C1=CC=NC(=O)C1</x:v>
      </x:c>
      <x:c r="BE103" s="14" t="str">
        <x:v>Cn1c(SCCCN2CCC3(CC3c3ccc(C(F)(F)F)cc3)C2)nnc1C1=CC=NC(=O)C1</x:v>
      </x:c>
      <x:c r="BF103" s="14" t="str">
        <x:v>Cn1c(SCCCN2CC[C@]3(C[C@@H]3c3ccc(C(F)(F)F)cc3)C2)nnc1C1=CC=NC(=O)C1</x:v>
      </x:c>
      <x:c r="BG103" s="16" t="n">
        <x:v>-6.888130066329268e-8</x:v>
      </x:c>
      <x:c r="BH103" s="15" t="n">
        <x:v>5.839999931118699</x:v>
      </x:c>
      <x:c r="BI103" s="14" t="str">
        <x:v>O=C1CC(c2nnc(SCCCN3CCC4(CC4c4ccccc4)C3)[nH]2)=CC=N1</x:v>
      </x:c>
      <x:c r="BJ103" s="17" t="n">
        <x:v>1</x:v>
      </x:c>
      <x:c r="BK103" s="15" t="n">
        <x:v>1445.44</x:v>
      </x:c>
      <x:c r="BL103" s="16" t="n">
        <x:v>0.00022925407211005222</x:v>
      </x:c>
      <x:c r="BM103" s="14" t="str">
        <x:v>false</x:v>
      </x:c>
    </x:row>
    <x:row r="104" ht="51" customHeight="1">
      <x:c r="A104" s="9" t="str">
        <x:v>null</x:v>
      </x:c>
      <x:c r="B104" s="9" t="str">
        <x:v>null</x:v>
      </x:c>
      <x:c r="C104" s="9" t="str">
        <x:v>16670720</x:v>
      </x:c>
      <x:c r="D104" s="9" t="str">
        <x:v>[]</x:v>
      </x:c>
      <x:c r="E104" s="9" t="str">
        <x:v>CHEMBL3855278</x:v>
      </x:c>
      <x:c r="F104" s="9" t="str">
        <x:v>Displacement of [3H]-spiperone from human dopamine D2 receptor expressed in CHO-K1 cell membranes coexpressing Galpha16 after 120 mins by liquid scintillation counting</x:v>
      </x:c>
      <x:c r="G104" s="9" t="str">
        <x:v>B</x:v>
      </x:c>
      <x:c r="H104" s="9" t="str">
        <x:v>null</x:v>
      </x:c>
      <x:c r="I104" s="9" t="str">
        <x:v>null</x:v>
      </x:c>
      <x:c r="J104" s="9" t="str">
        <x:v>BAO_0000192</x:v>
      </x:c>
      <x:c r="K104" s="9" t="str">
        <x:v>BAO_0000219</x:v>
      </x:c>
      <x:c r="L104" s="9" t="str">
        <x:v>cell-based format</x:v>
      </x:c>
      <x:c r="M104" s="9" t="str">
        <x:v>CC(=O)NC1CCC(c2nnc(SCCCN3CC[C@]4(C[C@@H]4c4ccc(C(F)(F)F)cc4)C3)n2C)CC1</x:v>
      </x:c>
      <x:c r="N104" s="9" t="str">
        <x:v>null</x:v>
      </x:c>
      <x:c r="O104" s="9" t="str">
        <x:v>null</x:v>
      </x:c>
      <x:c r="P104" s="9" t="str">
        <x:v>CHEMBL3853329</x:v>
      </x:c>
      <x:c r="Q104" s="9" t="str">
        <x:v>J Med Chem</x:v>
      </x:c>
      <x:c r="R104" s="13" t="n">
        <x:v>2016</x:v>
      </x:c>
      <x:c r="S104" s="9" t="str">
        <x:v>{"bei":"11.84","le":"0.23","lle":"0.98","sei":"10.06"}</x:v>
      </x:c>
      <x:c r="T104" s="9" t="str">
        <x:v>null</x:v>
      </x:c>
      <x:c r="U104" s="9" t="str">
        <x:v>CHEMBL3912801</x:v>
      </x:c>
      <x:c r="V104" s="9" t="str">
        <x:v>null</x:v>
      </x:c>
      <x:c r="W104" s="9" t="str">
        <x:v>CHEMBL3912801</x:v>
      </x:c>
      <x:c r="X104" s="11" t="n">
        <x:v>6.34</x:v>
      </x:c>
      <x:c r="Y104" s="13" t="n">
        <x:v>0</x:v>
      </x:c>
      <x:c r="Z104" s="9" t="str">
        <x:v>http://www.openphacts.org/units/Nanomolar</x:v>
      </x:c>
      <x:c r="AA104" s="9" t="str">
        <x:v>2796876</x:v>
      </x:c>
      <x:c r="AB104" s="9" t="str">
        <x:v>=</x:v>
      </x:c>
      <x:c r="AC104" s="9" t="str">
        <x:v>1</x:v>
      </x:c>
      <x:c r="AD104" s="13" t="n">
        <x:v>1</x:v>
      </x:c>
      <x:c r="AE104" s="9" t="str">
        <x:v>=</x:v>
      </x:c>
      <x:c r="AF104" s="9" t="str">
        <x:v>null</x:v>
      </x:c>
      <x:c r="AG104" s="9" t="str">
        <x:v>Ki</x:v>
      </x:c>
      <x:c r="AH104" s="9" t="str">
        <x:v>nM</x:v>
      </x:c>
      <x:c r="AI104" s="9" t="str">
        <x:v>null</x:v>
      </x:c>
      <x:c r="AJ104" s="11" t="n">
        <x:v>457.09</x:v>
      </x:c>
      <x:c r="AK104" s="9" t="str">
        <x:v>CHEMBL217</x:v>
      </x:c>
      <x:c r="AL104" s="9" t="str">
        <x:v>Homo sapiens</x:v>
      </x:c>
      <x:c r="AM104" s="9" t="str">
        <x:v>D(2) dopamine receptor</x:v>
      </x:c>
      <x:c r="AN104" s="9" t="str">
        <x:v>9606</x:v>
      </x:c>
      <x:c r="AO104" s="9" t="str">
        <x:v>null</x:v>
      </x:c>
      <x:c r="AP104" s="9" t="str">
        <x:v>null</x:v>
      </x:c>
      <x:c r="AQ104" s="9" t="str">
        <x:v>pKi</x:v>
      </x:c>
      <x:c r="AR104" s="9" t="str">
        <x:v>null</x:v>
      </x:c>
      <x:c r="AS104" s="9" t="str">
        <x:v>UO_0000065</x:v>
      </x:c>
      <x:c r="AT104" s="9" t="str">
        <x:v>null</x:v>
      </x:c>
      <x:c r="AU104" s="9" t="str">
        <x:v>6.34</x:v>
      </x:c>
      <x:c r="AV104" s="11" t="n">
        <x:v>0.00501</x:v>
      </x:c>
      <x:c r="AW104" s="9" t="str">
        <x:v>include</x:v>
      </x:c>
      <x:c r="AX104" s="9" t="str"/>
      <x:c r="AY104" s="11" t="n">
        <x:v>457.0881896148752</x:v>
      </x:c>
      <x:c r="AZ104" s="9" t="str">
        <x:v>source_reported_pKi</x:v>
      </x:c>
      <x:c r="BA104" s="11" t="n">
        <x:v>6.34</x:v>
      </x:c>
      <x:c r="BB104" s="9" t="str">
        <x:v>f8c1fa3b8e3e447250d3dcd79e0bd98e79a53dd53ebb646cc1103feba1c01c05</x:v>
      </x:c>
      <x:c r="BC104" s="9" t="str">
        <x:v>QDBPUGDJXGIOJW-HFYIJGDASA-N</x:v>
      </x:c>
      <x:c r="BD104" s="9" t="str">
        <x:v>CC(=O)NC1CCC(c2nnc(SCCCN3CC[C@]4(C[C@@H]4c4ccc(C(F)(F)F)cc4)C3)n2C)CC1</x:v>
      </x:c>
      <x:c r="BE104" s="9" t="str">
        <x:v>CC(=O)NC1CCC(c2nnc(SCCCN3CCC4(CC4c4ccc(C(F)(F)F)cc4)C3)n2C)CC1</x:v>
      </x:c>
      <x:c r="BF104" s="9" t="str">
        <x:v>CC(=O)NC1CCC(c2nnc(SCCCN3CC[C@]4(C[C@@H]4c4ccc(C(F)(F)F)cc4)C3)n2C)CC1</x:v>
      </x:c>
      <x:c r="BG104" s="12" t="n">
        <x:v>-0.0000017201028832403154</x:v>
      </x:c>
      <x:c r="BH104" s="11" t="n">
        <x:v>6.339998279897117</x:v>
      </x:c>
      <x:c r="BI104" s="9" t="str">
        <x:v>c1ccc(C2CC23CCN(CCCSc2nnc(C4CCCCC4)[nH]2)C3)cc1</x:v>
      </x:c>
      <x:c r="BJ104" s="13" t="n">
        <x:v>1</x:v>
      </x:c>
      <x:c r="BK104" s="11" t="n">
        <x:v>457.09</x:v>
      </x:c>
      <x:c r="BL104" s="12" t="n">
        <x:v>0.0018103851247701641</x:v>
      </x:c>
      <x:c r="BM104" s="9" t="str">
        <x:v>false</x:v>
      </x:c>
    </x:row>
    <x:row r="105" ht="51" customHeight="1">
      <x:c r="A105" s="14" t="str">
        <x:v>null</x:v>
      </x:c>
      <x:c r="B105" s="14" t="str">
        <x:v>null</x:v>
      </x:c>
      <x:c r="C105" s="14" t="str">
        <x:v>16670811</x:v>
      </x:c>
      <x:c r="D105" s="14" t="str">
        <x:v>[]</x:v>
      </x:c>
      <x:c r="E105" s="14" t="str">
        <x:v>CHEMBL3855278</x:v>
      </x:c>
      <x:c r="F105" s="14" t="str">
        <x:v>Displacement of [3H]-spiperone from human dopamine D2 receptor expressed in CHO-K1 cell membranes coexpressing Galpha16 after 120 mins by liquid scintillation counting</x:v>
      </x:c>
      <x:c r="G105" s="14" t="str">
        <x:v>B</x:v>
      </x:c>
      <x:c r="H105" s="14" t="str">
        <x:v>null</x:v>
      </x:c>
      <x:c r="I105" s="14" t="str">
        <x:v>null</x:v>
      </x:c>
      <x:c r="J105" s="14" t="str">
        <x:v>BAO_0000192</x:v>
      </x:c>
      <x:c r="K105" s="14" t="str">
        <x:v>BAO_0000219</x:v>
      </x:c>
      <x:c r="L105" s="14" t="str">
        <x:v>cell-based format</x:v>
      </x:c>
      <x:c r="M105" s="14" t="str">
        <x:v>Cn1c(SCCCN2CC[C@]3(C[C@@H]3c3ccc(C(F)(F)F)cc3)C2)nnc1C1=CCC(=O)N=C1</x:v>
      </x:c>
      <x:c r="N105" s="14" t="str">
        <x:v>null</x:v>
      </x:c>
      <x:c r="O105" s="14" t="str">
        <x:v>null</x:v>
      </x:c>
      <x:c r="P105" s="14" t="str">
        <x:v>CHEMBL3853329</x:v>
      </x:c>
      <x:c r="Q105" s="14" t="str">
        <x:v>J Med Chem</x:v>
      </x:c>
      <x:c r="R105" s="17" t="n">
        <x:v>2016</x:v>
      </x:c>
      <x:c r="S105" s="14" t="str">
        <x:v>{"bei":"12.50","le":"0.25","lle":"1.54","sei":"9.66"}</x:v>
      </x:c>
      <x:c r="T105" s="14" t="str">
        <x:v>null</x:v>
      </x:c>
      <x:c r="U105" s="14" t="str">
        <x:v>CHEMBL3964512</x:v>
      </x:c>
      <x:c r="V105" s="14" t="str">
        <x:v>null</x:v>
      </x:c>
      <x:c r="W105" s="14" t="str">
        <x:v>CHEMBL3964512</x:v>
      </x:c>
      <x:c r="X105" s="15" t="n">
        <x:v>6.12</x:v>
      </x:c>
      <x:c r="Y105" s="17" t="n">
        <x:v>0</x:v>
      </x:c>
      <x:c r="Z105" s="14" t="str">
        <x:v>http://www.openphacts.org/units/Nanomolar</x:v>
      </x:c>
      <x:c r="AA105" s="14" t="str">
        <x:v>2796868</x:v>
      </x:c>
      <x:c r="AB105" s="14" t="str">
        <x:v>=</x:v>
      </x:c>
      <x:c r="AC105" s="14" t="str">
        <x:v>1</x:v>
      </x:c>
      <x:c r="AD105" s="17" t="n">
        <x:v>1</x:v>
      </x:c>
      <x:c r="AE105" s="14" t="str">
        <x:v>=</x:v>
      </x:c>
      <x:c r="AF105" s="14" t="str">
        <x:v>null</x:v>
      </x:c>
      <x:c r="AG105" s="14" t="str">
        <x:v>Ki</x:v>
      </x:c>
      <x:c r="AH105" s="14" t="str">
        <x:v>nM</x:v>
      </x:c>
      <x:c r="AI105" s="14" t="str">
        <x:v>null</x:v>
      </x:c>
      <x:c r="AJ105" s="15" t="n">
        <x:v>758.58</x:v>
      </x:c>
      <x:c r="AK105" s="14" t="str">
        <x:v>CHEMBL217</x:v>
      </x:c>
      <x:c r="AL105" s="14" t="str">
        <x:v>Homo sapiens</x:v>
      </x:c>
      <x:c r="AM105" s="14" t="str">
        <x:v>D(2) dopamine receptor</x:v>
      </x:c>
      <x:c r="AN105" s="14" t="str">
        <x:v>9606</x:v>
      </x:c>
      <x:c r="AO105" s="14" t="str">
        <x:v>null</x:v>
      </x:c>
      <x:c r="AP105" s="14" t="str">
        <x:v>null</x:v>
      </x:c>
      <x:c r="AQ105" s="14" t="str">
        <x:v>pKi</x:v>
      </x:c>
      <x:c r="AR105" s="14" t="str">
        <x:v>null</x:v>
      </x:c>
      <x:c r="AS105" s="14" t="str">
        <x:v>UO_0000065</x:v>
      </x:c>
      <x:c r="AT105" s="14" t="str">
        <x:v>null</x:v>
      </x:c>
      <x:c r="AU105" s="14" t="str">
        <x:v>6.12</x:v>
      </x:c>
      <x:c r="AV105" s="15" t="n">
        <x:v>0.00501</x:v>
      </x:c>
      <x:c r="AW105" s="14" t="str">
        <x:v>exclude</x:v>
      </x:c>
      <x:c r="AX105" s="14" t="str">
        <x:v>multiple_source_records_for_full_parent_identity</x:v>
      </x:c>
      <x:c r="AY105" s="15" t="n">
        <x:v>758.5775750291835</x:v>
      </x:c>
      <x:c r="AZ105" s="14" t="str">
        <x:v>source_reported_pKi</x:v>
      </x:c>
      <x:c r="BA105" s="15" t="n">
        <x:v>6.12</x:v>
      </x:c>
      <x:c r="BB105" s="14" t="str">
        <x:v>3842ebb3cf37ce196c93845abc423a242d3dbf45e54e8f51bb9a54a8765b2b26</x:v>
      </x:c>
      <x:c r="BC105" s="14" t="str">
        <x:v>XJTVRXYTOLNCDQ-XXBNENTESA-N</x:v>
      </x:c>
      <x:c r="BD105" s="14" t="str">
        <x:v>Cn1c(SCCCN2CC[C@]3(C[C@@H]3c3ccc(C(F)(F)F)cc3)C2)nnc1C1=CCC(=O)N=C1</x:v>
      </x:c>
      <x:c r="BE105" s="14" t="str">
        <x:v>Cn1c(SCCCN2CCC3(CC3c3ccc(C(F)(F)F)cc3)C2)nnc1C1=CCC(=O)N=C1</x:v>
      </x:c>
      <x:c r="BF105" s="14" t="str">
        <x:v>Cn1c(SCCCN2CC[C@]3(C[C@@H]3c3ccc(C(F)(F)F)cc3)C2)nnc1C1=CCC(=O)N=C1</x:v>
      </x:c>
      <x:c r="BG105" s="16" t="n">
        <x:v>-0.0000013883217695465078</x:v>
      </x:c>
      <x:c r="BH105" s="15" t="n">
        <x:v>6.119998611678231</x:v>
      </x:c>
      <x:c r="BI105" s="14" t="str">
        <x:v>O=C1CC=C(c2nnc(SCCCN3CCC4(CC4c4ccccc4)C3)[nH]2)C=N1</x:v>
      </x:c>
      <x:c r="BJ105" s="17" t="n">
        <x:v>2</x:v>
      </x:c>
      <x:c r="BK105" s="15" t="n">
        <x:v>758.58</x:v>
      </x:c>
      <x:c r="BL105" s="16" t="n">
        <x:v>0.002424970816491623</x:v>
      </x:c>
      <x:c r="BM105" s="14" t="str">
        <x:v>false</x:v>
      </x:c>
    </x:row>
    <x:row r="106" ht="51" customHeight="1">
      <x:c r="A106" s="9" t="str">
        <x:v>null</x:v>
      </x:c>
      <x:c r="B106" s="9" t="str">
        <x:v>null</x:v>
      </x:c>
      <x:c r="C106" s="9" t="str">
        <x:v>16670825</x:v>
      </x:c>
      <x:c r="D106" s="9" t="str">
        <x:v>[]</x:v>
      </x:c>
      <x:c r="E106" s="9" t="str">
        <x:v>CHEMBL3855278</x:v>
      </x:c>
      <x:c r="F106" s="9" t="str">
        <x:v>Displacement of [3H]-spiperone from human dopamine D2 receptor expressed in CHO-K1 cell membranes coexpressing Galpha16 after 120 mins by liquid scintillation counting</x:v>
      </x:c>
      <x:c r="G106" s="9" t="str">
        <x:v>B</x:v>
      </x:c>
      <x:c r="H106" s="9" t="str">
        <x:v>null</x:v>
      </x:c>
      <x:c r="I106" s="9" t="str">
        <x:v>null</x:v>
      </x:c>
      <x:c r="J106" s="9" t="str">
        <x:v>BAO_0000192</x:v>
      </x:c>
      <x:c r="K106" s="9" t="str">
        <x:v>BAO_0000219</x:v>
      </x:c>
      <x:c r="L106" s="9" t="str">
        <x:v>cell-based format</x:v>
      </x:c>
      <x:c r="M106" s="9" t="str">
        <x:v>Cn1c(SCCCN2CC[C@]3(C[C@@H]3c3ccc(C(F)(F)F)cc3)C2)nnc1-c1ccc(=O)n(C)c1</x:v>
      </x:c>
      <x:c r="N106" s="9" t="str">
        <x:v>null</x:v>
      </x:c>
      <x:c r="O106" s="9" t="str">
        <x:v>null</x:v>
      </x:c>
      <x:c r="P106" s="9" t="str">
        <x:v>CHEMBL3853329</x:v>
      </x:c>
      <x:c r="Q106" s="9" t="str">
        <x:v>J Med Chem</x:v>
      </x:c>
      <x:c r="R106" s="13" t="n">
        <x:v>2016</x:v>
      </x:c>
      <x:c r="S106" s="9" t="str">
        <x:v>{"bei":"12.03","le":"0.24","lle":"1.50","sei":"10.83"}</x:v>
      </x:c>
      <x:c r="T106" s="9" t="str">
        <x:v>null</x:v>
      </x:c>
      <x:c r="U106" s="9" t="str">
        <x:v>CHEMBL3922838</x:v>
      </x:c>
      <x:c r="V106" s="9" t="str">
        <x:v>null</x:v>
      </x:c>
      <x:c r="W106" s="9" t="str">
        <x:v>CHEMBL3922838</x:v>
      </x:c>
      <x:c r="X106" s="11" t="n">
        <x:v>6.06</x:v>
      </x:c>
      <x:c r="Y106" s="13" t="n">
        <x:v>0</x:v>
      </x:c>
      <x:c r="Z106" s="9" t="str">
        <x:v>http://www.openphacts.org/units/Nanomolar</x:v>
      </x:c>
      <x:c r="AA106" s="9" t="str">
        <x:v>2796871</x:v>
      </x:c>
      <x:c r="AB106" s="9" t="str">
        <x:v>=</x:v>
      </x:c>
      <x:c r="AC106" s="9" t="str">
        <x:v>1</x:v>
      </x:c>
      <x:c r="AD106" s="13" t="n">
        <x:v>1</x:v>
      </x:c>
      <x:c r="AE106" s="9" t="str">
        <x:v>=</x:v>
      </x:c>
      <x:c r="AF106" s="9" t="str">
        <x:v>null</x:v>
      </x:c>
      <x:c r="AG106" s="9" t="str">
        <x:v>Ki</x:v>
      </x:c>
      <x:c r="AH106" s="9" t="str">
        <x:v>nM</x:v>
      </x:c>
      <x:c r="AI106" s="9" t="str">
        <x:v>null</x:v>
      </x:c>
      <x:c r="AJ106" s="11" t="n">
        <x:v>870.96</x:v>
      </x:c>
      <x:c r="AK106" s="9" t="str">
        <x:v>CHEMBL217</x:v>
      </x:c>
      <x:c r="AL106" s="9" t="str">
        <x:v>Homo sapiens</x:v>
      </x:c>
      <x:c r="AM106" s="9" t="str">
        <x:v>D(2) dopamine receptor</x:v>
      </x:c>
      <x:c r="AN106" s="9" t="str">
        <x:v>9606</x:v>
      </x:c>
      <x:c r="AO106" s="9" t="str">
        <x:v>null</x:v>
      </x:c>
      <x:c r="AP106" s="9" t="str">
        <x:v>null</x:v>
      </x:c>
      <x:c r="AQ106" s="9" t="str">
        <x:v>pKi</x:v>
      </x:c>
      <x:c r="AR106" s="9" t="str">
        <x:v>null</x:v>
      </x:c>
      <x:c r="AS106" s="9" t="str">
        <x:v>UO_0000065</x:v>
      </x:c>
      <x:c r="AT106" s="9" t="str">
        <x:v>null</x:v>
      </x:c>
      <x:c r="AU106" s="9" t="str">
        <x:v>6.06</x:v>
      </x:c>
      <x:c r="AV106" s="11" t="n">
        <x:v>0.00501</x:v>
      </x:c>
      <x:c r="AW106" s="9" t="str">
        <x:v>include</x:v>
      </x:c>
      <x:c r="AX106" s="9" t="str"/>
      <x:c r="AY106" s="11" t="n">
        <x:v>870.9635899560815</x:v>
      </x:c>
      <x:c r="AZ106" s="9" t="str">
        <x:v>source_reported_pKi</x:v>
      </x:c>
      <x:c r="BA106" s="11" t="n">
        <x:v>6.06</x:v>
      </x:c>
      <x:c r="BB106" s="9" t="str">
        <x:v>40a3605ec6b3fe54f63d1c7837d2a407e24bf51f60e9de4ed7e8c205962b66ac</x:v>
      </x:c>
      <x:c r="BC106" s="9" t="str">
        <x:v>DRMNJQDZXRGJRN-YKSBVNFPSA-N</x:v>
      </x:c>
      <x:c r="BD106" s="9" t="str">
        <x:v>Cn1c(SCCCN2CC[C@]3(C[C@@H]3c3ccc(C(F)(F)F)cc3)C2)nnc1-c1ccc(=O)n(C)c1</x:v>
      </x:c>
      <x:c r="BE106" s="9" t="str">
        <x:v>Cn1c(SCCCN2CCC3(CC3c3ccc(C(F)(F)F)cc3)C2)nnc1-c1ccc(=O)n(C)c1</x:v>
      </x:c>
      <x:c r="BF106" s="9" t="str">
        <x:v>Cn1c(SCCCN2CC[C@]3(C[C@@H]3c3ccc(C(F)(F)F)cc3)C2)nnc1-c1ccc(=O)n(C)c1</x:v>
      </x:c>
      <x:c r="BG106" s="12" t="n">
        <x:v>0.000001790087837960641</x:v>
      </x:c>
      <x:c r="BH106" s="11" t="n">
        <x:v>6.060001790087838</x:v>
      </x:c>
      <x:c r="BI106" s="9" t="str">
        <x:v>O=c1ccc(-c2nnc(SCCCN3CCC4(CC4c4ccccc4)C3)[nH]2)c[nH]1</x:v>
      </x:c>
      <x:c r="BJ106" s="13" t="n">
        <x:v>1</x:v>
      </x:c>
      <x:c r="BK106" s="11" t="n">
        <x:v>870.96</x:v>
      </x:c>
      <x:c r="BL106" s="12" t="n">
        <x:v>-0.0035899560814414144</x:v>
      </x:c>
      <x:c r="BM106" s="9" t="str">
        <x:v>false</x:v>
      </x:c>
    </x:row>
    <x:row r="107" ht="51" customHeight="1">
      <x:c r="A107" s="14" t="str">
        <x:v>null</x:v>
      </x:c>
      <x:c r="B107" s="14" t="str">
        <x:v>null</x:v>
      </x:c>
      <x:c r="C107" s="14" t="str">
        <x:v>16670842</x:v>
      </x:c>
      <x:c r="D107" s="14" t="str">
        <x:v>[]</x:v>
      </x:c>
      <x:c r="E107" s="14" t="str">
        <x:v>CHEMBL3855278</x:v>
      </x:c>
      <x:c r="F107" s="14" t="str">
        <x:v>Displacement of [3H]-spiperone from human dopamine D2 receptor expressed in CHO-K1 cell membranes coexpressing Galpha16 after 120 mins by liquid scintillation counting</x:v>
      </x:c>
      <x:c r="G107" s="14" t="str">
        <x:v>B</x:v>
      </x:c>
      <x:c r="H107" s="14" t="str">
        <x:v>null</x:v>
      </x:c>
      <x:c r="I107" s="14" t="str">
        <x:v>null</x:v>
      </x:c>
      <x:c r="J107" s="14" t="str">
        <x:v>BAO_0000192</x:v>
      </x:c>
      <x:c r="K107" s="14" t="str">
        <x:v>BAO_0000219</x:v>
      </x:c>
      <x:c r="L107" s="14" t="str">
        <x:v>cell-based format</x:v>
      </x:c>
      <x:c r="M107" s="14" t="str">
        <x:v>Cn1c(SCCCN2CC[C@]3(C[C@@H]3c3ccc(C(F)(F)F)cc3)C2)nnc1C1CCNC(=O)C1</x:v>
      </x:c>
      <x:c r="N107" s="14" t="str">
        <x:v>null</x:v>
      </x:c>
      <x:c r="O107" s="14" t="str">
        <x:v>null</x:v>
      </x:c>
      <x:c r="P107" s="14" t="str">
        <x:v>CHEMBL3853329</x:v>
      </x:c>
      <x:c r="Q107" s="14" t="str">
        <x:v>J Med Chem</x:v>
      </x:c>
      <x:c r="R107" s="17" t="n">
        <x:v>2016</x:v>
      </x:c>
      <x:c r="S107" s="14" t="str">
        <x:v>{"bei":"11.89","le":"0.24","lle":"1.68","sei":"9.31"}</x:v>
      </x:c>
      <x:c r="T107" s="14" t="str">
        <x:v>null</x:v>
      </x:c>
      <x:c r="U107" s="14" t="str">
        <x:v>CHEMBL3913849</x:v>
      </x:c>
      <x:c r="V107" s="14" t="str">
        <x:v>null</x:v>
      </x:c>
      <x:c r="W107" s="14" t="str">
        <x:v>CHEMBL3913849</x:v>
      </x:c>
      <x:c r="X107" s="15" t="n">
        <x:v>5.87</x:v>
      </x:c>
      <x:c r="Y107" s="17" t="n">
        <x:v>0</x:v>
      </x:c>
      <x:c r="Z107" s="14" t="str">
        <x:v>http://www.openphacts.org/units/Nanomolar</x:v>
      </x:c>
      <x:c r="AA107" s="14" t="str">
        <x:v>2796873</x:v>
      </x:c>
      <x:c r="AB107" s="14" t="str">
        <x:v>=</x:v>
      </x:c>
      <x:c r="AC107" s="14" t="str">
        <x:v>1</x:v>
      </x:c>
      <x:c r="AD107" s="17" t="n">
        <x:v>1</x:v>
      </x:c>
      <x:c r="AE107" s="14" t="str">
        <x:v>=</x:v>
      </x:c>
      <x:c r="AF107" s="14" t="str">
        <x:v>null</x:v>
      </x:c>
      <x:c r="AG107" s="14" t="str">
        <x:v>Ki</x:v>
      </x:c>
      <x:c r="AH107" s="14" t="str">
        <x:v>nM</x:v>
      </x:c>
      <x:c r="AI107" s="14" t="str">
        <x:v>null</x:v>
      </x:c>
      <x:c r="AJ107" s="15" t="n">
        <x:v>1348.96</x:v>
      </x:c>
      <x:c r="AK107" s="14" t="str">
        <x:v>CHEMBL217</x:v>
      </x:c>
      <x:c r="AL107" s="14" t="str">
        <x:v>Homo sapiens</x:v>
      </x:c>
      <x:c r="AM107" s="14" t="str">
        <x:v>D(2) dopamine receptor</x:v>
      </x:c>
      <x:c r="AN107" s="14" t="str">
        <x:v>9606</x:v>
      </x:c>
      <x:c r="AO107" s="14" t="str">
        <x:v>null</x:v>
      </x:c>
      <x:c r="AP107" s="14" t="str">
        <x:v>null</x:v>
      </x:c>
      <x:c r="AQ107" s="14" t="str">
        <x:v>pKi</x:v>
      </x:c>
      <x:c r="AR107" s="14" t="str">
        <x:v>null</x:v>
      </x:c>
      <x:c r="AS107" s="14" t="str">
        <x:v>UO_0000065</x:v>
      </x:c>
      <x:c r="AT107" s="14" t="str">
        <x:v>null</x:v>
      </x:c>
      <x:c r="AU107" s="14" t="str">
        <x:v>5.87</x:v>
      </x:c>
      <x:c r="AV107" s="15" t="n">
        <x:v>0.00501</x:v>
      </x:c>
      <x:c r="AW107" s="14" t="str">
        <x:v>include</x:v>
      </x:c>
      <x:c r="AX107" s="14" t="str"/>
      <x:c r="AY107" s="15" t="n">
        <x:v>1348.9628825916532</x:v>
      </x:c>
      <x:c r="AZ107" s="14" t="str">
        <x:v>source_reported_pKi</x:v>
      </x:c>
      <x:c r="BA107" s="15" t="n">
        <x:v>5.87</x:v>
      </x:c>
      <x:c r="BB107" s="14" t="str">
        <x:v>4e25398992b4a0f1cd2ffb850744ec425120da51f697ab458e4135f17c747d8e</x:v>
      </x:c>
      <x:c r="BC107" s="14" t="str">
        <x:v>ARSLLTCMIOZESX-PNYWAOBFSA-N</x:v>
      </x:c>
      <x:c r="BD107" s="14" t="str">
        <x:v>Cn1c(SCCCN2CC[C@]3(C[C@@H]3c3ccc(C(F)(F)F)cc3)C2)nnc1C1CCNC(=O)C1</x:v>
      </x:c>
      <x:c r="BE107" s="14" t="str">
        <x:v>Cn1c(SCCCN2CCC3(CC3c3ccc(C(F)(F)F)cc3)C2)nnc1C1CCNC(=O)C1</x:v>
      </x:c>
      <x:c r="BF107" s="14" t="str">
        <x:v>Cn1c(SCCCN2CC[C@]3(C[C@@H]3c3ccc(C(F)(F)F)cc3)C2)nnc1C1CCNC(=O)C1</x:v>
      </x:c>
      <x:c r="BG107" s="16" t="n">
        <x:v>9.280425743440901e-7</x:v>
      </x:c>
      <x:c r="BH107" s="15" t="n">
        <x:v>5.8700009280425745</x:v>
      </x:c>
      <x:c r="BI107" s="14" t="str">
        <x:v>O=C1CC(c2nnc(SCCCN3CCC4(CC4c4ccccc4)C3)[nH]2)CCN1</x:v>
      </x:c>
      <x:c r="BJ107" s="17" t="n">
        <x:v>1</x:v>
      </x:c>
      <x:c r="BK107" s="15" t="n">
        <x:v>1348.96</x:v>
      </x:c>
      <x:c r="BL107" s="16" t="n">
        <x:v>-0.002882591653133204</x:v>
      </x:c>
      <x:c r="BM107" s="14" t="str">
        <x:v>false</x:v>
      </x:c>
    </x:row>
    <x:row r="108" ht="51" customHeight="1">
      <x:c r="A108" s="9" t="str">
        <x:v>null</x:v>
      </x:c>
      <x:c r="B108" s="9" t="str">
        <x:v>null</x:v>
      </x:c>
      <x:c r="C108" s="9" t="str">
        <x:v>16670852</x:v>
      </x:c>
      <x:c r="D108" s="9" t="str">
        <x:v>[]</x:v>
      </x:c>
      <x:c r="E108" s="9" t="str">
        <x:v>CHEMBL3855278</x:v>
      </x:c>
      <x:c r="F108" s="9" t="str">
        <x:v>Displacement of [3H]-spiperone from human dopamine D2 receptor expressed in CHO-K1 cell membranes coexpressing Galpha16 after 120 mins by liquid scintillation counting</x:v>
      </x:c>
      <x:c r="G108" s="9" t="str">
        <x:v>B</x:v>
      </x:c>
      <x:c r="H108" s="9" t="str">
        <x:v>null</x:v>
      </x:c>
      <x:c r="I108" s="9" t="str">
        <x:v>null</x:v>
      </x:c>
      <x:c r="J108" s="9" t="str">
        <x:v>BAO_0000192</x:v>
      </x:c>
      <x:c r="K108" s="9" t="str">
        <x:v>BAO_0000219</x:v>
      </x:c>
      <x:c r="L108" s="9" t="str">
        <x:v>cell-based format</x:v>
      </x:c>
      <x:c r="M108" s="9" t="str">
        <x:v>CN1CCC(c2nnc(SCCCN3CC[C@]4(C[C@@H]4c4ccc(C(F)(F)F)cc4)C3)n2C)CC1=O</x:v>
      </x:c>
      <x:c r="N108" s="9" t="str">
        <x:v>null</x:v>
      </x:c>
      <x:c r="O108" s="9" t="str">
        <x:v>null</x:v>
      </x:c>
      <x:c r="P108" s="9" t="str">
        <x:v>CHEMBL3853329</x:v>
      </x:c>
      <x:c r="Q108" s="9" t="str">
        <x:v>J Med Chem</x:v>
      </x:c>
      <x:c r="R108" s="13" t="n">
        <x:v>2016</x:v>
      </x:c>
      <x:c r="S108" s="9" t="str">
        <x:v>{"bei":"11.37","le":"0.23","lle":"1.24","sei":"10.63"}</x:v>
      </x:c>
      <x:c r="T108" s="9" t="str">
        <x:v>null</x:v>
      </x:c>
      <x:c r="U108" s="9" t="str">
        <x:v>CHEMBL3983684</x:v>
      </x:c>
      <x:c r="V108" s="9" t="str">
        <x:v>null</x:v>
      </x:c>
      <x:c r="W108" s="9" t="str">
        <x:v>CHEMBL3983684</x:v>
      </x:c>
      <x:c r="X108" s="11" t="n">
        <x:v>5.77</x:v>
      </x:c>
      <x:c r="Y108" s="13" t="n">
        <x:v>0</x:v>
      </x:c>
      <x:c r="Z108" s="9" t="str">
        <x:v>http://www.openphacts.org/units/Nanomolar</x:v>
      </x:c>
      <x:c r="AA108" s="9" t="str">
        <x:v>2796874</x:v>
      </x:c>
      <x:c r="AB108" s="9" t="str">
        <x:v>=</x:v>
      </x:c>
      <x:c r="AC108" s="9" t="str">
        <x:v>1</x:v>
      </x:c>
      <x:c r="AD108" s="13" t="n">
        <x:v>1</x:v>
      </x:c>
      <x:c r="AE108" s="9" t="str">
        <x:v>=</x:v>
      </x:c>
      <x:c r="AF108" s="9" t="str">
        <x:v>null</x:v>
      </x:c>
      <x:c r="AG108" s="9" t="str">
        <x:v>Ki</x:v>
      </x:c>
      <x:c r="AH108" s="9" t="str">
        <x:v>nM</x:v>
      </x:c>
      <x:c r="AI108" s="9" t="str">
        <x:v>null</x:v>
      </x:c>
      <x:c r="AJ108" s="11" t="n">
        <x:v>1698.24</x:v>
      </x:c>
      <x:c r="AK108" s="9" t="str">
        <x:v>CHEMBL217</x:v>
      </x:c>
      <x:c r="AL108" s="9" t="str">
        <x:v>Homo sapiens</x:v>
      </x:c>
      <x:c r="AM108" s="9" t="str">
        <x:v>D(2) dopamine receptor</x:v>
      </x:c>
      <x:c r="AN108" s="9" t="str">
        <x:v>9606</x:v>
      </x:c>
      <x:c r="AO108" s="9" t="str">
        <x:v>null</x:v>
      </x:c>
      <x:c r="AP108" s="9" t="str">
        <x:v>null</x:v>
      </x:c>
      <x:c r="AQ108" s="9" t="str">
        <x:v>pKi</x:v>
      </x:c>
      <x:c r="AR108" s="9" t="str">
        <x:v>null</x:v>
      </x:c>
      <x:c r="AS108" s="9" t="str">
        <x:v>UO_0000065</x:v>
      </x:c>
      <x:c r="AT108" s="9" t="str">
        <x:v>null</x:v>
      </x:c>
      <x:c r="AU108" s="9" t="str">
        <x:v>5.77</x:v>
      </x:c>
      <x:c r="AV108" s="11" t="n">
        <x:v>0.00501</x:v>
      </x:c>
      <x:c r="AW108" s="9" t="str">
        <x:v>include</x:v>
      </x:c>
      <x:c r="AX108" s="9" t="str"/>
      <x:c r="AY108" s="11" t="n">
        <x:v>1698.243652461746</x:v>
      </x:c>
      <x:c r="AZ108" s="9" t="str">
        <x:v>source_reported_pKi</x:v>
      </x:c>
      <x:c r="BA108" s="11" t="n">
        <x:v>5.77</x:v>
      </x:c>
      <x:c r="BB108" s="9" t="str">
        <x:v>1900a1fc3b79024998748dfcf9a4741ef72c6ce432bf7fbfe99fc4707b28d889</x:v>
      </x:c>
      <x:c r="BC108" s="9" t="str">
        <x:v>AWSNADYOKQXJRZ-BTNBVRMJSA-N</x:v>
      </x:c>
      <x:c r="BD108" s="9" t="str">
        <x:v>CN1CCC(c2nnc(SCCCN3CC[C@]4(C[C@@H]4c4ccc(C(F)(F)F)cc4)C3)n2C)CC1=O</x:v>
      </x:c>
      <x:c r="BE108" s="9" t="str">
        <x:v>CN1CCC(c2nnc(SCCCN3CCC4(CC4c4ccc(C(F)(F)F)cc4)C3)n2C)CC1=O</x:v>
      </x:c>
      <x:c r="BF108" s="9" t="str">
        <x:v>CN1CCC(c2nnc(SCCCN3CC[C@]4(C[C@@H]4c4ccc(C(F)(F)F)cc4)C3)n2C)CC1=O</x:v>
      </x:c>
      <x:c r="BG108" s="12" t="n">
        <x:v>9.340507087784999e-7</x:v>
      </x:c>
      <x:c r="BH108" s="11" t="n">
        <x:v>5.770000934050708</x:v>
      </x:c>
      <x:c r="BI108" s="9" t="str">
        <x:v>O=C1CC(c2nnc(SCCCN3CCC4(CC4c4ccccc4)C3)[nH]2)CCN1</x:v>
      </x:c>
      <x:c r="BJ108" s="13" t="n">
        <x:v>1</x:v>
      </x:c>
      <x:c r="BK108" s="11" t="n">
        <x:v>1698.24</x:v>
      </x:c>
      <x:c r="BL108" s="12" t="n">
        <x:v>-0.0036524617460145237</x:v>
      </x:c>
      <x:c r="BM108" s="9" t="str">
        <x:v>false</x:v>
      </x:c>
    </x:row>
  </x:sheetData>
  <x:pageMargins left="0.7" right="0.7" top="0.75" bottom="0.75" header="0.3" footer="0.3"/>
  <x:tableParts count="1">
    <x:tablePart xmlns:r="http://schemas.openxmlformats.org/officeDocument/2006/relationships" r:id="R62ce1b1694ab45e0"/>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17" hidden="0" customWidth="1"/>
    <x:col min="3" max="3" width="22" hidden="0" customWidth="1"/>
    <x:col min="4" max="4" width="25" hidden="0" customWidth="1"/>
    <x:col min="5" max="5" width="25" hidden="0" customWidth="1"/>
    <x:col min="6" max="6" width="17" hidden="0" customWidth="1"/>
    <x:col min="7" max="7" width="30" hidden="0" customWidth="1"/>
    <x:col min="8" max="8" width="20" hidden="0" customWidth="1"/>
    <x:col min="9" max="9" width="27" hidden="0" customWidth="1"/>
  </x:cols>
  <x:sheetData>
    <x:row r="1" ht="48" customHeight="1">
      <x:c r="A1" s="6" t="str">
        <x:v>activity_id</x:v>
      </x:c>
      <x:c r="B1" s="6" t="str">
        <x:v>Source pKi</x:v>
      </x:c>
      <x:c r="C1" s="6" t="str">
        <x:v>Standardized Ki (nM)</x:v>
      </x:c>
      <x:c r="D1" s="6" t="str">
        <x:v>Allowed difference (nM)</x:v>
      </x:c>
      <x:c r="E1" s="6" t="str">
        <x:v>Ki from source pKi (nM)</x:v>
      </x:c>
      <x:c r="F1" s="6" t="str">
        <x:v>Reverse-log pKi</x:v>
      </x:c>
      <x:c r="G1" s="6" t="str">
        <x:v>Reverse-log minus source pKi</x:v>
      </x:c>
      <x:c r="H1" s="6" t="str">
        <x:v>Ki difference (nM)</x:v>
      </x:c>
      <x:c r="I1" s="6" t="str">
        <x:v>Within recorded tolerance</x:v>
      </x:c>
    </x:row>
    <x:row r="2" ht="21" customHeight="1">
      <x:c r="A2" s="9" t="str">
        <x:v>16670133</x:v>
      </x:c>
      <x:c r="B2" s="11" t="n">
        <x:f>'Eligible cohort'!L2</x:f>
        <x:v>6.31</x:v>
      </x:c>
      <x:c r="C2" s="11" t="n">
        <x:f>'Eligible cohort'!N2</x:f>
        <x:v>489.78</x:v>
      </x:c>
      <x:c r="D2" s="11" t="n">
        <x:f>'Eligible cohort'!R2</x:f>
        <x:v>0.00501</x:v>
      </x:c>
      <x:c r="E2" s="11" t="n">
        <x:f>10^(9-B2)</x:f>
        <x:v>489.77881936844665</x:v>
      </x:c>
      <x:c r="F2" s="11" t="n">
        <x:f>9-LOG10(C2)</x:f>
        <x:v>6.30999895311694</x:v>
      </x:c>
      <x:c r="G2" s="12" t="n">
        <x:f>F2-B2</x:f>
        <x:v>-0.0000010468830593524103</x:v>
      </x:c>
      <x:c r="H2" s="12" t="n">
        <x:f>C2-E2</x:f>
        <x:v>0.001180631553324929</x:v>
      </x:c>
      <x:c r="I2" s="9" t="str">
        <x:f>IF(ABS(H2)&lt;=D2,"Yes","No")</x:f>
        <x:v>Yes</x:v>
      </x:c>
    </x:row>
    <x:row r="3" ht="21" customHeight="1">
      <x:c r="A3" s="14" t="str">
        <x:v>16670136</x:v>
      </x:c>
      <x:c r="B3" s="15" t="n">
        <x:f>'Eligible cohort'!L3</x:f>
        <x:v>6.15</x:v>
      </x:c>
      <x:c r="C3" s="15" t="n">
        <x:f>'Eligible cohort'!N3</x:f>
        <x:v>707.95</x:v>
      </x:c>
      <x:c r="D3" s="15" t="n">
        <x:f>'Eligible cohort'!R3</x:f>
        <x:v>0.00501</x:v>
      </x:c>
      <x:c r="E3" s="15" t="n">
        <x:f>10^(9-B3)</x:f>
        <x:v>707.9457843841374</x:v>
      </x:c>
      <x:c r="F3" s="15" t="n">
        <x:f>9-LOG10(C3)</x:f>
        <x:v>6.14999741390754</x:v>
      </x:c>
      <x:c r="G3" s="16" t="n">
        <x:f>F3-B3</x:f>
        <x:v>-0.0000025860924601772695</x:v>
      </x:c>
      <x:c r="H3" s="16" t="n">
        <x:f>C3-E3</x:f>
        <x:v>0.004215615862676714</x:v>
      </x:c>
      <x:c r="I3" s="14" t="str">
        <x:f>IF(ABS(H3)&lt;=D3,"Yes","No")</x:f>
        <x:v>Yes</x:v>
      </x:c>
    </x:row>
    <x:row r="4" ht="21" customHeight="1">
      <x:c r="A4" s="9" t="str">
        <x:v>16670139</x:v>
      </x:c>
      <x:c r="B4" s="11" t="n">
        <x:f>'Eligible cohort'!L4</x:f>
        <x:v>6.1</x:v>
      </x:c>
      <x:c r="C4" s="11" t="n">
        <x:f>'Eligible cohort'!N4</x:f>
        <x:v>794.33</x:v>
      </x:c>
      <x:c r="D4" s="11" t="n">
        <x:f>'Eligible cohort'!R4</x:f>
        <x:v>0.00501</x:v>
      </x:c>
      <x:c r="E4" s="11" t="n">
        <x:f>10^(9-B4)</x:f>
        <x:v>794.3282347242822</x:v>
      </x:c>
      <x:c r="F4" s="11" t="n">
        <x:f>9-LOG10(C4)</x:f>
        <x:v>6.09999903484653</x:v>
      </x:c>
      <x:c r="G4" s="12" t="n">
        <x:f>F4-B4</x:f>
        <x:v>-9.65153470033897e-7</x:v>
      </x:c>
      <x:c r="H4" s="12" t="n">
        <x:f>C4-E4</x:f>
        <x:v>0.001765275717843906</x:v>
      </x:c>
      <x:c r="I4" s="9" t="str">
        <x:f>IF(ABS(H4)&lt;=D4,"Yes","No")</x:f>
        <x:v>Yes</x:v>
      </x:c>
    </x:row>
    <x:row r="5" ht="21" customHeight="1">
      <x:c r="A5" s="14" t="str">
        <x:v>16670142</x:v>
      </x:c>
      <x:c r="B5" s="15" t="n">
        <x:f>'Eligible cohort'!L5</x:f>
        <x:v>6.2</x:v>
      </x:c>
      <x:c r="C5" s="15" t="n">
        <x:f>'Eligible cohort'!N5</x:f>
        <x:v>630.96</x:v>
      </x:c>
      <x:c r="D5" s="15" t="n">
        <x:f>'Eligible cohort'!R5</x:f>
        <x:v>0.00501</x:v>
      </x:c>
      <x:c r="E5" s="15" t="n">
        <x:f>10^(9-B5)</x:f>
        <x:v>630.957344480193</x:v>
      </x:c>
      <x:c r="F5" s="15" t="n">
        <x:f>9-LOG10(C5)</x:f>
        <x:v>6.199998172182029</x:v>
      </x:c>
      <x:c r="G5" s="16" t="n">
        <x:f>F5-B5</x:f>
        <x:v>-0.0000018278179707564846</x:v>
      </x:c>
      <x:c r="H5" s="16" t="n">
        <x:f>C5-E5</x:f>
        <x:v>0.002655519807035489</x:v>
      </x:c>
      <x:c r="I5" s="14" t="str">
        <x:f>IF(ABS(H5)&lt;=D5,"Yes","No")</x:f>
        <x:v>Yes</x:v>
      </x:c>
    </x:row>
    <x:row r="6" ht="21" customHeight="1">
      <x:c r="A6" s="9" t="str">
        <x:v>16670148</x:v>
      </x:c>
      <x:c r="B6" s="11" t="n">
        <x:f>'Eligible cohort'!L6</x:f>
        <x:v>6.1</x:v>
      </x:c>
      <x:c r="C6" s="11" t="n">
        <x:f>'Eligible cohort'!N6</x:f>
        <x:v>794.33</x:v>
      </x:c>
      <x:c r="D6" s="11" t="n">
        <x:f>'Eligible cohort'!R6</x:f>
        <x:v>0.00501</x:v>
      </x:c>
      <x:c r="E6" s="11" t="n">
        <x:f>10^(9-B6)</x:f>
        <x:v>794.3282347242822</x:v>
      </x:c>
      <x:c r="F6" s="11" t="n">
        <x:f>9-LOG10(C6)</x:f>
        <x:v>6.09999903484653</x:v>
      </x:c>
      <x:c r="G6" s="12" t="n">
        <x:f>F6-B6</x:f>
        <x:v>-9.65153470033897e-7</x:v>
      </x:c>
      <x:c r="H6" s="12" t="n">
        <x:f>C6-E6</x:f>
        <x:v>0.001765275717843906</x:v>
      </x:c>
      <x:c r="I6" s="9" t="str">
        <x:f>IF(ABS(H6)&lt;=D6,"Yes","No")</x:f>
        <x:v>Yes</x:v>
      </x:c>
    </x:row>
    <x:row r="7" ht="21" customHeight="1">
      <x:c r="A7" s="14" t="str">
        <x:v>16670149</x:v>
      </x:c>
      <x:c r="B7" s="15" t="n">
        <x:f>'Eligible cohort'!L7</x:f>
        <x:v>6.28</x:v>
      </x:c>
      <x:c r="C7" s="15" t="n">
        <x:f>'Eligible cohort'!N7</x:f>
        <x:v>524.81</x:v>
      </x:c>
      <x:c r="D7" s="15" t="n">
        <x:f>'Eligible cohort'!R7</x:f>
        <x:v>0.00501</x:v>
      </x:c>
      <x:c r="E7" s="15" t="n">
        <x:f>10^(9-B7)</x:f>
        <x:v>524.8074602497722</x:v>
      </x:c>
      <x:c r="F7" s="15" t="n">
        <x:f>9-LOG10(C7)</x:f>
        <x:v>6.279997898282851</x:v>
      </x:c>
      <x:c r="G7" s="16" t="n">
        <x:f>F7-B7</x:f>
        <x:v>-0.0000021017171496495735</x:v>
      </x:c>
      <x:c r="H7" s="16" t="n">
        <x:f>C7-E7</x:f>
        <x:v>0.0025397502276973682</x:v>
      </x:c>
      <x:c r="I7" s="14" t="str">
        <x:f>IF(ABS(H7)&lt;=D7,"Yes","No")</x:f>
        <x:v>Yes</x:v>
      </x:c>
    </x:row>
    <x:row r="8" ht="21" customHeight="1">
      <x:c r="A8" s="9" t="str">
        <x:v>16670150</x:v>
      </x:c>
      <x:c r="B8" s="11" t="n">
        <x:f>'Eligible cohort'!L8</x:f>
        <x:v>6.01</x:v>
      </x:c>
      <x:c r="C8" s="11" t="n">
        <x:f>'Eligible cohort'!N8</x:f>
        <x:v>977.24</x:v>
      </x:c>
      <x:c r="D8" s="11" t="n">
        <x:f>'Eligible cohort'!R8</x:f>
        <x:v>0.00501</x:v>
      </x:c>
      <x:c r="E8" s="11" t="n">
        <x:f>10^(9-B8)</x:f>
        <x:v>977.2372209558112</x:v>
      </x:c>
      <x:c r="F8" s="11" t="n">
        <x:f>9-LOG10(C8)</x:f>
        <x:v>6.00999876496534</x:v>
      </x:c>
      <x:c r="G8" s="12" t="n">
        <x:f>F8-B8</x:f>
        <x:v>-0.0000012350346594303119</x:v>
      </x:c>
      <x:c r="H8" s="12" t="n">
        <x:f>C8-E8</x:f>
        <x:v>0.0027790441888555506</x:v>
      </x:c>
      <x:c r="I8" s="9" t="str">
        <x:f>IF(ABS(H8)&lt;=D8,"Yes","No")</x:f>
        <x:v>Yes</x:v>
      </x:c>
    </x:row>
    <x:row r="9" ht="21" customHeight="1">
      <x:c r="A9" s="14" t="str">
        <x:v>16670153</x:v>
      </x:c>
      <x:c r="B9" s="15" t="n">
        <x:f>'Eligible cohort'!L9</x:f>
        <x:v>7.2</x:v>
      </x:c>
      <x:c r="C9" s="15" t="n">
        <x:f>'Eligible cohort'!N9</x:f>
        <x:v>63.1</x:v>
      </x:c>
      <x:c r="D9" s="15" t="n">
        <x:f>'Eligible cohort'!R9</x:f>
        <x:v>0.00501</x:v>
      </x:c>
      <x:c r="E9" s="15" t="n">
        <x:f>10^(9-B9)</x:f>
        <x:v>63.0957344480193</x:v>
      </x:c>
      <x:c r="F9" s="15" t="n">
        <x:f>9-LOG10(C9)</x:f>
        <x:v>7.19997064075587</x:v>
      </x:c>
      <x:c r="G9" s="16" t="n">
        <x:f>F9-B9</x:f>
        <x:v>-0.000029359244130056084</x:v>
      </x:c>
      <x:c r="H9" s="16" t="n">
        <x:f>C9-E9</x:f>
        <x:v>0.004265551980701332</x:v>
      </x:c>
      <x:c r="I9" s="14" t="str">
        <x:f>IF(ABS(H9)&lt;=D9,"Yes","No")</x:f>
        <x:v>Yes</x:v>
      </x:c>
    </x:row>
    <x:row r="10" ht="21" customHeight="1">
      <x:c r="A10" s="9" t="str">
        <x:v>16670154</x:v>
      </x:c>
      <x:c r="B10" s="11" t="n">
        <x:f>'Eligible cohort'!L10</x:f>
        <x:v>5.8</x:v>
      </x:c>
      <x:c r="C10" s="11" t="n">
        <x:f>'Eligible cohort'!N10</x:f>
        <x:v>1584.89</x:v>
      </x:c>
      <x:c r="D10" s="11" t="n">
        <x:f>'Eligible cohort'!R10</x:f>
        <x:v>0.00501</x:v>
      </x:c>
      <x:c r="E10" s="11" t="n">
        <x:f>10^(9-B10)</x:f>
        <x:v>1584.893192461114</x:v>
      </x:c>
      <x:c r="F10" s="11" t="n">
        <x:f>9-LOG10(C10)</x:f>
        <x:v>5.8000008748031995</x:v>
      </x:c>
      <x:c r="G10" s="12" t="n">
        <x:f>F10-B10</x:f>
        <x:v>8.748031996574923e-7</x:v>
      </x:c>
      <x:c r="H10" s="12" t="n">
        <x:f>C10-E10</x:f>
        <x:v>-0.003192461113940226</x:v>
      </x:c>
      <x:c r="I10" s="9" t="str">
        <x:f>IF(ABS(H10)&lt;=D10,"Yes","No")</x:f>
        <x:v>Yes</x:v>
      </x:c>
    </x:row>
    <x:row r="11" ht="21" customHeight="1">
      <x:c r="A11" s="14" t="str">
        <x:v>16670157</x:v>
      </x:c>
      <x:c r="B11" s="15" t="n">
        <x:f>'Eligible cohort'!L11</x:f>
        <x:v>6.1</x:v>
      </x:c>
      <x:c r="C11" s="15" t="n">
        <x:f>'Eligible cohort'!N11</x:f>
        <x:v>794.33</x:v>
      </x:c>
      <x:c r="D11" s="15" t="n">
        <x:f>'Eligible cohort'!R11</x:f>
        <x:v>0.00501</x:v>
      </x:c>
      <x:c r="E11" s="15" t="n">
        <x:f>10^(9-B11)</x:f>
        <x:v>794.3282347242822</x:v>
      </x:c>
      <x:c r="F11" s="15" t="n">
        <x:f>9-LOG10(C11)</x:f>
        <x:v>6.09999903484653</x:v>
      </x:c>
      <x:c r="G11" s="16" t="n">
        <x:f>F11-B11</x:f>
        <x:v>-9.65153470033897e-7</x:v>
      </x:c>
      <x:c r="H11" s="16" t="n">
        <x:f>C11-E11</x:f>
        <x:v>0.001765275717843906</x:v>
      </x:c>
      <x:c r="I11" s="14" t="str">
        <x:f>IF(ABS(H11)&lt;=D11,"Yes","No")</x:f>
        <x:v>Yes</x:v>
      </x:c>
    </x:row>
    <x:row r="12" ht="21" customHeight="1">
      <x:c r="A12" s="9" t="str">
        <x:v>16670160</x:v>
      </x:c>
      <x:c r="B12" s="11" t="n">
        <x:f>'Eligible cohort'!L12</x:f>
        <x:v>6.62</x:v>
      </x:c>
      <x:c r="C12" s="11" t="n">
        <x:f>'Eligible cohort'!N12</x:f>
        <x:v>239.88</x:v>
      </x:c>
      <x:c r="D12" s="11" t="n">
        <x:f>'Eligible cohort'!R12</x:f>
        <x:v>0.00501</x:v>
      </x:c>
      <x:c r="E12" s="11" t="n">
        <x:f>10^(9-B12)</x:f>
        <x:v>239.88329190194898</x:v>
      </x:c>
      <x:c r="F12" s="11" t="n">
        <x:f>9-LOG10(C12)</x:f>
        <x:v>6.62000595983426</x:v>
      </x:c>
      <x:c r="G12" s="12" t="n">
        <x:f>F12-B12</x:f>
        <x:v>0.000005959834259883223</x:v>
      </x:c>
      <x:c r="H12" s="12" t="n">
        <x:f>C12-E12</x:f>
        <x:v>-0.0032919019489838774</x:v>
      </x:c>
      <x:c r="I12" s="9" t="str">
        <x:f>IF(ABS(H12)&lt;=D12,"Yes","No")</x:f>
        <x:v>Yes</x:v>
      </x:c>
    </x:row>
    <x:row r="13" ht="21" customHeight="1">
      <x:c r="A13" s="14" t="str">
        <x:v>16670163</x:v>
      </x:c>
      <x:c r="B13" s="15" t="n">
        <x:f>'Eligible cohort'!L13</x:f>
        <x:v>6.02</x:v>
      </x:c>
      <x:c r="C13" s="15" t="n">
        <x:f>'Eligible cohort'!N13</x:f>
        <x:v>954.99</x:v>
      </x:c>
      <x:c r="D13" s="15" t="n">
        <x:f>'Eligible cohort'!R13</x:f>
        <x:v>0.00501</x:v>
      </x:c>
      <x:c r="E13" s="15" t="n">
        <x:f>10^(9-B13)</x:f>
        <x:v>954.9925860214369</x:v>
      </x:c>
      <x:c r="F13" s="15" t="n">
        <x:f>9-LOG10(C13)</x:f>
        <x:v>6.02000117602626</x:v>
      </x:c>
      <x:c r="G13" s="16" t="n">
        <x:f>F13-B13</x:f>
        <x:v>0.0000011760262603743854</x:v>
      </x:c>
      <x:c r="H13" s="16" t="n">
        <x:f>C13-E13</x:f>
        <x:v>-0.002586021436854935</x:v>
      </x:c>
      <x:c r="I13" s="14" t="str">
        <x:f>IF(ABS(H13)&lt;=D13,"Yes","No")</x:f>
        <x:v>Yes</x:v>
      </x:c>
    </x:row>
    <x:row r="14" ht="21" customHeight="1">
      <x:c r="A14" s="9" t="str">
        <x:v>16670166</x:v>
      </x:c>
      <x:c r="B14" s="11" t="n">
        <x:f>'Eligible cohort'!L14</x:f>
        <x:v>6.59</x:v>
      </x:c>
      <x:c r="C14" s="11" t="n">
        <x:f>'Eligible cohort'!N14</x:f>
        <x:v>257.04</x:v>
      </x:c>
      <x:c r="D14" s="11" t="n">
        <x:f>'Eligible cohort'!R14</x:f>
        <x:v>0.00501</x:v>
      </x:c>
      <x:c r="E14" s="11" t="n">
        <x:f>10^(9-B14)</x:f>
        <x:v>257.03957827688646</x:v>
      </x:c>
      <x:c r="F14" s="11" t="n">
        <x:f>9-LOG10(C14)</x:f>
        <x:v>6.58999928745654</x:v>
      </x:c>
      <x:c r="G14" s="12" t="n">
        <x:f>F14-B14</x:f>
        <x:v>-7.12543459790993e-7</x:v>
      </x:c>
      <x:c r="H14" s="12" t="n">
        <x:f>C14-E14</x:f>
        <x:v>0.00042172311356125647</x:v>
      </x:c>
      <x:c r="I14" s="9" t="str">
        <x:f>IF(ABS(H14)&lt;=D14,"Yes","No")</x:f>
        <x:v>Yes</x:v>
      </x:c>
    </x:row>
    <x:row r="15" ht="21" customHeight="1">
      <x:c r="A15" s="14" t="str">
        <x:v>16670169</x:v>
      </x:c>
      <x:c r="B15" s="15" t="n">
        <x:f>'Eligible cohort'!L15</x:f>
        <x:v>6.01</x:v>
      </x:c>
      <x:c r="C15" s="15" t="n">
        <x:f>'Eligible cohort'!N15</x:f>
        <x:v>977.24</x:v>
      </x:c>
      <x:c r="D15" s="15" t="n">
        <x:f>'Eligible cohort'!R15</x:f>
        <x:v>0.00501</x:v>
      </x:c>
      <x:c r="E15" s="15" t="n">
        <x:f>10^(9-B15)</x:f>
        <x:v>977.2372209558112</x:v>
      </x:c>
      <x:c r="F15" s="15" t="n">
        <x:f>9-LOG10(C15)</x:f>
        <x:v>6.00999876496534</x:v>
      </x:c>
      <x:c r="G15" s="16" t="n">
        <x:f>F15-B15</x:f>
        <x:v>-0.0000012350346594303119</x:v>
      </x:c>
      <x:c r="H15" s="16" t="n">
        <x:f>C15-E15</x:f>
        <x:v>0.0027790441888555506</x:v>
      </x:c>
      <x:c r="I15" s="14" t="str">
        <x:f>IF(ABS(H15)&lt;=D15,"Yes","No")</x:f>
        <x:v>Yes</x:v>
      </x:c>
    </x:row>
    <x:row r="16" ht="21" customHeight="1">
      <x:c r="A16" s="9" t="str">
        <x:v>16670172</x:v>
      </x:c>
      <x:c r="B16" s="11" t="n">
        <x:f>'Eligible cohort'!L16</x:f>
        <x:v>6.65</x:v>
      </x:c>
      <x:c r="C16" s="11" t="n">
        <x:f>'Eligible cohort'!N16</x:f>
        <x:v>223.87</x:v>
      </x:c>
      <x:c r="D16" s="11" t="n">
        <x:f>'Eligible cohort'!R16</x:f>
        <x:v>0.00501</x:v>
      </x:c>
      <x:c r="E16" s="11" t="n">
        <x:f>10^(9-B16)</x:f>
        <x:v>223.87211385683378</x:v>
      </x:c>
      <x:c r="F16" s="11" t="n">
        <x:f>9-LOG10(C16)</x:f>
        <x:v>6.65000410073714</x:v>
      </x:c>
      <x:c r="G16" s="12" t="n">
        <x:f>F16-B16</x:f>
        <x:v>0.000004100737140078081</x:v>
      </x:c>
      <x:c r="H16" s="12" t="n">
        <x:f>C16-E16</x:f>
        <x:v>-0.0021138568337732977</x:v>
      </x:c>
      <x:c r="I16" s="9" t="str">
        <x:f>IF(ABS(H16)&lt;=D16,"Yes","No")</x:f>
        <x:v>Yes</x:v>
      </x:c>
    </x:row>
    <x:row r="17" ht="21" customHeight="1">
      <x:c r="A17" s="14" t="str">
        <x:v>16670173</x:v>
      </x:c>
      <x:c r="B17" s="15" t="n">
        <x:f>'Eligible cohort'!L17</x:f>
        <x:v>6.78</x:v>
      </x:c>
      <x:c r="C17" s="15" t="n">
        <x:f>'Eligible cohort'!N17</x:f>
        <x:v>165.96</x:v>
      </x:c>
      <x:c r="D17" s="15" t="n">
        <x:f>'Eligible cohort'!R17</x:f>
        <x:v>0.00501</x:v>
      </x:c>
      <x:c r="E17" s="15" t="n">
        <x:f>10^(9-B17)</x:f>
        <x:v>165.95869074375597</x:v>
      </x:c>
      <x:c r="F17" s="15" t="n">
        <x:f>9-LOG10(C17)</x:f>
        <x:v>6.77999657384306</x:v>
      </x:c>
      <x:c r="G17" s="16" t="n">
        <x:f>F17-B17</x:f>
        <x:v>-0.0000034261569403781778</x:v>
      </x:c>
      <x:c r="H17" s="16" t="n">
        <x:f>C17-E17</x:f>
        <x:v>0.0013092562440419897</x:v>
      </x:c>
      <x:c r="I17" s="14" t="str">
        <x:f>IF(ABS(H17)&lt;=D17,"Yes","No")</x:f>
        <x:v>Yes</x:v>
      </x:c>
    </x:row>
    <x:row r="18" ht="21" customHeight="1">
      <x:c r="A18" s="9" t="str">
        <x:v>16670174</x:v>
      </x:c>
      <x:c r="B18" s="11" t="n">
        <x:f>'Eligible cohort'!L18</x:f>
        <x:v>5.66</x:v>
      </x:c>
      <x:c r="C18" s="11" t="n">
        <x:f>'Eligible cohort'!N18</x:f>
        <x:v>2187.76</x:v>
      </x:c>
      <x:c r="D18" s="11" t="n">
        <x:f>'Eligible cohort'!R18</x:f>
        <x:v>0.00501</x:v>
      </x:c>
      <x:c r="E18" s="11" t="n">
        <x:f>10^(9-B18)</x:f>
        <x:v>2187.761623949552</x:v>
      </x:c>
      <x:c r="F18" s="11" t="n">
        <x:f>9-LOG10(C18)</x:f>
        <x:v>5.66000032237177</x:v>
      </x:c>
      <x:c r="G18" s="12" t="n">
        <x:f>F18-B18</x:f>
        <x:v>3.2237177016725127e-7</x:v>
      </x:c>
      <x:c r="H18" s="12" t="n">
        <x:f>C18-E18</x:f>
        <x:v>-0.001623949551685655</x:v>
      </x:c>
      <x:c r="I18" s="9" t="str">
        <x:f>IF(ABS(H18)&lt;=D18,"Yes","No")</x:f>
        <x:v>Yes</x:v>
      </x:c>
    </x:row>
    <x:row r="19" ht="21" customHeight="1">
      <x:c r="A19" s="14" t="str">
        <x:v>16670175</x:v>
      </x:c>
      <x:c r="B19" s="15" t="n">
        <x:f>'Eligible cohort'!L19</x:f>
        <x:v>5.42</x:v>
      </x:c>
      <x:c r="C19" s="15" t="n">
        <x:f>'Eligible cohort'!N19</x:f>
        <x:v>3801.89</x:v>
      </x:c>
      <x:c r="D19" s="15" t="n">
        <x:f>'Eligible cohort'!R19</x:f>
        <x:v>0.00501</x:v>
      </x:c>
      <x:c r="E19" s="15" t="n">
        <x:f>10^(9-B19)</x:f>
        <x:v>3801.8939632056126</x:v>
      </x:c>
      <x:c r="F19" s="15" t="n">
        <x:f>9-LOG10(C19)</x:f>
        <x:v>5.420000452721521</x:v>
      </x:c>
      <x:c r="G19" s="16" t="n">
        <x:f>F19-B19</x:f>
        <x:v>4.5272152071618166e-7</x:v>
      </x:c>
      <x:c r="H19" s="16" t="n">
        <x:f>C19-E19</x:f>
        <x:v>-0.003963205612762977</x:v>
      </x:c>
      <x:c r="I19" s="14" t="str">
        <x:f>IF(ABS(H19)&lt;=D19,"Yes","No")</x:f>
        <x:v>Yes</x:v>
      </x:c>
    </x:row>
    <x:row r="20" ht="21" customHeight="1">
      <x:c r="A20" s="9" t="str">
        <x:v>16670176</x:v>
      </x:c>
      <x:c r="B20" s="11" t="n">
        <x:f>'Eligible cohort'!L20</x:f>
        <x:v>5.89</x:v>
      </x:c>
      <x:c r="C20" s="11" t="n">
        <x:f>'Eligible cohort'!N20</x:f>
        <x:v>1288.25</x:v>
      </x:c>
      <x:c r="D20" s="11" t="n">
        <x:f>'Eligible cohort'!R20</x:f>
        <x:v>0.00501</x:v>
      </x:c>
      <x:c r="E20" s="11" t="n">
        <x:f>10^(9-B20)</x:f>
        <x:v>1288.249551693135</x:v>
      </x:c>
      <x:c r="F20" s="11" t="n">
        <x:f>9-LOG10(C20)</x:f>
        <x:v>5.88999984886689</x:v>
      </x:c>
      <x:c r="G20" s="12" t="n">
        <x:f>F20-B20</x:f>
        <x:v>-1.5113310958270176e-7</x:v>
      </x:c>
      <x:c r="H20" s="12" t="n">
        <x:f>C20-E20</x:f>
        <x:v>0.000448306865109771</x:v>
      </x:c>
      <x:c r="I20" s="9" t="str">
        <x:f>IF(ABS(H20)&lt;=D20,"Yes","No")</x:f>
        <x:v>Yes</x:v>
      </x:c>
    </x:row>
    <x:row r="21" ht="21" customHeight="1">
      <x:c r="A21" s="14" t="str">
        <x:v>16670177</x:v>
      </x:c>
      <x:c r="B21" s="15" t="n">
        <x:f>'Eligible cohort'!L21</x:f>
        <x:v>5.76</x:v>
      </x:c>
      <x:c r="C21" s="15" t="n">
        <x:f>'Eligible cohort'!N21</x:f>
        <x:v>1737.8</x:v>
      </x:c>
      <x:c r="D21" s="15" t="n">
        <x:f>'Eligible cohort'!R21</x:f>
        <x:v>0.00501</x:v>
      </x:c>
      <x:c r="E21" s="15" t="n">
        <x:f>10^(9-B21)</x:f>
        <x:v>1737.8008287493763</x:v>
      </x:c>
      <x:c r="F21" s="15" t="n">
        <x:f>9-LOG10(C21)</x:f>
        <x:v>5.76000020711313</x:v>
      </x:c>
      <x:c r="G21" s="16" t="n">
        <x:f>F21-B21</x:f>
        <x:v>2.0711313020171929e-7</x:v>
      </x:c>
      <x:c r="H21" s="16" t="n">
        <x:f>C21-E21</x:f>
        <x:v>-0.0008287493762964004</x:v>
      </x:c>
      <x:c r="I21" s="14" t="str">
        <x:f>IF(ABS(H21)&lt;=D21,"Yes","No")</x:f>
        <x:v>Yes</x:v>
      </x:c>
    </x:row>
    <x:row r="22" ht="21" customHeight="1">
      <x:c r="A22" s="9" t="str">
        <x:v>16670178</x:v>
      </x:c>
      <x:c r="B22" s="11" t="n">
        <x:f>'Eligible cohort'!L22</x:f>
        <x:v>7.18</x:v>
      </x:c>
      <x:c r="C22" s="11" t="n">
        <x:f>'Eligible cohort'!N22</x:f>
        <x:v>66.07</x:v>
      </x:c>
      <x:c r="D22" s="11" t="n">
        <x:f>'Eligible cohort'!R22</x:f>
        <x:v>0.00501</x:v>
      </x:c>
      <x:c r="E22" s="11" t="n">
        <x:f>10^(9-B22)</x:f>
        <x:v>66.06934480075964</x:v>
      </x:c>
      <x:c r="F22" s="11" t="n">
        <x:f>9-LOG10(C22)</x:f>
        <x:v>7.17999569319168</x:v>
      </x:c>
      <x:c r="G22" s="12" t="n">
        <x:f>F22-B22</x:f>
        <x:v>-0.000004306808319753941</x:v>
      </x:c>
      <x:c r="H22" s="12" t="n">
        <x:f>C22-E22</x:f>
        <x:v>0.0006551992403558415</x:v>
      </x:c>
      <x:c r="I22" s="9" t="str">
        <x:f>IF(ABS(H22)&lt;=D22,"Yes","No")</x:f>
        <x:v>Yes</x:v>
      </x:c>
    </x:row>
    <x:row r="23" ht="21" customHeight="1">
      <x:c r="A23" s="14" t="str">
        <x:v>16670179</x:v>
      </x:c>
      <x:c r="B23" s="15" t="n">
        <x:f>'Eligible cohort'!L23</x:f>
        <x:v>7.21</x:v>
      </x:c>
      <x:c r="C23" s="15" t="n">
        <x:f>'Eligible cohort'!N23</x:f>
        <x:v>61.66</x:v>
      </x:c>
      <x:c r="D23" s="15" t="n">
        <x:f>'Eligible cohort'!R23</x:f>
        <x:v>0.00501</x:v>
      </x:c>
      <x:c r="E23" s="15" t="n">
        <x:f>10^(9-B23)</x:f>
        <x:v>61.65950018614822</x:v>
      </x:c>
      <x:c r="F23" s="15" t="n">
        <x:f>9-LOG10(C23)</x:f>
        <x:v>7.20999647960951</x:v>
      </x:c>
      <x:c r="G23" s="16" t="n">
        <x:f>F23-B23</x:f>
        <x:v>-0.0000035203904902303407</x:v>
      </x:c>
      <x:c r="H23" s="16" t="n">
        <x:f>C23-E23</x:f>
        <x:v>0.0004998138517748885</x:v>
      </x:c>
      <x:c r="I23" s="14" t="str">
        <x:f>IF(ABS(H23)&lt;=D23,"Yes","No")</x:f>
        <x:v>Yes</x:v>
      </x:c>
    </x:row>
    <x:row r="24" ht="21" customHeight="1">
      <x:c r="A24" s="9" t="str">
        <x:v>16670256</x:v>
      </x:c>
      <x:c r="B24" s="11" t="n">
        <x:f>'Eligible cohort'!L24</x:f>
        <x:v>5.91</x:v>
      </x:c>
      <x:c r="C24" s="11" t="n">
        <x:f>'Eligible cohort'!N24</x:f>
        <x:v>1230.27</x:v>
      </x:c>
      <x:c r="D24" s="11" t="n">
        <x:f>'Eligible cohort'!R24</x:f>
        <x:v>0.00501</x:v>
      </x:c>
      <x:c r="E24" s="11" t="n">
        <x:f>10^(9-B24)</x:f>
        <x:v>1230.268770812381</x:v>
      </x:c>
      <x:c r="F24" s="11" t="n">
        <x:f>9-LOG10(C24)</x:f>
        <x:v>5.909999566087389</x:v>
      </x:c>
      <x:c r="G24" s="12" t="n">
        <x:f>F24-B24</x:f>
        <x:v>-4.339126107311131e-7</x:v>
      </x:c>
      <x:c r="H24" s="12" t="n">
        <x:f>C24-E24</x:f>
        <x:v>0.0012291876189465256</x:v>
      </x:c>
      <x:c r="I24" s="9" t="str">
        <x:f>IF(ABS(H24)&lt;=D24,"Yes","No")</x:f>
        <x:v>Yes</x:v>
      </x:c>
    </x:row>
    <x:row r="25" ht="21" customHeight="1">
      <x:c r="A25" s="14" t="str">
        <x:v>16670257</x:v>
      </x:c>
      <x:c r="B25" s="15" t="n">
        <x:f>'Eligible cohort'!L25</x:f>
        <x:v>5.79</x:v>
      </x:c>
      <x:c r="C25" s="15" t="n">
        <x:f>'Eligible cohort'!N25</x:f>
        <x:v>1621.81</x:v>
      </x:c>
      <x:c r="D25" s="15" t="n">
        <x:f>'Eligible cohort'!R25</x:f>
        <x:v>0.00501</x:v>
      </x:c>
      <x:c r="E25" s="15" t="n">
        <x:f>10^(9-B25)</x:f>
        <x:v>1621.8100973589299</x:v>
      </x:c>
      <x:c r="F25" s="15" t="n">
        <x:f>9-LOG10(C25)</x:f>
        <x:v>5.79000002607115</x:v>
      </x:c>
      <x:c r="G25" s="16" t="n">
        <x:f>F25-B25</x:f>
        <x:v>2.6071149683559725e-8</x:v>
      </x:c>
      <x:c r="H25" s="16" t="n">
        <x:f>C25-E25</x:f>
        <x:v>-0.00009735892990647699</x:v>
      </x:c>
      <x:c r="I25" s="14" t="str">
        <x:f>IF(ABS(H25)&lt;=D25,"Yes","No")</x:f>
        <x:v>Yes</x:v>
      </x:c>
    </x:row>
    <x:row r="26" ht="21" customHeight="1">
      <x:c r="A26" s="9" t="str">
        <x:v>16670258</x:v>
      </x:c>
      <x:c r="B26" s="11" t="n">
        <x:f>'Eligible cohort'!L26</x:f>
        <x:v>6.33</x:v>
      </x:c>
      <x:c r="C26" s="11" t="n">
        <x:f>'Eligible cohort'!N26</x:f>
        <x:v>467.74</x:v>
      </x:c>
      <x:c r="D26" s="11" t="n">
        <x:f>'Eligible cohort'!R26</x:f>
        <x:v>0.00501</x:v>
      </x:c>
      <x:c r="E26" s="11" t="n">
        <x:f>10^(9-B26)</x:f>
        <x:v>467.73514128719813</x:v>
      </x:c>
      <x:c r="F26" s="11" t="n">
        <x:f>9-LOG10(C26)</x:f>
        <x:v>6.32999548868363</x:v>
      </x:c>
      <x:c r="G26" s="12" t="n">
        <x:f>F26-B26</x:f>
        <x:v>-0.000004511316370248153</x:v>
      </x:c>
      <x:c r="H26" s="12" t="n">
        <x:f>C26-E26</x:f>
        <x:v>0.0048587128018766634</x:v>
      </x:c>
      <x:c r="I26" s="9" t="str">
        <x:f>IF(ABS(H26)&lt;=D26,"Yes","No")</x:f>
        <x:v>Yes</x:v>
      </x:c>
    </x:row>
    <x:row r="27" ht="21" customHeight="1">
      <x:c r="A27" s="14" t="str">
        <x:v>16670259</x:v>
      </x:c>
      <x:c r="B27" s="15" t="n">
        <x:f>'Eligible cohort'!L27</x:f>
        <x:v>6.37</x:v>
      </x:c>
      <x:c r="C27" s="15" t="n">
        <x:f>'Eligible cohort'!N27</x:f>
        <x:v>426.58</x:v>
      </x:c>
      <x:c r="D27" s="15" t="n">
        <x:f>'Eligible cohort'!R27</x:f>
        <x:v>0.00501</x:v>
      </x:c>
      <x:c r="E27" s="15" t="n">
        <x:f>10^(9-B27)</x:f>
        <x:v>426.57951880159254</x:v>
      </x:c>
      <x:c r="F27" s="15" t="n">
        <x:f>9-LOG10(C27)</x:f>
        <x:v>6.36999951009909</x:v>
      </x:c>
      <x:c r="G27" s="16" t="n">
        <x:f>F27-B27</x:f>
        <x:v>-4.899009100611806e-7</x:v>
      </x:c>
      <x:c r="H27" s="16" t="n">
        <x:f>C27-E27</x:f>
        <x:v>0.0004811984074422071</x:v>
      </x:c>
      <x:c r="I27" s="14" t="str">
        <x:f>IF(ABS(H27)&lt;=D27,"Yes","No")</x:f>
        <x:v>Yes</x:v>
      </x:c>
    </x:row>
    <x:row r="28" ht="21" customHeight="1">
      <x:c r="A28" s="9" t="str">
        <x:v>16670260</x:v>
      </x:c>
      <x:c r="B28" s="11" t="n">
        <x:f>'Eligible cohort'!L28</x:f>
        <x:v>6.93</x:v>
      </x:c>
      <x:c r="C28" s="11" t="n">
        <x:f>'Eligible cohort'!N28</x:f>
        <x:v>117.49</x:v>
      </x:c>
      <x:c r="D28" s="11" t="n">
        <x:f>'Eligible cohort'!R28</x:f>
        <x:v>0.00501</x:v>
      </x:c>
      <x:c r="E28" s="11" t="n">
        <x:f>10^(9-B28)</x:f>
        <x:v>117.48975549395303</x:v>
      </x:c>
      <x:c r="F28" s="11" t="n">
        <x:f>9-LOG10(C28)</x:f>
        <x:v>6.92999909619766</x:v>
      </x:c>
      <x:c r="G28" s="12" t="n">
        <x:f>F28-B28</x:f>
        <x:v>-9.038023396357175e-7</x:v>
      </x:c>
      <x:c r="H28" s="12" t="n">
        <x:f>C28-E28</x:f>
        <x:v>0.0002445060469682403</x:v>
      </x:c>
      <x:c r="I28" s="9" t="str">
        <x:f>IF(ABS(H28)&lt;=D28,"Yes","No")</x:f>
        <x:v>Yes</x:v>
      </x:c>
    </x:row>
    <x:row r="29" ht="21" customHeight="1">
      <x:c r="A29" s="14" t="str">
        <x:v>16670261</x:v>
      </x:c>
      <x:c r="B29" s="15" t="n">
        <x:f>'Eligible cohort'!L29</x:f>
        <x:v>6.89</x:v>
      </x:c>
      <x:c r="C29" s="15" t="n">
        <x:f>'Eligible cohort'!N29</x:f>
        <x:v>128.82</x:v>
      </x:c>
      <x:c r="D29" s="15" t="n">
        <x:f>'Eligible cohort'!R29</x:f>
        <x:v>0.00501</x:v>
      </x:c>
      <x:c r="E29" s="15" t="n">
        <x:f>10^(9-B29)</x:f>
        <x:v>128.82495516931348</x:v>
      </x:c>
      <x:c r="F29" s="15" t="n">
        <x:f>9-LOG10(C29)</x:f>
        <x:v>6.89001670518011</x:v>
      </x:c>
      <x:c r="G29" s="16" t="n">
        <x:f>F29-B29</x:f>
        <x:v>0.000016705180110321294</x:v>
      </x:c>
      <x:c r="H29" s="16" t="n">
        <x:f>C29-E29</x:f>
        <x:v>-0.00495516931349016</x:v>
      </x:c>
      <x:c r="I29" s="14" t="str">
        <x:f>IF(ABS(H29)&lt;=D29,"Yes","No")</x:f>
        <x:v>Yes</x:v>
      </x:c>
    </x:row>
    <x:row r="30" ht="21" customHeight="1">
      <x:c r="A30" s="9" t="str">
        <x:v>16670262</x:v>
      </x:c>
      <x:c r="B30" s="11" t="n">
        <x:f>'Eligible cohort'!L30</x:f>
        <x:v>6.46</x:v>
      </x:c>
      <x:c r="C30" s="11" t="n">
        <x:f>'Eligible cohort'!N30</x:f>
        <x:v>346.74</x:v>
      </x:c>
      <x:c r="D30" s="11" t="n">
        <x:f>'Eligible cohort'!R30</x:f>
        <x:v>0.00501</x:v>
      </x:c>
      <x:c r="E30" s="11" t="n">
        <x:f>10^(9-B30)</x:f>
        <x:v>346.73685045253166</x:v>
      </x:c>
      <x:c r="F30" s="11" t="n">
        <x:f>9-LOG10(C30)</x:f>
        <x:v>6.45999605514997</x:v>
      </x:c>
      <x:c r="G30" s="12" t="n">
        <x:f>F30-B30</x:f>
        <x:v>-0.00000394485002974676</x:v>
      </x:c>
      <x:c r="H30" s="12" t="n">
        <x:f>C30-E30</x:f>
        <x:v>0.0031495474683538305</x:v>
      </x:c>
      <x:c r="I30" s="9" t="str">
        <x:f>IF(ABS(H30)&lt;=D30,"Yes","No")</x:f>
        <x:v>Yes</x:v>
      </x:c>
    </x:row>
    <x:row r="31" ht="21" customHeight="1">
      <x:c r="A31" s="14" t="str">
        <x:v>16670263</x:v>
      </x:c>
      <x:c r="B31" s="15" t="n">
        <x:f>'Eligible cohort'!L31</x:f>
        <x:v>6.48</x:v>
      </x:c>
      <x:c r="C31" s="15" t="n">
        <x:f>'Eligible cohort'!N31</x:f>
        <x:v>331.13</x:v>
      </x:c>
      <x:c r="D31" s="15" t="n">
        <x:f>'Eligible cohort'!R31</x:f>
        <x:v>0.00501</x:v>
      </x:c>
      <x:c r="E31" s="15" t="n">
        <x:f>10^(9-B31)</x:f>
        <x:v>331.13112148259074</x:v>
      </x:c>
      <x:c r="F31" s="15" t="n">
        <x:f>9-LOG10(C31)</x:f>
        <x:v>6.480001470881151</x:v>
      </x:c>
      <x:c r="G31" s="16" t="n">
        <x:f>F31-B31</x:f>
        <x:v>0.000001470881150211767</x:v>
      </x:c>
      <x:c r="H31" s="16" t="n">
        <x:f>C31-E31</x:f>
        <x:v>-0.0011214825907472914</x:v>
      </x:c>
      <x:c r="I31" s="14" t="str">
        <x:f>IF(ABS(H31)&lt;=D31,"Yes","No")</x:f>
        <x:v>Yes</x:v>
      </x:c>
    </x:row>
    <x:row r="32" ht="21" customHeight="1">
      <x:c r="A32" s="9" t="str">
        <x:v>16670264</x:v>
      </x:c>
      <x:c r="B32" s="11" t="n">
        <x:f>'Eligible cohort'!L32</x:f>
        <x:v>6.32</x:v>
      </x:c>
      <x:c r="C32" s="11" t="n">
        <x:f>'Eligible cohort'!N32</x:f>
        <x:v>478.63</x:v>
      </x:c>
      <x:c r="D32" s="11" t="n">
        <x:f>'Eligible cohort'!R32</x:f>
        <x:v>0.00501</x:v>
      </x:c>
      <x:c r="E32" s="11" t="n">
        <x:f>10^(9-B32)</x:f>
        <x:v>478.630092322638</x:v>
      </x:c>
      <x:c r="F32" s="11" t="n">
        <x:f>9-LOG10(C32)</x:f>
        <x:v>6.32000008377078</x:v>
      </x:c>
      <x:c r="G32" s="12" t="n">
        <x:f>F32-B32</x:f>
        <x:v>8.377077964638602e-8</x:v>
      </x:c>
      <x:c r="H32" s="12" t="n">
        <x:f>C32-E32</x:f>
        <x:v>-0.00009232263801095542</x:v>
      </x:c>
      <x:c r="I32" s="9" t="str">
        <x:f>IF(ABS(H32)&lt;=D32,"Yes","No")</x:f>
        <x:v>Yes</x:v>
      </x:c>
    </x:row>
    <x:row r="33" ht="21" customHeight="1">
      <x:c r="A33" s="14" t="str">
        <x:v>16670265</x:v>
      </x:c>
      <x:c r="B33" s="15" t="n">
        <x:f>'Eligible cohort'!L33</x:f>
        <x:v>6.3</x:v>
      </x:c>
      <x:c r="C33" s="15" t="n">
        <x:f>'Eligible cohort'!N33</x:f>
        <x:v>501.19</x:v>
      </x:c>
      <x:c r="D33" s="15" t="n">
        <x:f>'Eligible cohort'!R33</x:f>
        <x:v>0.00501</x:v>
      </x:c>
      <x:c r="E33" s="15" t="n">
        <x:f>10^(9-B33)</x:f>
        <x:v>501.18723362727246</x:v>
      </x:c>
      <x:c r="F33" s="15" t="n">
        <x:f>9-LOG10(C33)</x:f>
        <x:v>6.29999760285775</x:v>
      </x:c>
      <x:c r="G33" s="16" t="n">
        <x:f>F33-B33</x:f>
        <x:v>-0.0000023971422500324024</x:v>
      </x:c>
      <x:c r="H33" s="16" t="n">
        <x:f>C33-E33</x:f>
        <x:v>0.0027663727275353267</x:v>
      </x:c>
      <x:c r="I33" s="14" t="str">
        <x:f>IF(ABS(H33)&lt;=D33,"Yes","No")</x:f>
        <x:v>Yes</x:v>
      </x:c>
    </x:row>
    <x:row r="34" ht="21" customHeight="1">
      <x:c r="A34" s="9" t="str">
        <x:v>16670266</x:v>
      </x:c>
      <x:c r="B34" s="11" t="n">
        <x:f>'Eligible cohort'!L34</x:f>
        <x:v>6.27</x:v>
      </x:c>
      <x:c r="C34" s="11" t="n">
        <x:f>'Eligible cohort'!N34</x:f>
        <x:v>537.03</x:v>
      </x:c>
      <x:c r="D34" s="11" t="n">
        <x:f>'Eligible cohort'!R34</x:f>
        <x:v>0.00501</x:v>
      </x:c>
      <x:c r="E34" s="11" t="n">
        <x:f>10^(9-B34)</x:f>
        <x:v>537.0317963702532</x:v>
      </x:c>
      <x:c r="F34" s="11" t="n">
        <x:f>9-LOG10(C34)</x:f>
        <x:v>6.2700014527165795</x:v>
      </x:c>
      <x:c r="G34" s="12" t="n">
        <x:f>F34-B34</x:f>
        <x:v>0.0000014527165799194108</x:v>
      </x:c>
      <x:c r="H34" s="12" t="n">
        <x:f>C34-E34</x:f>
        <x:v>-0.001796370253259738</x:v>
      </x:c>
      <x:c r="I34" s="9" t="str">
        <x:f>IF(ABS(H34)&lt;=D34,"Yes","No")</x:f>
        <x:v>Yes</x:v>
      </x:c>
    </x:row>
    <x:row r="35" ht="21" customHeight="1">
      <x:c r="A35" s="14" t="str">
        <x:v>16670267</x:v>
      </x:c>
      <x:c r="B35" s="15" t="n">
        <x:f>'Eligible cohort'!L35</x:f>
        <x:v>6.07</x:v>
      </x:c>
      <x:c r="C35" s="15" t="n">
        <x:f>'Eligible cohort'!N35</x:f>
        <x:v>851.14</x:v>
      </x:c>
      <x:c r="D35" s="15" t="n">
        <x:f>'Eligible cohort'!R35</x:f>
        <x:v>0.00501</x:v>
      </x:c>
      <x:c r="E35" s="15" t="n">
        <x:f>10^(9-B35)</x:f>
        <x:v>851.1380382023759</x:v>
      </x:c>
      <x:c r="F35" s="15" t="n">
        <x:f>9-LOG10(C35)</x:f>
        <x:v>6.06999899899093</x:v>
      </x:c>
      <x:c r="G35" s="16" t="n">
        <x:f>F35-B35</x:f>
        <x:v>-0.0000010010090703005403</x:v>
      </x:c>
      <x:c r="H35" s="16" t="n">
        <x:f>C35-E35</x:f>
        <x:v>0.0019617976240624557</x:v>
      </x:c>
      <x:c r="I35" s="14" t="str">
        <x:f>IF(ABS(H35)&lt;=D35,"Yes","No")</x:f>
        <x:v>Yes</x:v>
      </x:c>
    </x:row>
    <x:row r="36" ht="21" customHeight="1">
      <x:c r="A36" s="9" t="str">
        <x:v>16670268</x:v>
      </x:c>
      <x:c r="B36" s="11" t="n">
        <x:f>'Eligible cohort'!L36</x:f>
        <x:v>6.28</x:v>
      </x:c>
      <x:c r="C36" s="11" t="n">
        <x:f>'Eligible cohort'!N36</x:f>
        <x:v>524.81</x:v>
      </x:c>
      <x:c r="D36" s="11" t="n">
        <x:f>'Eligible cohort'!R36</x:f>
        <x:v>0.00501</x:v>
      </x:c>
      <x:c r="E36" s="11" t="n">
        <x:f>10^(9-B36)</x:f>
        <x:v>524.8074602497722</x:v>
      </x:c>
      <x:c r="F36" s="11" t="n">
        <x:f>9-LOG10(C36)</x:f>
        <x:v>6.279997898282851</x:v>
      </x:c>
      <x:c r="G36" s="12" t="n">
        <x:f>F36-B36</x:f>
        <x:v>-0.0000021017171496495735</x:v>
      </x:c>
      <x:c r="H36" s="12" t="n">
        <x:f>C36-E36</x:f>
        <x:v>0.0025397502276973682</x:v>
      </x:c>
      <x:c r="I36" s="9" t="str">
        <x:f>IF(ABS(H36)&lt;=D36,"Yes","No")</x:f>
        <x:v>Yes</x:v>
      </x:c>
    </x:row>
    <x:row r="37" ht="21" customHeight="1">
      <x:c r="A37" s="14" t="str">
        <x:v>16670299</x:v>
      </x:c>
      <x:c r="B37" s="15" t="n">
        <x:f>'Eligible cohort'!L37</x:f>
        <x:v>6.45</x:v>
      </x:c>
      <x:c r="C37" s="15" t="n">
        <x:f>'Eligible cohort'!N37</x:f>
        <x:v>354.81</x:v>
      </x:c>
      <x:c r="D37" s="15" t="n">
        <x:f>'Eligible cohort'!R37</x:f>
        <x:v>0.00501</x:v>
      </x:c>
      <x:c r="E37" s="15" t="n">
        <x:f>10^(9-B37)</x:f>
        <x:v>354.8133892335753</x:v>
      </x:c>
      <x:c r="F37" s="15" t="n">
        <x:f>9-LOG10(C37)</x:f>
        <x:v>6.45000414846935</x:v>
      </x:c>
      <x:c r="G37" s="16" t="n">
        <x:f>F37-B37</x:f>
        <x:v>0.000004148469350262474</x:v>
      </x:c>
      <x:c r="H37" s="16" t="n">
        <x:f>C37-E37</x:f>
        <x:v>-0.0033892335753193947</x:v>
      </x:c>
      <x:c r="I37" s="14" t="str">
        <x:f>IF(ABS(H37)&lt;=D37,"Yes","No")</x:f>
        <x:v>Yes</x:v>
      </x:c>
    </x:row>
    <x:row r="38" ht="21" customHeight="1">
      <x:c r="A38" s="9" t="str">
        <x:v>16670300</x:v>
      </x:c>
      <x:c r="B38" s="11" t="n">
        <x:f>'Eligible cohort'!L38</x:f>
        <x:v>6.2</x:v>
      </x:c>
      <x:c r="C38" s="11" t="n">
        <x:f>'Eligible cohort'!N38</x:f>
        <x:v>630.96</x:v>
      </x:c>
      <x:c r="D38" s="11" t="n">
        <x:f>'Eligible cohort'!R38</x:f>
        <x:v>0.00501</x:v>
      </x:c>
      <x:c r="E38" s="11" t="n">
        <x:f>10^(9-B38)</x:f>
        <x:v>630.957344480193</x:v>
      </x:c>
      <x:c r="F38" s="11" t="n">
        <x:f>9-LOG10(C38)</x:f>
        <x:v>6.199998172182029</x:v>
      </x:c>
      <x:c r="G38" s="12" t="n">
        <x:f>F38-B38</x:f>
        <x:v>-0.0000018278179707564846</x:v>
      </x:c>
      <x:c r="H38" s="12" t="n">
        <x:f>C38-E38</x:f>
        <x:v>0.002655519807035489</x:v>
      </x:c>
      <x:c r="I38" s="9" t="str">
        <x:f>IF(ABS(H38)&lt;=D38,"Yes","No")</x:f>
        <x:v>Yes</x:v>
      </x:c>
    </x:row>
    <x:row r="39" ht="21" customHeight="1">
      <x:c r="A39" s="14" t="str">
        <x:v>16670301</x:v>
      </x:c>
      <x:c r="B39" s="15" t="n">
        <x:f>'Eligible cohort'!L39</x:f>
        <x:v>7.4</x:v>
      </x:c>
      <x:c r="C39" s="15" t="n">
        <x:f>'Eligible cohort'!N39</x:f>
        <x:v>39.81</x:v>
      </x:c>
      <x:c r="D39" s="15" t="n">
        <x:f>'Eligible cohort'!R39</x:f>
        <x:v>0.00501</x:v>
      </x:c>
      <x:c r="E39" s="15" t="n">
        <x:f>10^(9-B39)</x:f>
        <x:v>39.81071705534969</x:v>
      </x:c>
      <x:c r="F39" s="15" t="n">
        <x:f>9-LOG10(C39)</x:f>
        <x:v>7.4000078224159</x:v>
      </x:c>
      <x:c r="G39" s="16" t="n">
        <x:f>F39-B39</x:f>
        <x:v>0.00000782241589991628</x:v>
      </x:c>
      <x:c r="H39" s="16" t="n">
        <x:f>C39-E39</x:f>
        <x:v>-0.000717055349689133</x:v>
      </x:c>
      <x:c r="I39" s="14" t="str">
        <x:f>IF(ABS(H39)&lt;=D39,"Yes","No")</x:f>
        <x:v>Yes</x:v>
      </x:c>
    </x:row>
    <x:row r="40" ht="21" customHeight="1">
      <x:c r="A40" s="9" t="str">
        <x:v>16670302</x:v>
      </x:c>
      <x:c r="B40" s="11" t="n">
        <x:f>'Eligible cohort'!L40</x:f>
        <x:v>6.66</x:v>
      </x:c>
      <x:c r="C40" s="11" t="n">
        <x:f>'Eligible cohort'!N40</x:f>
        <x:v>218.78</x:v>
      </x:c>
      <x:c r="D40" s="11" t="n">
        <x:f>'Eligible cohort'!R40</x:f>
        <x:v>0.00501</x:v>
      </x:c>
      <x:c r="E40" s="11" t="n">
        <x:f>10^(9-B40)</x:f>
        <x:v>218.77616239495518</x:v>
      </x:c>
      <x:c r="F40" s="11" t="n">
        <x:f>9-LOG10(C40)</x:f>
        <x:v>6.65999238200333</x:v>
      </x:c>
      <x:c r="G40" s="12" t="n">
        <x:f>F40-B40</x:f>
        <x:v>-0.000007617996669928573</x:v>
      </x:c>
      <x:c r="H40" s="12" t="n">
        <x:f>C40-E40</x:f>
        <x:v>0.003837605044822112</x:v>
      </x:c>
      <x:c r="I40" s="9" t="str">
        <x:f>IF(ABS(H40)&lt;=D40,"Yes","No")</x:f>
        <x:v>Yes</x:v>
      </x:c>
    </x:row>
    <x:row r="41" ht="21" customHeight="1">
      <x:c r="A41" s="14" t="str">
        <x:v>16670303</x:v>
      </x:c>
      <x:c r="B41" s="15" t="n">
        <x:f>'Eligible cohort'!L41</x:f>
        <x:v>6.35</x:v>
      </x:c>
      <x:c r="C41" s="15" t="n">
        <x:f>'Eligible cohort'!N41</x:f>
        <x:v>446.68</x:v>
      </x:c>
      <x:c r="D41" s="15" t="n">
        <x:f>'Eligible cohort'!R41</x:f>
        <x:v>0.00501</x:v>
      </x:c>
      <x:c r="E41" s="15" t="n">
        <x:f>10^(9-B41)</x:f>
        <x:v>446.6835921509635</x:v>
      </x:c>
      <x:c r="F41" s="15" t="n">
        <x:f>9-LOG10(C41)</x:f>
        <x:v>6.3500034925339595</x:v>
      </x:c>
      <x:c r="G41" s="16" t="n">
        <x:f>F41-B41</x:f>
        <x:v>0.0000034925339598146365</x:v>
      </x:c>
      <x:c r="H41" s="16" t="n">
        <x:f>C41-E41</x:f>
        <x:v>-0.0035921509634704307</x:v>
      </x:c>
      <x:c r="I41" s="14" t="str">
        <x:f>IF(ABS(H41)&lt;=D41,"Yes","No")</x:f>
        <x:v>Yes</x:v>
      </x:c>
    </x:row>
    <x:row r="42" ht="21" customHeight="1">
      <x:c r="A42" s="9" t="str">
        <x:v>16670304</x:v>
      </x:c>
      <x:c r="B42" s="11" t="n">
        <x:f>'Eligible cohort'!L42</x:f>
        <x:v>6.46</x:v>
      </x:c>
      <x:c r="C42" s="11" t="n">
        <x:f>'Eligible cohort'!N42</x:f>
        <x:v>346.74</x:v>
      </x:c>
      <x:c r="D42" s="11" t="n">
        <x:f>'Eligible cohort'!R42</x:f>
        <x:v>0.00501</x:v>
      </x:c>
      <x:c r="E42" s="11" t="n">
        <x:f>10^(9-B42)</x:f>
        <x:v>346.73685045253166</x:v>
      </x:c>
      <x:c r="F42" s="11" t="n">
        <x:f>9-LOG10(C42)</x:f>
        <x:v>6.45999605514997</x:v>
      </x:c>
      <x:c r="G42" s="12" t="n">
        <x:f>F42-B42</x:f>
        <x:v>-0.00000394485002974676</x:v>
      </x:c>
      <x:c r="H42" s="12" t="n">
        <x:f>C42-E42</x:f>
        <x:v>0.0031495474683538305</x:v>
      </x:c>
      <x:c r="I42" s="9" t="str">
        <x:f>IF(ABS(H42)&lt;=D42,"Yes","No")</x:f>
        <x:v>Yes</x:v>
      </x:c>
    </x:row>
    <x:row r="43" ht="21" customHeight="1">
      <x:c r="A43" s="14" t="str">
        <x:v>16670305</x:v>
      </x:c>
      <x:c r="B43" s="15" t="n">
        <x:f>'Eligible cohort'!L43</x:f>
        <x:v>6.33</x:v>
      </x:c>
      <x:c r="C43" s="15" t="n">
        <x:f>'Eligible cohort'!N43</x:f>
        <x:v>467.74</x:v>
      </x:c>
      <x:c r="D43" s="15" t="n">
        <x:f>'Eligible cohort'!R43</x:f>
        <x:v>0.00501</x:v>
      </x:c>
      <x:c r="E43" s="15" t="n">
        <x:f>10^(9-B43)</x:f>
        <x:v>467.73514128719813</x:v>
      </x:c>
      <x:c r="F43" s="15" t="n">
        <x:f>9-LOG10(C43)</x:f>
        <x:v>6.32999548868363</x:v>
      </x:c>
      <x:c r="G43" s="16" t="n">
        <x:f>F43-B43</x:f>
        <x:v>-0.000004511316370248153</x:v>
      </x:c>
      <x:c r="H43" s="16" t="n">
        <x:f>C43-E43</x:f>
        <x:v>0.0048587128018766634</x:v>
      </x:c>
      <x:c r="I43" s="14" t="str">
        <x:f>IF(ABS(H43)&lt;=D43,"Yes","No")</x:f>
        <x:v>Yes</x:v>
      </x:c>
    </x:row>
    <x:row r="44" ht="21" customHeight="1">
      <x:c r="A44" s="9" t="str">
        <x:v>16670306</x:v>
      </x:c>
      <x:c r="B44" s="11" t="n">
        <x:f>'Eligible cohort'!L44</x:f>
        <x:v>6.44</x:v>
      </x:c>
      <x:c r="C44" s="11" t="n">
        <x:f>'Eligible cohort'!N44</x:f>
        <x:v>363.08</x:v>
      </x:c>
      <x:c r="D44" s="11" t="n">
        <x:f>'Eligible cohort'!R44</x:f>
        <x:v>0.00501</x:v>
      </x:c>
      <x:c r="E44" s="11" t="n">
        <x:f>10^(9-B44)</x:f>
        <x:v>363.078054770101</x:v>
      </x:c>
      <x:c r="F44" s="11" t="n">
        <x:f>9-LOG10(C44)</x:f>
        <x:v>6.43999767322663</x:v>
      </x:c>
      <x:c r="G44" s="12" t="n">
        <x:f>F44-B44</x:f>
        <x:v>-0.0000023267733704201987</x:v>
      </x:c>
      <x:c r="H44" s="12" t="n">
        <x:f>C44-E44</x:f>
        <x:v>0.0019452298989790506</x:v>
      </x:c>
      <x:c r="I44" s="9" t="str">
        <x:f>IF(ABS(H44)&lt;=D44,"Yes","No")</x:f>
        <x:v>Yes</x:v>
      </x:c>
    </x:row>
    <x:row r="45" ht="21" customHeight="1">
      <x:c r="A45" s="14" t="str">
        <x:v>16670307</x:v>
      </x:c>
      <x:c r="B45" s="15" t="n">
        <x:f>'Eligible cohort'!L45</x:f>
        <x:v>6.3</x:v>
      </x:c>
      <x:c r="C45" s="15" t="n">
        <x:f>'Eligible cohort'!N45</x:f>
        <x:v>501.19</x:v>
      </x:c>
      <x:c r="D45" s="15" t="n">
        <x:f>'Eligible cohort'!R45</x:f>
        <x:v>0.00501</x:v>
      </x:c>
      <x:c r="E45" s="15" t="n">
        <x:f>10^(9-B45)</x:f>
        <x:v>501.18723362727246</x:v>
      </x:c>
      <x:c r="F45" s="15" t="n">
        <x:f>9-LOG10(C45)</x:f>
        <x:v>6.29999760285775</x:v>
      </x:c>
      <x:c r="G45" s="16" t="n">
        <x:f>F45-B45</x:f>
        <x:v>-0.0000023971422500324024</x:v>
      </x:c>
      <x:c r="H45" s="16" t="n">
        <x:f>C45-E45</x:f>
        <x:v>0.0027663727275353267</x:v>
      </x:c>
      <x:c r="I45" s="14" t="str">
        <x:f>IF(ABS(H45)&lt;=D45,"Yes","No")</x:f>
        <x:v>Yes</x:v>
      </x:c>
    </x:row>
    <x:row r="46" ht="21" customHeight="1">
      <x:c r="A46" s="9" t="str">
        <x:v>16670402</x:v>
      </x:c>
      <x:c r="B46" s="11" t="n">
        <x:f>'Eligible cohort'!L46</x:f>
        <x:v>6.06</x:v>
      </x:c>
      <x:c r="C46" s="11" t="n">
        <x:f>'Eligible cohort'!N46</x:f>
        <x:v>870.96</x:v>
      </x:c>
      <x:c r="D46" s="11" t="n">
        <x:f>'Eligible cohort'!R46</x:f>
        <x:v>0.00501</x:v>
      </x:c>
      <x:c r="E46" s="11" t="n">
        <x:f>10^(9-B46)</x:f>
        <x:v>870.9635899560815</x:v>
      </x:c>
      <x:c r="F46" s="11" t="n">
        <x:f>9-LOG10(C46)</x:f>
        <x:v>6.06000179008784</x:v>
      </x:c>
      <x:c r="G46" s="12" t="n">
        <x:f>F46-B46</x:f>
        <x:v>0.0000017900878406251763</x:v>
      </x:c>
      <x:c r="H46" s="12" t="n">
        <x:f>C46-E46</x:f>
        <x:v>-0.0035899560814414144</x:v>
      </x:c>
      <x:c r="I46" s="9" t="str">
        <x:f>IF(ABS(H46)&lt;=D46,"Yes","No")</x:f>
        <x:v>Yes</x:v>
      </x:c>
    </x:row>
    <x:row r="47" ht="21" customHeight="1">
      <x:c r="A47" s="14" t="str">
        <x:v>16670403</x:v>
      </x:c>
      <x:c r="B47" s="15" t="n">
        <x:f>'Eligible cohort'!L47</x:f>
        <x:v>6.21</x:v>
      </x:c>
      <x:c r="C47" s="15" t="n">
        <x:f>'Eligible cohort'!N47</x:f>
        <x:v>616.6</x:v>
      </x:c>
      <x:c r="D47" s="15" t="n">
        <x:f>'Eligible cohort'!R47</x:f>
        <x:v>0.00501</x:v>
      </x:c>
      <x:c r="E47" s="15" t="n">
        <x:f>10^(9-B47)</x:f>
        <x:v>616.5950018614822</x:v>
      </x:c>
      <x:c r="F47" s="15" t="n">
        <x:f>9-LOG10(C47)</x:f>
        <x:v>6.20999647960951</x:v>
      </x:c>
      <x:c r="G47" s="16" t="n">
        <x:f>F47-B47</x:f>
        <x:v>-0.0000035203904902303407</x:v>
      </x:c>
      <x:c r="H47" s="16" t="n">
        <x:f>C47-E47</x:f>
        <x:v>0.0049981385178625715</x:v>
      </x:c>
      <x:c r="I47" s="14" t="str">
        <x:f>IF(ABS(H47)&lt;=D47,"Yes","No")</x:f>
        <x:v>Yes</x:v>
      </x:c>
    </x:row>
    <x:row r="48" ht="21" customHeight="1">
      <x:c r="A48" s="9" t="str">
        <x:v>16670404</x:v>
      </x:c>
      <x:c r="B48" s="11" t="n">
        <x:f>'Eligible cohort'!L48</x:f>
        <x:v>5.87</x:v>
      </x:c>
      <x:c r="C48" s="11" t="n">
        <x:f>'Eligible cohort'!N48</x:f>
        <x:v>1348.96</x:v>
      </x:c>
      <x:c r="D48" s="11" t="n">
        <x:f>'Eligible cohort'!R48</x:f>
        <x:v>0.00501</x:v>
      </x:c>
      <x:c r="E48" s="11" t="n">
        <x:f>10^(9-B48)</x:f>
        <x:v>1348.9628825916532</x:v>
      </x:c>
      <x:c r="F48" s="11" t="n">
        <x:f>9-LOG10(C48)</x:f>
        <x:v>5.87000092804257</x:v>
      </x:c>
      <x:c r="G48" s="12" t="n">
        <x:f>F48-B48</x:f>
        <x:v>9.28042569903198e-7</x:v>
      </x:c>
      <x:c r="H48" s="12" t="n">
        <x:f>C48-E48</x:f>
        <x:v>-0.002882591653133204</x:v>
      </x:c>
      <x:c r="I48" s="9" t="str">
        <x:f>IF(ABS(H48)&lt;=D48,"Yes","No")</x:f>
        <x:v>Yes</x:v>
      </x:c>
    </x:row>
    <x:row r="49" ht="21" customHeight="1">
      <x:c r="A49" s="14" t="str">
        <x:v>16670405</x:v>
      </x:c>
      <x:c r="B49" s="15" t="n">
        <x:f>'Eligible cohort'!L49</x:f>
        <x:v>6.05</x:v>
      </x:c>
      <x:c r="C49" s="15" t="n">
        <x:f>'Eligible cohort'!N49</x:f>
        <x:v>891.25</x:v>
      </x:c>
      <x:c r="D49" s="15" t="n">
        <x:f>'Eligible cohort'!R49</x:f>
        <x:v>0.00501</x:v>
      </x:c>
      <x:c r="E49" s="15" t="n">
        <x:f>10^(9-B49)</x:f>
        <x:v>891.2509381337459</x:v>
      </x:c>
      <x:c r="F49" s="15" t="n">
        <x:f>9-LOG10(C49)</x:f>
        <x:v>6.050000457140079</x:v>
      </x:c>
      <x:c r="G49" s="16" t="n">
        <x:f>F49-B49</x:f>
        <x:v>4.571400795683189e-7</x:v>
      </x:c>
      <x:c r="H49" s="16" t="n">
        <x:f>C49-E49</x:f>
        <x:v>-0.0009381337458762573</x:v>
      </x:c>
      <x:c r="I49" s="14" t="str">
        <x:f>IF(ABS(H49)&lt;=D49,"Yes","No")</x:f>
        <x:v>Yes</x:v>
      </x:c>
    </x:row>
    <x:row r="50" ht="21" customHeight="1">
      <x:c r="A50" s="9" t="str">
        <x:v>16670406</x:v>
      </x:c>
      <x:c r="B50" s="11" t="n">
        <x:f>'Eligible cohort'!L50</x:f>
        <x:v>6.2</x:v>
      </x:c>
      <x:c r="C50" s="11" t="n">
        <x:f>'Eligible cohort'!N50</x:f>
        <x:v>630.96</x:v>
      </x:c>
      <x:c r="D50" s="11" t="n">
        <x:f>'Eligible cohort'!R50</x:f>
        <x:v>0.00501</x:v>
      </x:c>
      <x:c r="E50" s="11" t="n">
        <x:f>10^(9-B50)</x:f>
        <x:v>630.957344480193</x:v>
      </x:c>
      <x:c r="F50" s="11" t="n">
        <x:f>9-LOG10(C50)</x:f>
        <x:v>6.199998172182029</x:v>
      </x:c>
      <x:c r="G50" s="12" t="n">
        <x:f>F50-B50</x:f>
        <x:v>-0.0000018278179707564846</x:v>
      </x:c>
      <x:c r="H50" s="12" t="n">
        <x:f>C50-E50</x:f>
        <x:v>0.002655519807035489</x:v>
      </x:c>
      <x:c r="I50" s="9" t="str">
        <x:f>IF(ABS(H50)&lt;=D50,"Yes","No")</x:f>
        <x:v>Yes</x:v>
      </x:c>
    </x:row>
    <x:row r="51" ht="21" customHeight="1">
      <x:c r="A51" s="14" t="str">
        <x:v>16670407</x:v>
      </x:c>
      <x:c r="B51" s="15" t="n">
        <x:f>'Eligible cohort'!L51</x:f>
        <x:v>6.28</x:v>
      </x:c>
      <x:c r="C51" s="15" t="n">
        <x:f>'Eligible cohort'!N51</x:f>
        <x:v>524.81</x:v>
      </x:c>
      <x:c r="D51" s="15" t="n">
        <x:f>'Eligible cohort'!R51</x:f>
        <x:v>0.00501</x:v>
      </x:c>
      <x:c r="E51" s="15" t="n">
        <x:f>10^(9-B51)</x:f>
        <x:v>524.8074602497722</x:v>
      </x:c>
      <x:c r="F51" s="15" t="n">
        <x:f>9-LOG10(C51)</x:f>
        <x:v>6.279997898282851</x:v>
      </x:c>
      <x:c r="G51" s="16" t="n">
        <x:f>F51-B51</x:f>
        <x:v>-0.0000021017171496495735</x:v>
      </x:c>
      <x:c r="H51" s="16" t="n">
        <x:f>C51-E51</x:f>
        <x:v>0.0025397502276973682</x:v>
      </x:c>
      <x:c r="I51" s="14" t="str">
        <x:f>IF(ABS(H51)&lt;=D51,"Yes","No")</x:f>
        <x:v>Yes</x:v>
      </x:c>
    </x:row>
    <x:row r="52" ht="21" customHeight="1">
      <x:c r="A52" s="9" t="str">
        <x:v>16670408</x:v>
      </x:c>
      <x:c r="B52" s="11" t="n">
        <x:f>'Eligible cohort'!L52</x:f>
        <x:v>5.84</x:v>
      </x:c>
      <x:c r="C52" s="11" t="n">
        <x:f>'Eligible cohort'!N52</x:f>
        <x:v>1445.44</x:v>
      </x:c>
      <x:c r="D52" s="11" t="n">
        <x:f>'Eligible cohort'!R52</x:f>
        <x:v>0.00501</x:v>
      </x:c>
      <x:c r="E52" s="11" t="n">
        <x:f>10^(9-B52)</x:f>
        <x:v>1445.439770745928</x:v>
      </x:c>
      <x:c r="F52" s="11" t="n">
        <x:f>9-LOG10(C52)</x:f>
        <x:v>5.8399999311187</x:v>
      </x:c>
      <x:c r="G52" s="12" t="n">
        <x:f>F52-B52</x:f>
        <x:v>-6.888129977511426e-8</x:v>
      </x:c>
      <x:c r="H52" s="12" t="n">
        <x:f>C52-E52</x:f>
        <x:v>0.00022925407211005222</x:v>
      </x:c>
      <x:c r="I52" s="9" t="str">
        <x:f>IF(ABS(H52)&lt;=D52,"Yes","No")</x:f>
        <x:v>Yes</x:v>
      </x:c>
    </x:row>
    <x:row r="53" ht="21" customHeight="1">
      <x:c r="A53" s="14" t="str">
        <x:v>16670409</x:v>
      </x:c>
      <x:c r="B53" s="15" t="n">
        <x:f>'Eligible cohort'!L53</x:f>
        <x:v>6.33</x:v>
      </x:c>
      <x:c r="C53" s="15" t="n">
        <x:f>'Eligible cohort'!N53</x:f>
        <x:v>467.74</x:v>
      </x:c>
      <x:c r="D53" s="15" t="n">
        <x:f>'Eligible cohort'!R53</x:f>
        <x:v>0.00501</x:v>
      </x:c>
      <x:c r="E53" s="15" t="n">
        <x:f>10^(9-B53)</x:f>
        <x:v>467.73514128719813</x:v>
      </x:c>
      <x:c r="F53" s="15" t="n">
        <x:f>9-LOG10(C53)</x:f>
        <x:v>6.32999548868363</x:v>
      </x:c>
      <x:c r="G53" s="16" t="n">
        <x:f>F53-B53</x:f>
        <x:v>-0.000004511316370248153</x:v>
      </x:c>
      <x:c r="H53" s="16" t="n">
        <x:f>C53-E53</x:f>
        <x:v>0.0048587128018766634</x:v>
      </x:c>
      <x:c r="I53" s="14" t="str">
        <x:f>IF(ABS(H53)&lt;=D53,"Yes","No")</x:f>
        <x:v>Yes</x:v>
      </x:c>
    </x:row>
    <x:row r="54" ht="21" customHeight="1">
      <x:c r="A54" s="9" t="str">
        <x:v>16670410</x:v>
      </x:c>
      <x:c r="B54" s="11" t="n">
        <x:f>'Eligible cohort'!L54</x:f>
        <x:v>6.36</x:v>
      </x:c>
      <x:c r="C54" s="11" t="n">
        <x:f>'Eligible cohort'!N54</x:f>
        <x:v>436.52</x:v>
      </x:c>
      <x:c r="D54" s="11" t="n">
        <x:f>'Eligible cohort'!R54</x:f>
        <x:v>0.00501</x:v>
      </x:c>
      <x:c r="E54" s="11" t="n">
        <x:f>10^(9-B54)</x:f>
        <x:v>436.51583224016565</x:v>
      </x:c>
      <x:c r="F54" s="11" t="n">
        <x:f>9-LOG10(C54)</x:f>
        <x:v>6.35999585346894</x:v>
      </x:c>
      <x:c r="G54" s="12" t="n">
        <x:f>F54-B54</x:f>
        <x:v>-0.000004146531060733594</x:v>
      </x:c>
      <x:c r="H54" s="12" t="n">
        <x:f>C54-E54</x:f>
        <x:v>0.004167759834331264</x:v>
      </x:c>
      <x:c r="I54" s="9" t="str">
        <x:f>IF(ABS(H54)&lt;=D54,"Yes","No")</x:f>
        <x:v>Yes</x:v>
      </x:c>
    </x:row>
    <x:row r="55" ht="21" customHeight="1">
      <x:c r="A55" s="14" t="str">
        <x:v>16670411</x:v>
      </x:c>
      <x:c r="B55" s="15" t="n">
        <x:f>'Eligible cohort'!L55</x:f>
        <x:v>6.53</x:v>
      </x:c>
      <x:c r="C55" s="15" t="n">
        <x:f>'Eligible cohort'!N55</x:f>
        <x:v>295.12</x:v>
      </x:c>
      <x:c r="D55" s="15" t="n">
        <x:f>'Eligible cohort'!R55</x:f>
        <x:v>0.00501</x:v>
      </x:c>
      <x:c r="E55" s="15" t="n">
        <x:f>10^(9-B55)</x:f>
        <x:v>295.1209226666384</x:v>
      </x:c>
      <x:c r="F55" s="15" t="n">
        <x:f>9-LOG10(C55)</x:f>
        <x:v>6.53000135778125</x:v>
      </x:c>
      <x:c r="G55" s="16" t="n">
        <x:f>F55-B55</x:f>
        <x:v>0.0000013577812500997766</x:v>
      </x:c>
      <x:c r="H55" s="16" t="n">
        <x:f>C55-E55</x:f>
        <x:v>-0.0009226666384165583</x:v>
      </x:c>
      <x:c r="I55" s="14" t="str">
        <x:f>IF(ABS(H55)&lt;=D55,"Yes","No")</x:f>
        <x:v>Yes</x:v>
      </x:c>
    </x:row>
    <x:row r="56" ht="21" customHeight="1">
      <x:c r="A56" s="9" t="str">
        <x:v>16670412</x:v>
      </x:c>
      <x:c r="B56" s="11" t="n">
        <x:f>'Eligible cohort'!L56</x:f>
        <x:v>5.75</x:v>
      </x:c>
      <x:c r="C56" s="11" t="n">
        <x:f>'Eligible cohort'!N56</x:f>
        <x:v>1778.28</x:v>
      </x:c>
      <x:c r="D56" s="11" t="n">
        <x:f>'Eligible cohort'!R56</x:f>
        <x:v>0.00501</x:v>
      </x:c>
      <x:c r="E56" s="11" t="n">
        <x:f>10^(9-B56)</x:f>
        <x:v>1778.2794100389228</x:v>
      </x:c>
      <x:c r="F56" s="11" t="n">
        <x:f>9-LOG10(C56)</x:f>
        <x:v>5.74999985591871</x:v>
      </x:c>
      <x:c r="G56" s="12" t="n">
        <x:f>F56-B56</x:f>
        <x:v>-1.440812900099786e-7</x:v>
      </x:c>
      <x:c r="H56" s="12" t="n">
        <x:f>C56-E56</x:f>
        <x:v>0.0005899610771393782</x:v>
      </x:c>
      <x:c r="I56" s="9" t="str">
        <x:f>IF(ABS(H56)&lt;=D56,"Yes","No")</x:f>
        <x:v>Yes</x:v>
      </x:c>
    </x:row>
    <x:row r="57" ht="21" customHeight="1">
      <x:c r="A57" s="14" t="str">
        <x:v>16670413</x:v>
      </x:c>
      <x:c r="B57" s="15" t="n">
        <x:f>'Eligible cohort'!L57</x:f>
        <x:v>5.86</x:v>
      </x:c>
      <x:c r="C57" s="15" t="n">
        <x:f>'Eligible cohort'!N57</x:f>
        <x:v>1380.38</x:v>
      </x:c>
      <x:c r="D57" s="15" t="n">
        <x:f>'Eligible cohort'!R57</x:f>
        <x:v>0.00501</x:v>
      </x:c>
      <x:c r="E57" s="15" t="n">
        <x:f>10^(9-B57)</x:f>
        <x:v>1380.3842646028838</x:v>
      </x:c>
      <x:c r="F57" s="15" t="n">
        <x:f>9-LOG10(C57)</x:f>
        <x:v>5.86000134172521</x:v>
      </x:c>
      <x:c r="G57" s="16" t="n">
        <x:f>F57-B57</x:f>
        <x:v>0.000001341725210046718</x:v>
      </x:c>
      <x:c r="H57" s="16" t="n">
        <x:f>C57-E57</x:f>
        <x:v>-0.004264602883722546</x:v>
      </x:c>
      <x:c r="I57" s="14" t="str">
        <x:f>IF(ABS(H57)&lt;=D57,"Yes","No")</x:f>
        <x:v>Yes</x:v>
      </x:c>
    </x:row>
    <x:row r="58" ht="21" customHeight="1">
      <x:c r="A58" s="9" t="str">
        <x:v>16670414</x:v>
      </x:c>
      <x:c r="B58" s="11" t="n">
        <x:f>'Eligible cohort'!L58</x:f>
        <x:v>5.59</x:v>
      </x:c>
      <x:c r="C58" s="11" t="n">
        <x:f>'Eligible cohort'!N58</x:f>
        <x:v>2570.4</x:v>
      </x:c>
      <x:c r="D58" s="11" t="n">
        <x:f>'Eligible cohort'!R58</x:f>
        <x:v>0.00501</x:v>
      </x:c>
      <x:c r="E58" s="11" t="n">
        <x:f>10^(9-B58)</x:f>
        <x:v>2570.3957827688646</x:v>
      </x:c>
      <x:c r="F58" s="11" t="n">
        <x:f>9-LOG10(C58)</x:f>
        <x:v>5.58999928745654</x:v>
      </x:c>
      <x:c r="G58" s="12" t="n">
        <x:f>F58-B58</x:f>
        <x:v>-7.12543459790993e-7</x:v>
      </x:c>
      <x:c r="H58" s="12" t="n">
        <x:f>C58-E58</x:f>
        <x:v>0.004217231135498878</x:v>
      </x:c>
      <x:c r="I58" s="9" t="str">
        <x:f>IF(ABS(H58)&lt;=D58,"Yes","No")</x:f>
        <x:v>Yes</x:v>
      </x:c>
    </x:row>
    <x:row r="59" ht="21" customHeight="1">
      <x:c r="A59" s="14" t="str">
        <x:v>16670415</x:v>
      </x:c>
      <x:c r="B59" s="15" t="n">
        <x:f>'Eligible cohort'!L59</x:f>
        <x:v>5.81</x:v>
      </x:c>
      <x:c r="C59" s="15" t="n">
        <x:f>'Eligible cohort'!N59</x:f>
        <x:v>1548.82</x:v>
      </x:c>
      <x:c r="D59" s="15" t="n">
        <x:f>'Eligible cohort'!R59</x:f>
        <x:v>0.00501</x:v>
      </x:c>
      <x:c r="E59" s="15" t="n">
        <x:f>10^(9-B59)</x:f>
        <x:v>1548.8166189124827</x:v>
      </x:c>
      <x:c r="F59" s="15" t="n">
        <x:f>9-LOG10(C59)</x:f>
        <x:v>5.80999905193034</x:v>
      </x:c>
      <x:c r="G59" s="16" t="n">
        <x:f>F59-B59</x:f>
        <x:v>-9.480696592234494e-7</x:v>
      </x:c>
      <x:c r="H59" s="16" t="n">
        <x:f>C59-E59</x:f>
        <x:v>0.003381087517254855</x:v>
      </x:c>
      <x:c r="I59" s="14" t="str">
        <x:f>IF(ABS(H59)&lt;=D59,"Yes","No")</x:f>
        <x:v>Yes</x:v>
      </x:c>
    </x:row>
    <x:row r="60" ht="21" customHeight="1">
      <x:c r="A60" s="9" t="str">
        <x:v>16670416</x:v>
      </x:c>
      <x:c r="B60" s="11" t="n">
        <x:f>'Eligible cohort'!L60</x:f>
        <x:v>5.48</x:v>
      </x:c>
      <x:c r="C60" s="11" t="n">
        <x:f>'Eligible cohort'!N60</x:f>
        <x:v>3311.31</x:v>
      </x:c>
      <x:c r="D60" s="11" t="n">
        <x:f>'Eligible cohort'!R60</x:f>
        <x:v>0.00501</x:v>
      </x:c>
      <x:c r="E60" s="11" t="n">
        <x:f>10^(9-B60)</x:f>
        <x:v>3311.311214825908</x:v>
      </x:c>
      <x:c r="F60" s="11" t="n">
        <x:f>9-LOG10(C60)</x:f>
        <x:v>5.48000015933032</x:v>
      </x:c>
      <x:c r="G60" s="12" t="n">
        <x:f>F60-B60</x:f>
        <x:v>1.593303196045781e-7</x:v>
      </x:c>
      <x:c r="H60" s="12" t="n">
        <x:f>C60-E60</x:f>
        <x:v>-0.0012148259079367563</x:v>
      </x:c>
      <x:c r="I60" s="9" t="str">
        <x:f>IF(ABS(H60)&lt;=D60,"Yes","No")</x:f>
        <x:v>Yes</x:v>
      </x:c>
    </x:row>
    <x:row r="61" ht="21" customHeight="1">
      <x:c r="A61" s="14" t="str">
        <x:v>16670417</x:v>
      </x:c>
      <x:c r="B61" s="15" t="n">
        <x:f>'Eligible cohort'!L61</x:f>
        <x:v>6.14</x:v>
      </x:c>
      <x:c r="C61" s="15" t="n">
        <x:f>'Eligible cohort'!N61</x:f>
        <x:v>724.44</x:v>
      </x:c>
      <x:c r="D61" s="15" t="n">
        <x:f>'Eligible cohort'!R61</x:f>
        <x:v>0.00501</x:v>
      </x:c>
      <x:c r="E61" s="15" t="n">
        <x:f>10^(9-B61)</x:f>
        <x:v>724.4359600749906</x:v>
      </x:c>
      <x:c r="F61" s="15" t="n">
        <x:f>9-LOG10(C61)</x:f>
        <x:v>6.1399975780989</x:v>
      </x:c>
      <x:c r="G61" s="16" t="n">
        <x:f>F61-B61</x:f>
        <x:v>-0.0000024219011001136437</x:v>
      </x:c>
      <x:c r="H61" s="16" t="n">
        <x:f>C61-E61</x:f>
        <x:v>0.004039925009465151</x:v>
      </x:c>
      <x:c r="I61" s="14" t="str">
        <x:f>IF(ABS(H61)&lt;=D61,"Yes","No")</x:f>
        <x:v>Yes</x:v>
      </x:c>
    </x:row>
    <x:row r="62" ht="21" customHeight="1">
      <x:c r="A62" s="9" t="str">
        <x:v>16670418</x:v>
      </x:c>
      <x:c r="B62" s="11" t="n">
        <x:f>'Eligible cohort'!L62</x:f>
        <x:v>6.28</x:v>
      </x:c>
      <x:c r="C62" s="11" t="n">
        <x:f>'Eligible cohort'!N62</x:f>
        <x:v>524.81</x:v>
      </x:c>
      <x:c r="D62" s="11" t="n">
        <x:f>'Eligible cohort'!R62</x:f>
        <x:v>0.00501</x:v>
      </x:c>
      <x:c r="E62" s="11" t="n">
        <x:f>10^(9-B62)</x:f>
        <x:v>524.8074602497722</x:v>
      </x:c>
      <x:c r="F62" s="11" t="n">
        <x:f>9-LOG10(C62)</x:f>
        <x:v>6.279997898282851</x:v>
      </x:c>
      <x:c r="G62" s="12" t="n">
        <x:f>F62-B62</x:f>
        <x:v>-0.0000021017171496495735</x:v>
      </x:c>
      <x:c r="H62" s="12" t="n">
        <x:f>C62-E62</x:f>
        <x:v>0.0025397502276973682</x:v>
      </x:c>
      <x:c r="I62" s="9" t="str">
        <x:f>IF(ABS(H62)&lt;=D62,"Yes","No")</x:f>
        <x:v>Yes</x:v>
      </x:c>
    </x:row>
    <x:row r="63" ht="21" customHeight="1">
      <x:c r="A63" s="14" t="str">
        <x:v>16670419</x:v>
      </x:c>
      <x:c r="B63" s="15" t="n">
        <x:f>'Eligible cohort'!L63</x:f>
        <x:v>6.18</x:v>
      </x:c>
      <x:c r="C63" s="15" t="n">
        <x:f>'Eligible cohort'!N63</x:f>
        <x:v>660.69</x:v>
      </x:c>
      <x:c r="D63" s="15" t="n">
        <x:f>'Eligible cohort'!R63</x:f>
        <x:v>0.00501</x:v>
      </x:c>
      <x:c r="E63" s="15" t="n">
        <x:f>10^(9-B63)</x:f>
        <x:v>660.6934480075964</x:v>
      </x:c>
      <x:c r="F63" s="15" t="n">
        <x:f>9-LOG10(C63)</x:f>
        <x:v>6.18000226648922</x:v>
      </x:c>
      <x:c r="G63" s="16" t="n">
        <x:f>F63-B63</x:f>
        <x:v>0.0000022664892203039244</x:v>
      </x:c>
      <x:c r="H63" s="16" t="n">
        <x:f>C63-E63</x:f>
        <x:v>-0.0034480075963756462</x:v>
      </x:c>
      <x:c r="I63" s="14" t="str">
        <x:f>IF(ABS(H63)&lt;=D63,"Yes","No")</x:f>
        <x:v>Yes</x:v>
      </x:c>
    </x:row>
    <x:row r="64" ht="21" customHeight="1">
      <x:c r="A64" s="9" t="str">
        <x:v>16670420</x:v>
      </x:c>
      <x:c r="B64" s="11" t="n">
        <x:f>'Eligible cohort'!L64</x:f>
        <x:v>5.83</x:v>
      </x:c>
      <x:c r="C64" s="11" t="n">
        <x:f>'Eligible cohort'!N64</x:f>
        <x:v>1479.11</x:v>
      </x:c>
      <x:c r="D64" s="11" t="n">
        <x:f>'Eligible cohort'!R64</x:f>
        <x:v>0.00501</x:v>
      </x:c>
      <x:c r="E64" s="11" t="n">
        <x:f>10^(9-B64)</x:f>
        <x:v>1479.1083881682073</x:v>
      </x:c>
      <x:c r="F64" s="11" t="n">
        <x:f>9-LOG10(C64)</x:f>
        <x:v>5.82999952673565</x:v>
      </x:c>
      <x:c r="G64" s="12" t="n">
        <x:f>F64-B64</x:f>
        <x:v>-4.732643503757572e-7</x:v>
      </x:c>
      <x:c r="H64" s="12" t="n">
        <x:f>C64-E64</x:f>
        <x:v>0.0016118317926157033</x:v>
      </x:c>
      <x:c r="I64" s="9" t="str">
        <x:f>IF(ABS(H64)&lt;=D64,"Yes","No")</x:f>
        <x:v>Yes</x:v>
      </x:c>
    </x:row>
    <x:row r="65" ht="21" customHeight="1">
      <x:c r="A65" s="14" t="str">
        <x:v>16670421</x:v>
      </x:c>
      <x:c r="B65" s="15" t="n">
        <x:f>'Eligible cohort'!L65</x:f>
        <x:v>6.02</x:v>
      </x:c>
      <x:c r="C65" s="15" t="n">
        <x:f>'Eligible cohort'!N65</x:f>
        <x:v>954.99</x:v>
      </x:c>
      <x:c r="D65" s="15" t="n">
        <x:f>'Eligible cohort'!R65</x:f>
        <x:v>0.00501</x:v>
      </x:c>
      <x:c r="E65" s="15" t="n">
        <x:f>10^(9-B65)</x:f>
        <x:v>954.9925860214369</x:v>
      </x:c>
      <x:c r="F65" s="15" t="n">
        <x:f>9-LOG10(C65)</x:f>
        <x:v>6.02000117602626</x:v>
      </x:c>
      <x:c r="G65" s="16" t="n">
        <x:f>F65-B65</x:f>
        <x:v>0.0000011760262603743854</x:v>
      </x:c>
      <x:c r="H65" s="16" t="n">
        <x:f>C65-E65</x:f>
        <x:v>-0.002586021436854935</x:v>
      </x:c>
      <x:c r="I65" s="14" t="str">
        <x:f>IF(ABS(H65)&lt;=D65,"Yes","No")</x:f>
        <x:v>Yes</x:v>
      </x:c>
    </x:row>
    <x:row r="66" ht="21" customHeight="1">
      <x:c r="A66" s="9" t="str">
        <x:v>16670422</x:v>
      </x:c>
      <x:c r="B66" s="11" t="n">
        <x:f>'Eligible cohort'!L66</x:f>
        <x:v>5.94</x:v>
      </x:c>
      <x:c r="C66" s="11" t="n">
        <x:f>'Eligible cohort'!N66</x:f>
        <x:v>1148.15</x:v>
      </x:c>
      <x:c r="D66" s="11" t="n">
        <x:f>'Eligible cohort'!R66</x:f>
        <x:v>0.00501</x:v>
      </x:c>
      <x:c r="E66" s="11" t="n">
        <x:f>10^(9-B66)</x:f>
        <x:v>1148.1536214968817</x:v>
      </x:c>
      <x:c r="F66" s="11" t="n">
        <x:f>9-LOG10(C66)</x:f>
        <x:v>5.94000136985031</x:v>
      </x:c>
      <x:c r="G66" s="12" t="n">
        <x:f>F66-B66</x:f>
        <x:v>0.000001369850309629328</x:v>
      </x:c>
      <x:c r="H66" s="12" t="n">
        <x:f>C66-E66</x:f>
        <x:v>-0.003621496881578423</x:v>
      </x:c>
      <x:c r="I66" s="9" t="str">
        <x:f>IF(ABS(H66)&lt;=D66,"Yes","No")</x:f>
        <x:v>Yes</x:v>
      </x:c>
    </x:row>
    <x:row r="67" ht="21" customHeight="1">
      <x:c r="A67" s="14" t="str">
        <x:v>16670423</x:v>
      </x:c>
      <x:c r="B67" s="15" t="n">
        <x:f>'Eligible cohort'!L67</x:f>
        <x:v>6.16</x:v>
      </x:c>
      <x:c r="C67" s="15" t="n">
        <x:f>'Eligible cohort'!N67</x:f>
        <x:v>691.83</x:v>
      </x:c>
      <x:c r="D67" s="15" t="n">
        <x:f>'Eligible cohort'!R67</x:f>
        <x:v>0.00501</x:v>
      </x:c>
      <x:c r="E67" s="15" t="n">
        <x:f>10^(9-B67)</x:f>
        <x:v>691.8309709189363</x:v>
      </x:c>
      <x:c r="F67" s="15" t="n">
        <x:f>9-LOG10(C67)</x:f>
        <x:v>6.16000060949141</x:v>
      </x:c>
      <x:c r="G67" s="16" t="n">
        <x:f>F67-B67</x:f>
        <x:v>6.094914102305893e-7</x:v>
      </x:c>
      <x:c r="H67" s="16" t="n">
        <x:f>C67-E67</x:f>
        <x:v>-0.0009709189362183679</x:v>
      </x:c>
      <x:c r="I67" s="14" t="str">
        <x:f>IF(ABS(H67)&lt;=D67,"Yes","No")</x:f>
        <x:v>Yes</x:v>
      </x:c>
    </x:row>
    <x:row r="68" ht="21" customHeight="1">
      <x:c r="A68" s="9" t="str">
        <x:v>16670424</x:v>
      </x:c>
      <x:c r="B68" s="11" t="n">
        <x:f>'Eligible cohort'!L68</x:f>
        <x:v>6.26</x:v>
      </x:c>
      <x:c r="C68" s="11" t="n">
        <x:f>'Eligible cohort'!N68</x:f>
        <x:v>549.54</x:v>
      </x:c>
      <x:c r="D68" s="11" t="n">
        <x:f>'Eligible cohort'!R68</x:f>
        <x:v>0.00501</x:v>
      </x:c>
      <x:c r="E68" s="11" t="n">
        <x:f>10^(9-B68)</x:f>
        <x:v>549.5408738576248</x:v>
      </x:c>
      <x:c r="F68" s="11" t="n">
        <x:f>9-LOG10(C68)</x:f>
        <x:v>6.26000069059803</x:v>
      </x:c>
      <x:c r="G68" s="12" t="n">
        <x:f>F68-B68</x:f>
        <x:v>6.905980303173465e-7</x:v>
      </x:c>
      <x:c r="H68" s="12" t="n">
        <x:f>C68-E68</x:f>
        <x:v>-0.0008738576248106256</x:v>
      </x:c>
      <x:c r="I68" s="9" t="str">
        <x:f>IF(ABS(H68)&lt;=D68,"Yes","No")</x:f>
        <x:v>Yes</x:v>
      </x:c>
    </x:row>
    <x:row r="69" ht="21" customHeight="1">
      <x:c r="A69" s="14" t="str">
        <x:v>16670425</x:v>
      </x:c>
      <x:c r="B69" s="15" t="n">
        <x:f>'Eligible cohort'!L69</x:f>
        <x:v>5.91</x:v>
      </x:c>
      <x:c r="C69" s="15" t="n">
        <x:f>'Eligible cohort'!N69</x:f>
        <x:v>1230.27</x:v>
      </x:c>
      <x:c r="D69" s="15" t="n">
        <x:f>'Eligible cohort'!R69</x:f>
        <x:v>0.00501</x:v>
      </x:c>
      <x:c r="E69" s="15" t="n">
        <x:f>10^(9-B69)</x:f>
        <x:v>1230.268770812381</x:v>
      </x:c>
      <x:c r="F69" s="15" t="n">
        <x:f>9-LOG10(C69)</x:f>
        <x:v>5.909999566087389</x:v>
      </x:c>
      <x:c r="G69" s="16" t="n">
        <x:f>F69-B69</x:f>
        <x:v>-4.339126107311131e-7</x:v>
      </x:c>
      <x:c r="H69" s="16" t="n">
        <x:f>C69-E69</x:f>
        <x:v>0.0012291876189465256</x:v>
      </x:c>
      <x:c r="I69" s="14" t="str">
        <x:f>IF(ABS(H69)&lt;=D69,"Yes","No")</x:f>
        <x:v>Yes</x:v>
      </x:c>
    </x:row>
    <x:row r="70" ht="21" customHeight="1">
      <x:c r="A70" s="9" t="str">
        <x:v>16670426</x:v>
      </x:c>
      <x:c r="B70" s="11" t="n">
        <x:f>'Eligible cohort'!L70</x:f>
        <x:v>5.94</x:v>
      </x:c>
      <x:c r="C70" s="11" t="n">
        <x:f>'Eligible cohort'!N70</x:f>
        <x:v>1148.15</x:v>
      </x:c>
      <x:c r="D70" s="11" t="n">
        <x:f>'Eligible cohort'!R70</x:f>
        <x:v>0.00501</x:v>
      </x:c>
      <x:c r="E70" s="11" t="n">
        <x:f>10^(9-B70)</x:f>
        <x:v>1148.1536214968817</x:v>
      </x:c>
      <x:c r="F70" s="11" t="n">
        <x:f>9-LOG10(C70)</x:f>
        <x:v>5.94000136985031</x:v>
      </x:c>
      <x:c r="G70" s="12" t="n">
        <x:f>F70-B70</x:f>
        <x:v>0.000001369850309629328</x:v>
      </x:c>
      <x:c r="H70" s="12" t="n">
        <x:f>C70-E70</x:f>
        <x:v>-0.003621496881578423</x:v>
      </x:c>
      <x:c r="I70" s="9" t="str">
        <x:f>IF(ABS(H70)&lt;=D70,"Yes","No")</x:f>
        <x:v>Yes</x:v>
      </x:c>
    </x:row>
    <x:row r="71" ht="21" customHeight="1">
      <x:c r="A71" s="14" t="str">
        <x:v>16670427</x:v>
      </x:c>
      <x:c r="B71" s="15" t="n">
        <x:f>'Eligible cohort'!L71</x:f>
        <x:v>5.12</x:v>
      </x:c>
      <x:c r="C71" s="15" t="n">
        <x:f>'Eligible cohort'!N71</x:f>
        <x:v>7585.78</x:v>
      </x:c>
      <x:c r="D71" s="15" t="n">
        <x:f>'Eligible cohort'!R71</x:f>
        <x:v>0.007585775750291835</x:v>
      </x:c>
      <x:c r="E71" s="15" t="n">
        <x:f>10^(9-B71)</x:f>
        <x:v>7585.775750291836</x:v>
      </x:c>
      <x:c r="F71" s="15" t="n">
        <x:f>9-LOG10(C71)</x:f>
        <x:v>5.11999975669933</x:v>
      </x:c>
      <x:c r="G71" s="16" t="n">
        <x:f>F71-B71</x:f>
        <x:v>-2.433006702773355e-7</x:v>
      </x:c>
      <x:c r="H71" s="16" t="n">
        <x:f>C71-E71</x:f>
        <x:v>0.0042497081640249235</x:v>
      </x:c>
      <x:c r="I71" s="14" t="str">
        <x:f>IF(ABS(H71)&lt;=D71,"Yes","No")</x:f>
        <x:v>Yes</x:v>
      </x:c>
    </x:row>
    <x:row r="72" ht="21" customHeight="1">
      <x:c r="A72" s="9" t="str">
        <x:v>16670459</x:v>
      </x:c>
      <x:c r="B72" s="11" t="n">
        <x:f>'Eligible cohort'!L72</x:f>
        <x:v>5.65</x:v>
      </x:c>
      <x:c r="C72" s="11" t="n">
        <x:f>'Eligible cohort'!N72</x:f>
        <x:v>2238.72</x:v>
      </x:c>
      <x:c r="D72" s="11" t="n">
        <x:f>'Eligible cohort'!R72</x:f>
        <x:v>0.00501</x:v>
      </x:c>
      <x:c r="E72" s="11" t="n">
        <x:f>10^(9-B72)</x:f>
        <x:v>2238.7211385683377</x:v>
      </x:c>
      <x:c r="F72" s="11" t="n">
        <x:f>9-LOG10(C72)</x:f>
        <x:v>5.65000022087346</x:v>
      </x:c>
      <x:c r="G72" s="12" t="n">
        <x:f>F72-B72</x:f>
        <x:v>2.2087345996624208e-7</x:v>
      </x:c>
      <x:c r="H72" s="12" t="n">
        <x:f>C72-E72</x:f>
        <x:v>-0.0011385683378648537</x:v>
      </x:c>
      <x:c r="I72" s="9" t="str">
        <x:f>IF(ABS(H72)&lt;=D72,"Yes","No")</x:f>
        <x:v>Yes</x:v>
      </x:c>
    </x:row>
    <x:row r="73" ht="21" customHeight="1">
      <x:c r="A73" s="14" t="str">
        <x:v>16670460</x:v>
      </x:c>
      <x:c r="B73" s="15" t="n">
        <x:f>'Eligible cohort'!L73</x:f>
        <x:v>6</x:v>
      </x:c>
      <x:c r="C73" s="15" t="n">
        <x:f>'Eligible cohort'!N73</x:f>
        <x:v>1000</x:v>
      </x:c>
      <x:c r="D73" s="15" t="n">
        <x:f>'Eligible cohort'!R73</x:f>
        <x:v>0.00501</x:v>
      </x:c>
      <x:c r="E73" s="15" t="n">
        <x:f>10^(9-B73)</x:f>
        <x:v>1000</x:v>
      </x:c>
      <x:c r="F73" s="15" t="n">
        <x:f>9-LOG10(C73)</x:f>
        <x:v>6</x:v>
      </x:c>
      <x:c r="G73" s="16" t="n">
        <x:f>F73-B73</x:f>
        <x:v>0</x:v>
      </x:c>
      <x:c r="H73" s="16" t="n">
        <x:f>C73-E73</x:f>
        <x:v>0</x:v>
      </x:c>
      <x:c r="I73" s="14" t="str">
        <x:f>IF(ABS(H73)&lt;=D73,"Yes","No")</x:f>
        <x:v>Yes</x:v>
      </x:c>
    </x:row>
    <x:row r="74" ht="21" customHeight="1">
      <x:c r="A74" s="9" t="str">
        <x:v>16670461</x:v>
      </x:c>
      <x:c r="B74" s="11" t="n">
        <x:f>'Eligible cohort'!L74</x:f>
        <x:v>6.09</x:v>
      </x:c>
      <x:c r="C74" s="11" t="n">
        <x:f>'Eligible cohort'!N74</x:f>
        <x:v>812.83</x:v>
      </x:c>
      <x:c r="D74" s="11" t="n">
        <x:f>'Eligible cohort'!R74</x:f>
        <x:v>0.00501</x:v>
      </x:c>
      <x:c r="E74" s="11" t="n">
        <x:f>10^(9-B74)</x:f>
        <x:v>812.8305161640995</x:v>
      </x:c>
      <x:c r="F74" s="11" t="n">
        <x:f>9-LOG10(C74)</x:f>
        <x:v>6.09000027578602</x:v>
      </x:c>
      <x:c r="G74" s="12" t="n">
        <x:f>F74-B74</x:f>
        <x:v>2.7578601979882933e-7</x:v>
      </x:c>
      <x:c r="H74" s="12" t="n">
        <x:f>C74-E74</x:f>
        <x:v>-0.0005161640995083872</x:v>
      </x:c>
      <x:c r="I74" s="9" t="str">
        <x:f>IF(ABS(H74)&lt;=D74,"Yes","No")</x:f>
        <x:v>Yes</x:v>
      </x:c>
    </x:row>
    <x:row r="75" ht="21" customHeight="1">
      <x:c r="A75" s="14" t="str">
        <x:v>16670462</x:v>
      </x:c>
      <x:c r="B75" s="15" t="n">
        <x:f>'Eligible cohort'!L75</x:f>
        <x:v>6.13</x:v>
      </x:c>
      <x:c r="C75" s="15" t="n">
        <x:f>'Eligible cohort'!N75</x:f>
        <x:v>741.31</x:v>
      </x:c>
      <x:c r="D75" s="15" t="n">
        <x:f>'Eligible cohort'!R75</x:f>
        <x:v>0.00501</x:v>
      </x:c>
      <x:c r="E75" s="15" t="n">
        <x:f>10^(9-B75)</x:f>
        <x:v>741.3102413009177</x:v>
      </x:c>
      <x:c r="F75" s="15" t="n">
        <x:f>9-LOG10(C75)</x:f>
        <x:v>6.1300001413654694</x:v>
      </x:c>
      <x:c r="G75" s="16" t="n">
        <x:f>F75-B75</x:f>
        <x:v>1.413654695525679e-7</x:v>
      </x:c>
      <x:c r="H75" s="16" t="n">
        <x:f>C75-E75</x:f>
        <x:v>-0.00024130091776441986</x:v>
      </x:c>
      <x:c r="I75" s="14" t="str">
        <x:f>IF(ABS(H75)&lt;=D75,"Yes","No")</x:f>
        <x:v>Yes</x:v>
      </x:c>
    </x:row>
    <x:row r="76" ht="21" customHeight="1">
      <x:c r="A76" s="9" t="str">
        <x:v>16670463</x:v>
      </x:c>
      <x:c r="B76" s="11" t="n">
        <x:f>'Eligible cohort'!L76</x:f>
        <x:v>6.23</x:v>
      </x:c>
      <x:c r="C76" s="11" t="n">
        <x:f>'Eligible cohort'!N76</x:f>
        <x:v>588.84</x:v>
      </x:c>
      <x:c r="D76" s="11" t="n">
        <x:f>'Eligible cohort'!R76</x:f>
        <x:v>0.00501</x:v>
      </x:c>
      <x:c r="E76" s="11" t="n">
        <x:f>10^(9-B76)</x:f>
        <x:v>588.8436553555883</x:v>
      </x:c>
      <x:c r="F76" s="11" t="n">
        <x:f>9-LOG10(C76)</x:f>
        <x:v>6.23000269597146</x:v>
      </x:c>
      <x:c r="G76" s="12" t="n">
        <x:f>F76-B76</x:f>
        <x:v>0.0000026959714594099182</x:v>
      </x:c>
      <x:c r="H76" s="12" t="n">
        <x:f>C76-E76</x:f>
        <x:v>-0.0036553555883074296</x:v>
      </x:c>
      <x:c r="I76" s="9" t="str">
        <x:f>IF(ABS(H76)&lt;=D76,"Yes","No")</x:f>
        <x:v>Yes</x:v>
      </x:c>
    </x:row>
    <x:row r="77" ht="21" customHeight="1">
      <x:c r="A77" s="14" t="str">
        <x:v>16670719</x:v>
      </x:c>
      <x:c r="B77" s="15" t="n">
        <x:f>'Eligible cohort'!L77</x:f>
        <x:v>5.84</x:v>
      </x:c>
      <x:c r="C77" s="15" t="n">
        <x:f>'Eligible cohort'!N77</x:f>
        <x:v>1445.44</x:v>
      </x:c>
      <x:c r="D77" s="15" t="n">
        <x:f>'Eligible cohort'!R77</x:f>
        <x:v>0.00501</x:v>
      </x:c>
      <x:c r="E77" s="15" t="n">
        <x:f>10^(9-B77)</x:f>
        <x:v>1445.439770745928</x:v>
      </x:c>
      <x:c r="F77" s="15" t="n">
        <x:f>9-LOG10(C77)</x:f>
        <x:v>5.8399999311187</x:v>
      </x:c>
      <x:c r="G77" s="16" t="n">
        <x:f>F77-B77</x:f>
        <x:v>-6.888129977511426e-8</x:v>
      </x:c>
      <x:c r="H77" s="16" t="n">
        <x:f>C77-E77</x:f>
        <x:v>0.00022925407211005222</x:v>
      </x:c>
      <x:c r="I77" s="14" t="str">
        <x:f>IF(ABS(H77)&lt;=D77,"Yes","No")</x:f>
        <x:v>Yes</x:v>
      </x:c>
    </x:row>
    <x:row r="78" ht="21" customHeight="1">
      <x:c r="A78" s="9" t="str">
        <x:v>16670720</x:v>
      </x:c>
      <x:c r="B78" s="11" t="n">
        <x:f>'Eligible cohort'!L78</x:f>
        <x:v>6.34</x:v>
      </x:c>
      <x:c r="C78" s="11" t="n">
        <x:f>'Eligible cohort'!N78</x:f>
        <x:v>457.09</x:v>
      </x:c>
      <x:c r="D78" s="11" t="n">
        <x:f>'Eligible cohort'!R78</x:f>
        <x:v>0.00501</x:v>
      </x:c>
      <x:c r="E78" s="11" t="n">
        <x:f>10^(9-B78)</x:f>
        <x:v>457.0881896148752</x:v>
      </x:c>
      <x:c r="F78" s="11" t="n">
        <x:f>9-LOG10(C78)</x:f>
        <x:v>6.33999827989712</x:v>
      </x:c>
      <x:c r="G78" s="12" t="n">
        <x:f>F78-B78</x:f>
        <x:v>-0.0000017201028796876017</x:v>
      </x:c>
      <x:c r="H78" s="12" t="n">
        <x:f>C78-E78</x:f>
        <x:v>0.0018103851247701641</x:v>
      </x:c>
      <x:c r="I78" s="9" t="str">
        <x:f>IF(ABS(H78)&lt;=D78,"Yes","No")</x:f>
        <x:v>Yes</x:v>
      </x:c>
    </x:row>
    <x:row r="79" ht="21" customHeight="1">
      <x:c r="A79" s="14" t="str">
        <x:v>16670825</x:v>
      </x:c>
      <x:c r="B79" s="15" t="n">
        <x:f>'Eligible cohort'!L79</x:f>
        <x:v>6.06</x:v>
      </x:c>
      <x:c r="C79" s="15" t="n">
        <x:f>'Eligible cohort'!N79</x:f>
        <x:v>870.96</x:v>
      </x:c>
      <x:c r="D79" s="15" t="n">
        <x:f>'Eligible cohort'!R79</x:f>
        <x:v>0.00501</x:v>
      </x:c>
      <x:c r="E79" s="15" t="n">
        <x:f>10^(9-B79)</x:f>
        <x:v>870.9635899560815</x:v>
      </x:c>
      <x:c r="F79" s="15" t="n">
        <x:f>9-LOG10(C79)</x:f>
        <x:v>6.06000179008784</x:v>
      </x:c>
      <x:c r="G79" s="16" t="n">
        <x:f>F79-B79</x:f>
        <x:v>0.0000017900878406251763</x:v>
      </x:c>
      <x:c r="H79" s="16" t="n">
        <x:f>C79-E79</x:f>
        <x:v>-0.0035899560814414144</x:v>
      </x:c>
      <x:c r="I79" s="14" t="str">
        <x:f>IF(ABS(H79)&lt;=D79,"Yes","No")</x:f>
        <x:v>Yes</x:v>
      </x:c>
    </x:row>
    <x:row r="80" ht="21" customHeight="1">
      <x:c r="A80" s="9" t="str">
        <x:v>16670842</x:v>
      </x:c>
      <x:c r="B80" s="11" t="n">
        <x:f>'Eligible cohort'!L80</x:f>
        <x:v>5.87</x:v>
      </x:c>
      <x:c r="C80" s="11" t="n">
        <x:f>'Eligible cohort'!N80</x:f>
        <x:v>1348.96</x:v>
      </x:c>
      <x:c r="D80" s="11" t="n">
        <x:f>'Eligible cohort'!R80</x:f>
        <x:v>0.00501</x:v>
      </x:c>
      <x:c r="E80" s="11" t="n">
        <x:f>10^(9-B80)</x:f>
        <x:v>1348.9628825916532</x:v>
      </x:c>
      <x:c r="F80" s="11" t="n">
        <x:f>9-LOG10(C80)</x:f>
        <x:v>5.87000092804257</x:v>
      </x:c>
      <x:c r="G80" s="12" t="n">
        <x:f>F80-B80</x:f>
        <x:v>9.28042569903198e-7</x:v>
      </x:c>
      <x:c r="H80" s="12" t="n">
        <x:f>C80-E80</x:f>
        <x:v>-0.002882591653133204</x:v>
      </x:c>
      <x:c r="I80" s="9" t="str">
        <x:f>IF(ABS(H80)&lt;=D80,"Yes","No")</x:f>
        <x:v>Yes</x:v>
      </x:c>
    </x:row>
    <x:row r="81" ht="21" customHeight="1">
      <x:c r="A81" s="14" t="str">
        <x:v>16670852</x:v>
      </x:c>
      <x:c r="B81" s="15" t="n">
        <x:f>'Eligible cohort'!L81</x:f>
        <x:v>5.77</x:v>
      </x:c>
      <x:c r="C81" s="15" t="n">
        <x:f>'Eligible cohort'!N81</x:f>
        <x:v>1698.24</x:v>
      </x:c>
      <x:c r="D81" s="15" t="n">
        <x:f>'Eligible cohort'!R81</x:f>
        <x:v>0.00501</x:v>
      </x:c>
      <x:c r="E81" s="15" t="n">
        <x:f>10^(9-B81)</x:f>
        <x:v>1698.243652461746</x:v>
      </x:c>
      <x:c r="F81" s="15" t="n">
        <x:f>9-LOG10(C81)</x:f>
        <x:v>5.77000093405071</x:v>
      </x:c>
      <x:c r="G81" s="16" t="n">
        <x:f>F81-B81</x:f>
        <x:v>9.340507105548568e-7</x:v>
      </x:c>
      <x:c r="H81" s="16" t="n">
        <x:f>C81-E81</x:f>
        <x:v>-0.0036524617460145237</x:v>
      </x:c>
      <x:c r="I81" s="14" t="str">
        <x:f>IF(ABS(H81)&lt;=D81,"Yes","No")</x:f>
        <x:v>Yes</x:v>
      </x:c>
    </x:row>
  </x:sheetData>
  <x:conditionalFormatting sqref="I2:I81">
    <x:cfRule type="cellIs" dxfId="0" priority="1" operator="equal">
      <x:formula>"No"</x:formula>
    </x:cfRule>
  </x:conditionalFormatting>
  <x:pageMargins left="0.7" right="0.7" top="0.75" bottom="0.75" header="0.3" footer="0.3"/>
  <x:tableParts count="1">
    <x:tablePart xmlns:r="http://schemas.openxmlformats.org/officeDocument/2006/relationships" r:id="Rc4d7708abd174736"/>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4" hidden="0" customWidth="1"/>
    <x:col min="2" max="2" width="74" hidden="0" customWidth="1"/>
    <x:col min="3" max="3" width="17" hidden="0" customWidth="1"/>
    <x:col min="4" max="4" width="90" hidden="0" customWidth="1"/>
  </x:cols>
  <x:sheetData>
    <x:row r="1" ht="48" customHeight="1">
      <x:c r="A1" s="6" t="str">
        <x:v>Source file</x:v>
      </x:c>
      <x:c r="B1" s="6" t="str">
        <x:v>JSON field</x:v>
      </x:c>
      <x:c r="C1" s="6" t="str">
        <x:v>Value type</x:v>
      </x:c>
      <x:c r="D1" s="6" t="str">
        <x:v>Recorded value</x:v>
      </x:c>
    </x:row>
    <x:row r="2" ht="21" customHeight="1">
      <x:c r="A2" s="9" t="str">
        <x:v>results/report.json</x:v>
      </x:c>
      <x:c r="B2" s="9" t="str">
        <x:v>cohort_n</x:v>
      </x:c>
      <x:c r="C2" s="9" t="str">
        <x:v>number</x:v>
      </x:c>
      <x:c r="D2" s="11" t="n">
        <x:v>80</x:v>
      </x:c>
    </x:row>
    <x:row r="3" ht="21" customHeight="1">
      <x:c r="A3" s="14" t="str">
        <x:v>results/report.json</x:v>
      </x:c>
      <x:c r="B3" s="14" t="str">
        <x:v>train_n</x:v>
      </x:c>
      <x:c r="C3" s="14" t="str">
        <x:v>number</x:v>
      </x:c>
      <x:c r="D3" s="15" t="n">
        <x:v>57</x:v>
      </x:c>
    </x:row>
    <x:row r="4" ht="21" customHeight="1">
      <x:c r="A4" s="9" t="str">
        <x:v>results/report.json</x:v>
      </x:c>
      <x:c r="B4" s="9" t="str">
        <x:v>test_n</x:v>
      </x:c>
      <x:c r="C4" s="9" t="str">
        <x:v>number</x:v>
      </x:c>
      <x:c r="D4" s="11" t="n">
        <x:v>23</x:v>
      </x:c>
    </x:row>
    <x:row r="5" ht="21" customHeight="1">
      <x:c r="A5" s="14" t="str">
        <x:v>results/report.json</x:v>
      </x:c>
      <x:c r="B5" s="14" t="str">
        <x:v>split.method</x:v>
      </x:c>
      <x:c r="C5" s="14" t="str">
        <x:v>string</x:v>
      </x:c>
      <x:c r="D5" s="15" t="str">
        <x:v>scaffold_and_parent_grouped</x:v>
      </x:c>
    </x:row>
    <x:row r="6" ht="21" customHeight="1">
      <x:c r="A6" s="9" t="str">
        <x:v>results/report.json</x:v>
      </x:c>
      <x:c r="B6" s="9" t="str">
        <x:v>split.groups</x:v>
      </x:c>
      <x:c r="C6" s="9" t="str">
        <x:v>number</x:v>
      </x:c>
      <x:c r="D6" s="11" t="n">
        <x:v>32</x:v>
      </x:c>
    </x:row>
    <x:row r="7" ht="21" customHeight="1">
      <x:c r="A7" s="14" t="str">
        <x:v>results/report.json</x:v>
      </x:c>
      <x:c r="B7" s="14" t="str">
        <x:v>split.group_sizes.0</x:v>
      </x:c>
      <x:c r="C7" s="14" t="str">
        <x:v>number</x:v>
      </x:c>
      <x:c r="D7" s="15" t="n">
        <x:v>18</x:v>
      </x:c>
    </x:row>
    <x:row r="8" ht="21" customHeight="1">
      <x:c r="A8" s="9" t="str">
        <x:v>results/report.json</x:v>
      </x:c>
      <x:c r="B8" s="9" t="str">
        <x:v>split.group_sizes.1</x:v>
      </x:c>
      <x:c r="C8" s="9" t="str">
        <x:v>number</x:v>
      </x:c>
      <x:c r="D8" s="11" t="n">
        <x:v>14</x:v>
      </x:c>
    </x:row>
    <x:row r="9" ht="21" customHeight="1">
      <x:c r="A9" s="14" t="str">
        <x:v>results/report.json</x:v>
      </x:c>
      <x:c r="B9" s="14" t="str">
        <x:v>split.group_sizes.2</x:v>
      </x:c>
      <x:c r="C9" s="14" t="str">
        <x:v>number</x:v>
      </x:c>
      <x:c r="D9" s="15" t="n">
        <x:v>7</x:v>
      </x:c>
    </x:row>
    <x:row r="10" ht="21" customHeight="1">
      <x:c r="A10" s="9" t="str">
        <x:v>results/report.json</x:v>
      </x:c>
      <x:c r="B10" s="9" t="str">
        <x:v>split.group_sizes.3</x:v>
      </x:c>
      <x:c r="C10" s="9" t="str">
        <x:v>number</x:v>
      </x:c>
      <x:c r="D10" s="11" t="n">
        <x:v>2</x:v>
      </x:c>
    </x:row>
    <x:row r="11" ht="21" customHeight="1">
      <x:c r="A11" s="14" t="str">
        <x:v>results/report.json</x:v>
      </x:c>
      <x:c r="B11" s="14" t="str">
        <x:v>split.group_sizes.4</x:v>
      </x:c>
      <x:c r="C11" s="14" t="str">
        <x:v>number</x:v>
      </x:c>
      <x:c r="D11" s="15" t="n">
        <x:v>2</x:v>
      </x:c>
    </x:row>
    <x:row r="12" ht="21" customHeight="1">
      <x:c r="A12" s="9" t="str">
        <x:v>results/report.json</x:v>
      </x:c>
      <x:c r="B12" s="9" t="str">
        <x:v>split.group_sizes.5</x:v>
      </x:c>
      <x:c r="C12" s="9" t="str">
        <x:v>number</x:v>
      </x:c>
      <x:c r="D12" s="11" t="n">
        <x:v>2</x:v>
      </x:c>
    </x:row>
    <x:row r="13" ht="21" customHeight="1">
      <x:c r="A13" s="14" t="str">
        <x:v>results/report.json</x:v>
      </x:c>
      <x:c r="B13" s="14" t="str">
        <x:v>split.group_sizes.6</x:v>
      </x:c>
      <x:c r="C13" s="14" t="str">
        <x:v>number</x:v>
      </x:c>
      <x:c r="D13" s="15" t="n">
        <x:v>2</x:v>
      </x:c>
    </x:row>
    <x:row r="14" ht="21" customHeight="1">
      <x:c r="A14" s="9" t="str">
        <x:v>results/report.json</x:v>
      </x:c>
      <x:c r="B14" s="9" t="str">
        <x:v>split.group_sizes.7</x:v>
      </x:c>
      <x:c r="C14" s="9" t="str">
        <x:v>number</x:v>
      </x:c>
      <x:c r="D14" s="11" t="n">
        <x:v>2</x:v>
      </x:c>
    </x:row>
    <x:row r="15" ht="21" customHeight="1">
      <x:c r="A15" s="14" t="str">
        <x:v>results/report.json</x:v>
      </x:c>
      <x:c r="B15" s="14" t="str">
        <x:v>split.group_sizes.8</x:v>
      </x:c>
      <x:c r="C15" s="14" t="str">
        <x:v>number</x:v>
      </x:c>
      <x:c r="D15" s="15" t="n">
        <x:v>2</x:v>
      </x:c>
    </x:row>
    <x:row r="16" ht="21" customHeight="1">
      <x:c r="A16" s="9" t="str">
        <x:v>results/report.json</x:v>
      </x:c>
      <x:c r="B16" s="9" t="str">
        <x:v>split.group_sizes.9</x:v>
      </x:c>
      <x:c r="C16" s="9" t="str">
        <x:v>number</x:v>
      </x:c>
      <x:c r="D16" s="11" t="n">
        <x:v>2</x:v>
      </x:c>
    </x:row>
    <x:row r="17" ht="21" customHeight="1">
      <x:c r="A17" s="14" t="str">
        <x:v>results/report.json</x:v>
      </x:c>
      <x:c r="B17" s="14" t="str">
        <x:v>split.group_sizes.10</x:v>
      </x:c>
      <x:c r="C17" s="14" t="str">
        <x:v>number</x:v>
      </x:c>
      <x:c r="D17" s="15" t="n">
        <x:v>2</x:v>
      </x:c>
    </x:row>
    <x:row r="18" ht="21" customHeight="1">
      <x:c r="A18" s="9" t="str">
        <x:v>results/report.json</x:v>
      </x:c>
      <x:c r="B18" s="9" t="str">
        <x:v>split.group_sizes.11</x:v>
      </x:c>
      <x:c r="C18" s="9" t="str">
        <x:v>number</x:v>
      </x:c>
      <x:c r="D18" s="11" t="n">
        <x:v>2</x:v>
      </x:c>
    </x:row>
    <x:row r="19" ht="21" customHeight="1">
      <x:c r="A19" s="14" t="str">
        <x:v>results/report.json</x:v>
      </x:c>
      <x:c r="B19" s="14" t="str">
        <x:v>split.group_sizes.12</x:v>
      </x:c>
      <x:c r="C19" s="14" t="str">
        <x:v>number</x:v>
      </x:c>
      <x:c r="D19" s="15" t="n">
        <x:v>2</x:v>
      </x:c>
    </x:row>
    <x:row r="20" ht="21" customHeight="1">
      <x:c r="A20" s="9" t="str">
        <x:v>results/report.json</x:v>
      </x:c>
      <x:c r="B20" s="9" t="str">
        <x:v>split.group_sizes.13</x:v>
      </x:c>
      <x:c r="C20" s="9" t="str">
        <x:v>number</x:v>
      </x:c>
      <x:c r="D20" s="11" t="n">
        <x:v>2</x:v>
      </x:c>
    </x:row>
    <x:row r="21" ht="21" customHeight="1">
      <x:c r="A21" s="14" t="str">
        <x:v>results/report.json</x:v>
      </x:c>
      <x:c r="B21" s="14" t="str">
        <x:v>split.group_sizes.14</x:v>
      </x:c>
      <x:c r="C21" s="14" t="str">
        <x:v>number</x:v>
      </x:c>
      <x:c r="D21" s="15" t="n">
        <x:v>2</x:v>
      </x:c>
    </x:row>
    <x:row r="22" ht="21" customHeight="1">
      <x:c r="A22" s="9" t="str">
        <x:v>results/report.json</x:v>
      </x:c>
      <x:c r="B22" s="9" t="str">
        <x:v>split.group_sizes.15</x:v>
      </x:c>
      <x:c r="C22" s="9" t="str">
        <x:v>number</x:v>
      </x:c>
      <x:c r="D22" s="11" t="n">
        <x:v>1</x:v>
      </x:c>
    </x:row>
    <x:row r="23" ht="21" customHeight="1">
      <x:c r="A23" s="14" t="str">
        <x:v>results/report.json</x:v>
      </x:c>
      <x:c r="B23" s="14" t="str">
        <x:v>split.group_sizes.16</x:v>
      </x:c>
      <x:c r="C23" s="14" t="str">
        <x:v>number</x:v>
      </x:c>
      <x:c r="D23" s="15" t="n">
        <x:v>1</x:v>
      </x:c>
    </x:row>
    <x:row r="24" ht="21" customHeight="1">
      <x:c r="A24" s="9" t="str">
        <x:v>results/report.json</x:v>
      </x:c>
      <x:c r="B24" s="9" t="str">
        <x:v>split.group_sizes.17</x:v>
      </x:c>
      <x:c r="C24" s="9" t="str">
        <x:v>number</x:v>
      </x:c>
      <x:c r="D24" s="11" t="n">
        <x:v>1</x:v>
      </x:c>
    </x:row>
    <x:row r="25" ht="21" customHeight="1">
      <x:c r="A25" s="14" t="str">
        <x:v>results/report.json</x:v>
      </x:c>
      <x:c r="B25" s="14" t="str">
        <x:v>split.group_sizes.18</x:v>
      </x:c>
      <x:c r="C25" s="14" t="str">
        <x:v>number</x:v>
      </x:c>
      <x:c r="D25" s="15" t="n">
        <x:v>1</x:v>
      </x:c>
    </x:row>
    <x:row r="26" ht="21" customHeight="1">
      <x:c r="A26" s="9" t="str">
        <x:v>results/report.json</x:v>
      </x:c>
      <x:c r="B26" s="9" t="str">
        <x:v>split.group_sizes.19</x:v>
      </x:c>
      <x:c r="C26" s="9" t="str">
        <x:v>number</x:v>
      </x:c>
      <x:c r="D26" s="11" t="n">
        <x:v>1</x:v>
      </x:c>
    </x:row>
    <x:row r="27" ht="21" customHeight="1">
      <x:c r="A27" s="14" t="str">
        <x:v>results/report.json</x:v>
      </x:c>
      <x:c r="B27" s="14" t="str">
        <x:v>split.group_sizes.20</x:v>
      </x:c>
      <x:c r="C27" s="14" t="str">
        <x:v>number</x:v>
      </x:c>
      <x:c r="D27" s="15" t="n">
        <x:v>1</x:v>
      </x:c>
    </x:row>
    <x:row r="28" ht="21" customHeight="1">
      <x:c r="A28" s="9" t="str">
        <x:v>results/report.json</x:v>
      </x:c>
      <x:c r="B28" s="9" t="str">
        <x:v>split.group_sizes.21</x:v>
      </x:c>
      <x:c r="C28" s="9" t="str">
        <x:v>number</x:v>
      </x:c>
      <x:c r="D28" s="11" t="n">
        <x:v>1</x:v>
      </x:c>
    </x:row>
    <x:row r="29" ht="21" customHeight="1">
      <x:c r="A29" s="14" t="str">
        <x:v>results/report.json</x:v>
      </x:c>
      <x:c r="B29" s="14" t="str">
        <x:v>split.group_sizes.22</x:v>
      </x:c>
      <x:c r="C29" s="14" t="str">
        <x:v>number</x:v>
      </x:c>
      <x:c r="D29" s="15" t="n">
        <x:v>1</x:v>
      </x:c>
    </x:row>
    <x:row r="30" ht="21" customHeight="1">
      <x:c r="A30" s="9" t="str">
        <x:v>results/report.json</x:v>
      </x:c>
      <x:c r="B30" s="9" t="str">
        <x:v>split.group_sizes.23</x:v>
      </x:c>
      <x:c r="C30" s="9" t="str">
        <x:v>number</x:v>
      </x:c>
      <x:c r="D30" s="11" t="n">
        <x:v>1</x:v>
      </x:c>
    </x:row>
    <x:row r="31" ht="21" customHeight="1">
      <x:c r="A31" s="14" t="str">
        <x:v>results/report.json</x:v>
      </x:c>
      <x:c r="B31" s="14" t="str">
        <x:v>split.group_sizes.24</x:v>
      </x:c>
      <x:c r="C31" s="14" t="str">
        <x:v>number</x:v>
      </x:c>
      <x:c r="D31" s="15" t="n">
        <x:v>1</x:v>
      </x:c>
    </x:row>
    <x:row r="32" ht="21" customHeight="1">
      <x:c r="A32" s="9" t="str">
        <x:v>results/report.json</x:v>
      </x:c>
      <x:c r="B32" s="9" t="str">
        <x:v>split.group_sizes.25</x:v>
      </x:c>
      <x:c r="C32" s="9" t="str">
        <x:v>number</x:v>
      </x:c>
      <x:c r="D32" s="11" t="n">
        <x:v>1</x:v>
      </x:c>
    </x:row>
    <x:row r="33" ht="21" customHeight="1">
      <x:c r="A33" s="14" t="str">
        <x:v>results/report.json</x:v>
      </x:c>
      <x:c r="B33" s="14" t="str">
        <x:v>split.group_sizes.26</x:v>
      </x:c>
      <x:c r="C33" s="14" t="str">
        <x:v>number</x:v>
      </x:c>
      <x:c r="D33" s="15" t="n">
        <x:v>1</x:v>
      </x:c>
    </x:row>
    <x:row r="34" ht="21" customHeight="1">
      <x:c r="A34" s="9" t="str">
        <x:v>results/report.json</x:v>
      </x:c>
      <x:c r="B34" s="9" t="str">
        <x:v>split.group_sizes.27</x:v>
      </x:c>
      <x:c r="C34" s="9" t="str">
        <x:v>number</x:v>
      </x:c>
      <x:c r="D34" s="11" t="n">
        <x:v>1</x:v>
      </x:c>
    </x:row>
    <x:row r="35" ht="21" customHeight="1">
      <x:c r="A35" s="14" t="str">
        <x:v>results/report.json</x:v>
      </x:c>
      <x:c r="B35" s="14" t="str">
        <x:v>split.group_sizes.28</x:v>
      </x:c>
      <x:c r="C35" s="14" t="str">
        <x:v>number</x:v>
      </x:c>
      <x:c r="D35" s="15" t="n">
        <x:v>1</x:v>
      </x:c>
    </x:row>
    <x:row r="36" ht="21" customHeight="1">
      <x:c r="A36" s="9" t="str">
        <x:v>results/report.json</x:v>
      </x:c>
      <x:c r="B36" s="9" t="str">
        <x:v>split.group_sizes.29</x:v>
      </x:c>
      <x:c r="C36" s="9" t="str">
        <x:v>number</x:v>
      </x:c>
      <x:c r="D36" s="11" t="n">
        <x:v>1</x:v>
      </x:c>
    </x:row>
    <x:row r="37" ht="21" customHeight="1">
      <x:c r="A37" s="14" t="str">
        <x:v>results/report.json</x:v>
      </x:c>
      <x:c r="B37" s="14" t="str">
        <x:v>split.group_sizes.30</x:v>
      </x:c>
      <x:c r="C37" s="14" t="str">
        <x:v>number</x:v>
      </x:c>
      <x:c r="D37" s="15" t="n">
        <x:v>1</x:v>
      </x:c>
    </x:row>
    <x:row r="38" ht="21" customHeight="1">
      <x:c r="A38" s="9" t="str">
        <x:v>results/report.json</x:v>
      </x:c>
      <x:c r="B38" s="9" t="str">
        <x:v>split.group_sizes.31</x:v>
      </x:c>
      <x:c r="C38" s="9" t="str">
        <x:v>number</x:v>
      </x:c>
      <x:c r="D38" s="11" t="n">
        <x:v>1</x:v>
      </x:c>
    </x:row>
    <x:row r="39" ht="21" customHeight="1">
      <x:c r="A39" s="14" t="str">
        <x:v>results/report.json</x:v>
      </x:c>
      <x:c r="B39" s="14" t="str">
        <x:v>split.target_test_count</x:v>
      </x:c>
      <x:c r="C39" s="14" t="str">
        <x:v>number</x:v>
      </x:c>
      <x:c r="D39" s="15" t="n">
        <x:v>16</x:v>
      </x:c>
    </x:row>
    <x:row r="40" ht="21" customHeight="1">
      <x:c r="A40" s="9" t="str">
        <x:v>results/report.json</x:v>
      </x:c>
      <x:c r="B40" s="9" t="str">
        <x:v>split.achieved_test_fraction</x:v>
      </x:c>
      <x:c r="C40" s="9" t="str">
        <x:v>number</x:v>
      </x:c>
      <x:c r="D40" s="11" t="n">
        <x:v>0.2875</x:v>
      </x:c>
    </x:row>
    <x:row r="41" ht="21" customHeight="1">
      <x:c r="A41" s="14" t="str">
        <x:v>results/report.json</x:v>
      </x:c>
      <x:c r="B41" s="14" t="str">
        <x:v>split.seed</x:v>
      </x:c>
      <x:c r="C41" s="14" t="str">
        <x:v>string</x:v>
      </x:c>
      <x:c r="D41" s="15" t="str">
        <x:v>assay-pilot-v1</x:v>
      </x:c>
    </x:row>
    <x:row r="42" ht="21" customHeight="1">
      <x:c r="A42" s="9" t="str">
        <x:v>results/report.json</x:v>
      </x:c>
      <x:c r="B42" s="9" t="str">
        <x:v>holdout_metrics.training_mean.test_n</x:v>
      </x:c>
      <x:c r="C42" s="9" t="str">
        <x:v>number</x:v>
      </x:c>
      <x:c r="D42" s="11" t="n">
        <x:v>23</x:v>
      </x:c>
    </x:row>
    <x:row r="43" ht="21" customHeight="1">
      <x:c r="A43" s="14" t="str">
        <x:v>results/report.json</x:v>
      </x:c>
      <x:c r="B43" s="14" t="str">
        <x:v>holdout_metrics.training_mean.MAE</x:v>
      </x:c>
      <x:c r="C43" s="14" t="str">
        <x:v>number</x:v>
      </x:c>
      <x:c r="D43" s="15" t="n">
        <x:v>0.37567505720823824</x:v>
      </x:c>
    </x:row>
    <x:row r="44" ht="21" customHeight="1">
      <x:c r="A44" s="9" t="str">
        <x:v>results/report.json</x:v>
      </x:c>
      <x:c r="B44" s="9" t="str">
        <x:v>holdout_metrics.training_mean.RMSE</x:v>
      </x:c>
      <x:c r="C44" s="9" t="str">
        <x:v>number</x:v>
      </x:c>
      <x:c r="D44" s="11" t="n">
        <x:v>0.49685998251590124</x:v>
      </x:c>
    </x:row>
    <x:row r="45" ht="21" customHeight="1">
      <x:c r="A45" s="14" t="str">
        <x:v>results/report.json</x:v>
      </x:c>
      <x:c r="B45" s="14" t="str">
        <x:v>holdout_metrics.training_mean.R2</x:v>
      </x:c>
      <x:c r="C45" s="14" t="str">
        <x:v>number</x:v>
      </x:c>
      <x:c r="D45" s="15" t="n">
        <x:v>-0.07680935610672401</x:v>
      </x:c>
    </x:row>
    <x:row r="46" ht="21" customHeight="1">
      <x:c r="A46" s="9" t="str">
        <x:v>results/report.json</x:v>
      </x:c>
      <x:c r="B46" s="9" t="str">
        <x:v>holdout_metrics.ridge_alpha_1.test_n</x:v>
      </x:c>
      <x:c r="C46" s="9" t="str">
        <x:v>number</x:v>
      </x:c>
      <x:c r="D46" s="11" t="n">
        <x:v>23</x:v>
      </x:c>
    </x:row>
    <x:row r="47" ht="21" customHeight="1">
      <x:c r="A47" s="14" t="str">
        <x:v>results/report.json</x:v>
      </x:c>
      <x:c r="B47" s="14" t="str">
        <x:v>holdout_metrics.ridge_alpha_1.MAE</x:v>
      </x:c>
      <x:c r="C47" s="14" t="str">
        <x:v>number</x:v>
      </x:c>
      <x:c r="D47" s="15" t="n">
        <x:v>0.3698930238683352</x:v>
      </x:c>
    </x:row>
    <x:row r="48" ht="21" customHeight="1">
      <x:c r="A48" s="9" t="str">
        <x:v>results/report.json</x:v>
      </x:c>
      <x:c r="B48" s="9" t="str">
        <x:v>holdout_metrics.ridge_alpha_1.RMSE</x:v>
      </x:c>
      <x:c r="C48" s="9" t="str">
        <x:v>number</x:v>
      </x:c>
      <x:c r="D48" s="11" t="n">
        <x:v>0.49120500680238127</x:v>
      </x:c>
    </x:row>
    <x:row r="49" ht="21" customHeight="1">
      <x:c r="A49" s="14" t="str">
        <x:v>results/report.json</x:v>
      </x:c>
      <x:c r="B49" s="14" t="str">
        <x:v>holdout_metrics.ridge_alpha_1.R2</x:v>
      </x:c>
      <x:c r="C49" s="14" t="str">
        <x:v>number</x:v>
      </x:c>
      <x:c r="D49" s="15" t="n">
        <x:v>-0.05243758807300014</x:v>
      </x:c>
    </x:row>
    <x:row r="50" ht="21" customHeight="1">
      <x:c r="A50" s="9" t="str">
        <x:v>results/report.json</x:v>
      </x:c>
      <x:c r="B50" s="9" t="str">
        <x:v>versions.numpy</x:v>
      </x:c>
      <x:c r="C50" s="9" t="str">
        <x:v>string</x:v>
      </x:c>
      <x:c r="D50" s="11" t="str">
        <x:v>2.5.4</x:v>
      </x:c>
    </x:row>
    <x:row r="51" ht="21" customHeight="1">
      <x:c r="A51" s="14" t="str">
        <x:v>results/report.json</x:v>
      </x:c>
      <x:c r="B51" s="14" t="str">
        <x:v>versions.pandas</x:v>
      </x:c>
      <x:c r="C51" s="14" t="str">
        <x:v>string</x:v>
      </x:c>
      <x:c r="D51" s="15" t="str">
        <x:v>3.1.0</x:v>
      </x:c>
    </x:row>
    <x:row r="52" ht="21" customHeight="1">
      <x:c r="A52" s="9" t="str">
        <x:v>results/report.json</x:v>
      </x:c>
      <x:c r="B52" s="9" t="str">
        <x:v>versions.rdkit</x:v>
      </x:c>
      <x:c r="C52" s="9" t="str">
        <x:v>string</x:v>
      </x:c>
      <x:c r="D52" s="11" t="str">
        <x:v>2026.9.1</x:v>
      </x:c>
    </x:row>
    <x:row r="53" ht="21" customHeight="1">
      <x:c r="A53" s="14" t="str">
        <x:v>results/report.json</x:v>
      </x:c>
      <x:c r="B53" s="14" t="str">
        <x:v>versions.useful_rdkit_utils</x:v>
      </x:c>
      <x:c r="C53" s="14" t="str">
        <x:v>string</x:v>
      </x:c>
      <x:c r="D53" s="15" t="str">
        <x:v>2.0.1</x:v>
      </x:c>
    </x:row>
    <x:row r="54" ht="21" customHeight="1">
      <x:c r="A54" s="9" t="str">
        <x:v>results/report.json</x:v>
      </x:c>
      <x:c r="B54" s="9" t="str">
        <x:v>versions.scikit-learn</x:v>
      </x:c>
      <x:c r="C54" s="9" t="str">
        <x:v>string</x:v>
      </x:c>
      <x:c r="D54" s="11" t="str">
        <x:v>1.9.1</x:v>
      </x:c>
    </x:row>
    <x:row r="55" ht="21" customHeight="1">
      <x:c r="A55" s="14" t="str">
        <x:v>results/report.json</x:v>
      </x:c>
      <x:c r="B55" s="14" t="str">
        <x:v>python</x:v>
      </x:c>
      <x:c r="C55" s="14" t="str">
        <x:v>string</x:v>
      </x:c>
      <x:c r="D55" s="15" t="str">
        <x:v>3.12.14</x:v>
      </x:c>
    </x:row>
    <x:row r="56" ht="21" customHeight="1">
      <x:c r="A56" s="9" t="str">
        <x:v>results/report.json</x:v>
      </x:c>
      <x:c r="B56" s="9" t="str">
        <x:v>limitations.0</x:v>
      </x:c>
      <x:c r="C56" s="9" t="str">
        <x:v>string</x:v>
      </x:c>
      <x:c r="D56" s="11" t="str">
        <x:v>Single assay/document; no external validation.</x:v>
      </x:c>
    </x:row>
    <x:row r="57" ht="36" customHeight="1">
      <x:c r="A57" s="14" t="str">
        <x:v>results/report.json</x:v>
      </x:c>
      <x:c r="B57" s="14" t="str">
        <x:v>limitations.1</x:v>
      </x:c>
      <x:c r="C57" s="14" t="str">
        <x:v>string</x:v>
      </x:c>
      <x:c r="D57" s="15" t="str">
        <x:v>Very small holdout: metrics are uncertain; no model selection or tuning was performed.</x:v>
      </x:c>
    </x:row>
    <x:row r="58" ht="36" customHeight="1">
      <x:c r="A58" s="9" t="str">
        <x:v>results/report.json</x:v>
      </x:c>
      <x:c r="B58" s="9" t="str">
        <x:v>limitations.2</x:v>
      </x:c>
      <x:c r="C58" s="9" t="str">
        <x:v>string</x:v>
      </x:c>
      <x:c r="D58" s="11" t="str">
        <x:v>Scaffold grouping does not guarantee unrelated chemistry; nearest training similarity is descriptive.</x:v>
      </x:c>
    </x:row>
    <x:row r="59" ht="36" customHeight="1">
      <x:c r="A59" s="14" t="str">
        <x:v>results/report.json</x:v>
      </x:c>
      <x:c r="B59" s="14" t="str">
        <x:v>limitations.3</x:v>
      </x:c>
      <x:c r="C59" s="14" t="str">
        <x:v>string</x:v>
      </x:c>
      <x:c r="D59" s="15" t="str">
        <x:v>Descriptors and predictions are calculated; only source Ki/pKi observations are experimental evidence.</x:v>
      </x:c>
    </x:row>
    <x:row r="60" ht="21" customHeight="1">
      <x:c r="A60" s="9" t="str">
        <x:v>results/report.json</x:v>
      </x:c>
      <x:c r="B60" s="9" t="str">
        <x:v>limitations.4</x:v>
      </x:c>
      <x:c r="C60" s="9" t="str">
        <x:v>string</x:v>
      </x:c>
      <x:c r="D60" s="11" t="str">
        <x:v>No claim of improvement over the separate frozen 250-compound model.</x:v>
      </x:c>
    </x:row>
    <x:row r="61" ht="21" customHeight="1">
      <x:c r="A61" s="14" t="str">
        <x:v>results/model_parameters.json</x:v>
      </x:c>
      <x:c r="B61" s="14" t="str">
        <x:v>features.0</x:v>
      </x:c>
      <x:c r="C61" s="14" t="str">
        <x:v>string</x:v>
      </x:c>
      <x:c r="D61" s="15" t="str">
        <x:v>MolWt</x:v>
      </x:c>
    </x:row>
    <x:row r="62" ht="21" customHeight="1">
      <x:c r="A62" s="9" t="str">
        <x:v>results/model_parameters.json</x:v>
      </x:c>
      <x:c r="B62" s="9" t="str">
        <x:v>features.1</x:v>
      </x:c>
      <x:c r="C62" s="9" t="str">
        <x:v>string</x:v>
      </x:c>
      <x:c r="D62" s="11" t="str">
        <x:v>MolLogP</x:v>
      </x:c>
    </x:row>
    <x:row r="63" ht="21" customHeight="1">
      <x:c r="A63" s="14" t="str">
        <x:v>results/model_parameters.json</x:v>
      </x:c>
      <x:c r="B63" s="14" t="str">
        <x:v>features.2</x:v>
      </x:c>
      <x:c r="C63" s="14" t="str">
        <x:v>string</x:v>
      </x:c>
      <x:c r="D63" s="15" t="str">
        <x:v>TPSA</x:v>
      </x:c>
    </x:row>
    <x:row r="64" ht="21" customHeight="1">
      <x:c r="A64" s="9" t="str">
        <x:v>results/model_parameters.json</x:v>
      </x:c>
      <x:c r="B64" s="9" t="str">
        <x:v>features.3</x:v>
      </x:c>
      <x:c r="C64" s="9" t="str">
        <x:v>string</x:v>
      </x:c>
      <x:c r="D64" s="11" t="str">
        <x:v>NumHDonors</x:v>
      </x:c>
    </x:row>
    <x:row r="65" ht="21" customHeight="1">
      <x:c r="A65" s="14" t="str">
        <x:v>results/model_parameters.json</x:v>
      </x:c>
      <x:c r="B65" s="14" t="str">
        <x:v>features.4</x:v>
      </x:c>
      <x:c r="C65" s="14" t="str">
        <x:v>string</x:v>
      </x:c>
      <x:c r="D65" s="15" t="str">
        <x:v>NumHAcceptors</x:v>
      </x:c>
    </x:row>
    <x:row r="66" ht="21" customHeight="1">
      <x:c r="A66" s="9" t="str">
        <x:v>results/model_parameters.json</x:v>
      </x:c>
      <x:c r="B66" s="9" t="str">
        <x:v>scaler_mean.0</x:v>
      </x:c>
      <x:c r="C66" s="9" t="str">
        <x:v>number</x:v>
      </x:c>
      <x:c r="D66" s="11" t="n">
        <x:v>488.55110526315804</x:v>
      </x:c>
    </x:row>
    <x:row r="67" ht="21" customHeight="1">
      <x:c r="A67" s="14" t="str">
        <x:v>results/model_parameters.json</x:v>
      </x:c>
      <x:c r="B67" s="14" t="str">
        <x:v>scaler_mean.1</x:v>
      </x:c>
      <x:c r="C67" s="14" t="str">
        <x:v>number</x:v>
      </x:c>
      <x:c r="D67" s="15" t="n">
        <x:v>5.068951929824566</x:v>
      </x:c>
    </x:row>
    <x:row r="68" ht="21" customHeight="1">
      <x:c r="A68" s="9" t="str">
        <x:v>results/model_parameters.json</x:v>
      </x:c>
      <x:c r="B68" s="9" t="str">
        <x:v>scaler_mean.2</x:v>
      </x:c>
      <x:c r="C68" s="9" t="str">
        <x:v>number</x:v>
      </x:c>
      <x:c r="D68" s="11" t="n">
        <x:v>57.57157894736843</x:v>
      </x:c>
    </x:row>
    <x:row r="69" ht="21" customHeight="1">
      <x:c r="A69" s="14" t="str">
        <x:v>results/model_parameters.json</x:v>
      </x:c>
      <x:c r="B69" s="14" t="str">
        <x:v>scaler_mean.3</x:v>
      </x:c>
      <x:c r="C69" s="14" t="str">
        <x:v>number</x:v>
      </x:c>
      <x:c r="D69" s="15" t="n">
        <x:v>0.19298245614035087</x:v>
      </x:c>
    </x:row>
    <x:row r="70" ht="21" customHeight="1">
      <x:c r="A70" s="9" t="str">
        <x:v>results/model_parameters.json</x:v>
      </x:c>
      <x:c r="B70" s="9" t="str">
        <x:v>scaler_mean.4</x:v>
      </x:c>
      <x:c r="C70" s="9" t="str">
        <x:v>number</x:v>
      </x:c>
      <x:c r="D70" s="11" t="n">
        <x:v>5.43859649122807</x:v>
      </x:c>
    </x:row>
    <x:row r="71" ht="21" customHeight="1">
      <x:c r="A71" s="14" t="str">
        <x:v>results/model_parameters.json</x:v>
      </x:c>
      <x:c r="B71" s="14" t="str">
        <x:v>scaler_scale.0</x:v>
      </x:c>
      <x:c r="C71" s="14" t="str">
        <x:v>number</x:v>
      </x:c>
      <x:c r="D71" s="15" t="n">
        <x:v>27.77313057595275</x:v>
      </x:c>
    </x:row>
    <x:row r="72" ht="21" customHeight="1">
      <x:c r="A72" s="9" t="str">
        <x:v>results/model_parameters.json</x:v>
      </x:c>
      <x:c r="B72" s="9" t="str">
        <x:v>scaler_scale.1</x:v>
      </x:c>
      <x:c r="C72" s="9" t="str">
        <x:v>number</x:v>
      </x:c>
      <x:c r="D72" s="11" t="n">
        <x:v>0.5393282288162109</x:v>
      </x:c>
    </x:row>
    <x:row r="73" ht="21" customHeight="1">
      <x:c r="A73" s="14" t="str">
        <x:v>results/model_parameters.json</x:v>
      </x:c>
      <x:c r="B73" s="14" t="str">
        <x:v>scaler_scale.2</x:v>
      </x:c>
      <x:c r="C73" s="14" t="str">
        <x:v>number</x:v>
      </x:c>
      <x:c r="D73" s="15" t="n">
        <x:v>13.005812167585079</x:v>
      </x:c>
    </x:row>
    <x:row r="74" ht="21" customHeight="1">
      <x:c r="A74" s="9" t="str">
        <x:v>results/model_parameters.json</x:v>
      </x:c>
      <x:c r="B74" s="9" t="str">
        <x:v>scaler_scale.3</x:v>
      </x:c>
      <x:c r="C74" s="9" t="str">
        <x:v>number</x:v>
      </x:c>
      <x:c r="D74" s="11" t="n">
        <x:v>0.39463936418252626</x:v>
      </x:c>
    </x:row>
    <x:row r="75" ht="21" customHeight="1">
      <x:c r="A75" s="14" t="str">
        <x:v>results/model_parameters.json</x:v>
      </x:c>
      <x:c r="B75" s="14" t="str">
        <x:v>scaler_scale.4</x:v>
      </x:c>
      <x:c r="C75" s="14" t="str">
        <x:v>number</x:v>
      </x:c>
      <x:c r="D75" s="15" t="n">
        <x:v>0.6217559700585741</x:v>
      </x:c>
    </x:row>
    <x:row r="76" ht="21" customHeight="1">
      <x:c r="A76" s="9" t="str">
        <x:v>results/model_parameters.json</x:v>
      </x:c>
      <x:c r="B76" s="9" t="str">
        <x:v>ridge_coef.0</x:v>
      </x:c>
      <x:c r="C76" s="9" t="str">
        <x:v>number</x:v>
      </x:c>
      <x:c r="D76" s="11" t="n">
        <x:v>-0.040538153531254124</x:v>
      </x:c>
    </x:row>
    <x:row r="77" ht="21" customHeight="1">
      <x:c r="A77" s="14" t="str">
        <x:v>results/model_parameters.json</x:v>
      </x:c>
      <x:c r="B77" s="14" t="str">
        <x:v>ridge_coef.1</x:v>
      </x:c>
      <x:c r="C77" s="14" t="str">
        <x:v>number</x:v>
      </x:c>
      <x:c r="D77" s="15" t="n">
        <x:v>0.0781945631359612</x:v>
      </x:c>
    </x:row>
    <x:row r="78" ht="21" customHeight="1">
      <x:c r="A78" s="9" t="str">
        <x:v>results/model_parameters.json</x:v>
      </x:c>
      <x:c r="B78" s="9" t="str">
        <x:v>ridge_coef.2</x:v>
      </x:c>
      <x:c r="C78" s="9" t="str">
        <x:v>number</x:v>
      </x:c>
      <x:c r="D78" s="11" t="n">
        <x:v>-0.00041988311765514037</x:v>
      </x:c>
    </x:row>
    <x:row r="79" ht="21" customHeight="1">
      <x:c r="A79" s="14" t="str">
        <x:v>results/model_parameters.json</x:v>
      </x:c>
      <x:c r="B79" s="14" t="str">
        <x:v>ridge_coef.3</x:v>
      </x:c>
      <x:c r="C79" s="14" t="str">
        <x:v>number</x:v>
      </x:c>
      <x:c r="D79" s="15" t="n">
        <x:v>0.09901758723822247</x:v>
      </x:c>
    </x:row>
    <x:row r="80" ht="21" customHeight="1">
      <x:c r="A80" s="9" t="str">
        <x:v>results/model_parameters.json</x:v>
      </x:c>
      <x:c r="B80" s="9" t="str">
        <x:v>ridge_coef.4</x:v>
      </x:c>
      <x:c r="C80" s="9" t="str">
        <x:v>number</x:v>
      </x:c>
      <x:c r="D80" s="11" t="n">
        <x:v>0.06096674212986461</x:v>
      </x:c>
    </x:row>
    <x:row r="81" ht="21" customHeight="1">
      <x:c r="A81" s="14" t="str">
        <x:v>results/model_parameters.json</x:v>
      </x:c>
      <x:c r="B81" s="14" t="str">
        <x:v>ridge_intercept</x:v>
      </x:c>
      <x:c r="C81" s="14" t="str">
        <x:v>number</x:v>
      </x:c>
      <x:c r="D81" s="15" t="n">
        <x:v>6.149473684210526</x:v>
      </x:c>
    </x:row>
    <x:row r="82" ht="21" customHeight="1">
      <x:c r="A82" s="9" t="str">
        <x:v>results/model_parameters.json</x:v>
      </x:c>
      <x:c r="B82" s="9" t="str">
        <x:v>baseline_mean</x:v>
      </x:c>
      <x:c r="C82" s="9" t="str">
        <x:v>number</x:v>
      </x:c>
      <x:c r="D82" s="11" t="n">
        <x:v>6.149473684210526</x:v>
      </x:c>
    </x:row>
    <x:row r="83" ht="21" customHeight="1">
      <x:c r="A83" s="14" t="str">
        <x:v>frozen/cohort_rules.json</x:v>
      </x:c>
      <x:c r="B83" s="14" t="str">
        <x:v>declared_utc</x:v>
      </x:c>
      <x:c r="C83" s="14" t="str">
        <x:v>string</x:v>
      </x:c>
      <x:c r="D83" s="15" t="d">
        <x:v>2026-10-23T03:31:07.592Z</x:v>
      </x:c>
    </x:row>
    <x:row r="84" ht="36" customHeight="1">
      <x:c r="A84" s="9" t="str">
        <x:v>frozen/cohort_rules.json</x:v>
      </x:c>
      <x:c r="B84" s="9" t="str">
        <x:v>purpose</x:v>
      </x:c>
      <x:c r="C84" s="9" t="str">
        <x:v>string</x:v>
      </x:c>
      <x:c r="D84" s="11" t="str">
        <x:v>Provisional local-domain single-assay experimental binding pKi pilot, not regulatory validation.</x:v>
      </x:c>
    </x:row>
    <x:row r="85" ht="21" customHeight="1">
      <x:c r="A85" s="14" t="str">
        <x:v>frozen/cohort_rules.json</x:v>
      </x:c>
      <x:c r="B85" s="14" t="str">
        <x:v>assay</x:v>
      </x:c>
      <x:c r="C85" s="14" t="str">
        <x:v>string</x:v>
      </x:c>
      <x:c r="D85" s="15" t="str">
        <x:v>CHEMBL3855278</x:v>
      </x:c>
    </x:row>
    <x:row r="86" ht="21" customHeight="1">
      <x:c r="A86" s="9" t="str">
        <x:v>frozen/cohort_rules.json</x:v>
      </x:c>
      <x:c r="B86" s="9" t="str">
        <x:v>target</x:v>
      </x:c>
      <x:c r="C86" s="9" t="str">
        <x:v>string</x:v>
      </x:c>
      <x:c r="D86" s="11" t="str">
        <x:v>CHEMBL217</x:v>
      </x:c>
    </x:row>
    <x:row r="87" ht="21" customHeight="1">
      <x:c r="A87" s="14" t="str">
        <x:v>frozen/cohort_rules.json</x:v>
      </x:c>
      <x:c r="B87" s="14" t="str">
        <x:v>document</x:v>
      </x:c>
      <x:c r="C87" s="14" t="str">
        <x:v>string</x:v>
      </x:c>
      <x:c r="D87" s="15" t="str">
        <x:v>CHEMBL3853329</x:v>
      </x:c>
    </x:row>
    <x:row r="88" ht="21" customHeight="1">
      <x:c r="A88" s="9" t="str">
        <x:v>frozen/cohort_rules.json</x:v>
      </x:c>
      <x:c r="B88" s="9" t="str">
        <x:v>population</x:v>
      </x:c>
      <x:c r="C88" s="9" t="str">
        <x:v>string</x:v>
      </x:c>
      <x:c r="D88" s="11" t="str">
        <x:v>All officially returned activity records, not old pilot intersection.</x:v>
      </x:c>
    </x:row>
    <x:row r="89" ht="36" customHeight="1">
      <x:c r="A89" s="14" t="str">
        <x:v>frozen/cohort_rules.json</x:v>
      </x:c>
      <x:c r="B89" s="14" t="str">
        <x:v>source_response</x:v>
      </x:c>
      <x:c r="C89" s="14" t="str">
        <x:v>string</x:v>
      </x:c>
      <x:c r="D89" s="15" t="str">
        <x:v>Prefer original source pKi exactly; source Ki only when explicit convertible molar unit. Do not round-trip standardized nM to replace original pKi.</x:v>
      </x:c>
    </x:row>
    <x:row r="90" ht="36" customHeight="1">
      <x:c r="A90" s="9" t="str">
        <x:v>frozen/cohort_rules.json</x:v>
      </x:c>
      <x:c r="B90" s="9" t="str">
        <x:v>row_rules.0</x:v>
      </x:c>
      <x:c r="C90" s="9" t="str">
        <x:v>string</x:v>
      </x:c>
      <x:c r="D90" s="11" t="str">
        <x:v>Exact assay/target/document; human; binding B; official single protein P14416 with confidence9/direct target mapping.</x:v>
      </x:c>
    </x:row>
    <x:row r="91" ht="36" customHeight="1">
      <x:c r="A91" s="14" t="str">
        <x:v>frozen/cohort_rules.json</x:v>
      </x:c>
      <x:c r="B91" s="14" t="str">
        <x:v>row_rules.1</x:v>
      </x:c>
      <x:c r="C91" s="14" t="str">
        <x:v>string</x:v>
      </x:c>
      <x:c r="D91" s="15" t="str">
        <x:v>Original and standardized relations must both equal =. Missing/nonexact/censored values retained as exclusions, not imputed.</x:v>
      </x:c>
    </x:row>
    <x:row r="92" ht="51" customHeight="1">
      <x:c r="A92" s="9" t="str">
        <x:v>frozen/cohort_rules.json</x:v>
      </x:c>
      <x:c r="B92" s="9" t="str">
        <x:v>row_rules.2</x:v>
      </x:c>
      <x:c r="C92" s="9" t="str">
        <x:v>string</x:v>
      </x:c>
      <x:c r="D92" s="11" t="str">
        <x:v>Original endpoint pKi with null/dimensionless unit or Ki with explicit M/mM/uM/nM/pM; finite numeric value. Standardized endpoint Ki, nM, finite positive value.</x:v>
      </x:c>
    </x:row>
    <x:row r="93" ht="36" customHeight="1">
      <x:c r="A93" s="14" t="str">
        <x:v>frozen/cohort_rules.json</x:v>
      </x:c>
      <x:c r="B93" s="14" t="str">
        <x:v>row_rules.3</x:v>
      </x:c>
      <x:c r="C93" s="14" t="str">
        <x:v>string</x:v>
      </x:c>
      <x:c r="D93" s="15" t="str">
        <x:v>No activity comment, data-validity comment or potential_duplicate flag; otherwise retain for review outside pilot.</x:v>
      </x:c>
    </x:row>
    <x:row r="94" ht="36" customHeight="1">
      <x:c r="A94" s="9" t="str">
        <x:v>frozen/cohort_rules.json</x:v>
      </x:c>
      <x:c r="B94" s="9" t="str">
        <x:v>row_rules.4</x:v>
      </x:c>
      <x:c r="C94" s="9" t="str">
        <x:v>string</x:v>
      </x:c>
      <x:c r="D94" s="11" t="str">
        <x:v>Standardized Ki must agree with original scale transformation to max(0.00501 nM, 1e-6 relative) tolerance; source-original value retained as label.</x:v>
      </x:c>
    </x:row>
    <x:row r="95" ht="36" customHeight="1">
      <x:c r="A95" s="14" t="str">
        <x:v>frozen/cohort_rules.json</x:v>
      </x:c>
      <x:c r="B95" s="14" t="str">
        <x:v>row_rules.5</x:v>
      </x:c>
      <x:c r="C95" s="14" t="str">
        <x:v>string</x:v>
      </x:c>
      <x:c r="D95" s="15" t="str">
        <x:v>RDKit-parseable source SMILES; parent cleanup/fragment parent/uncharging only; preserve stereochemistry, no tautomer enumeration.</x:v>
      </x:c>
    </x:row>
    <x:row r="96" ht="66" customHeight="1">
      <x:c r="A96" s="9" t="str">
        <x:v>frozen/cohort_rules.json</x:v>
      </x:c>
      <x:c r="B96" s="9" t="str">
        <x:v>row_rules.6</x:v>
      </x:c>
      <x:c r="C96" s="9" t="str">
        <x:v>string</x:v>
      </x:c>
      <x:c r="D96" s="11" t="str">
        <x:v>Exclude every full-isomeric standardized parent identity with more than one activity record in this full assay snapshot, regardless of numeric agreement/range. No median, selective replicate choice or response-dependent disagreement cutoff.</x:v>
      </x:c>
    </x:row>
    <x:row r="97" ht="51" customHeight="1">
      <x:c r="A97" s="14" t="str">
        <x:v>frozen/cohort_rules.json</x:v>
      </x:c>
      <x:c r="B97" s="14" t="str">
        <x:v>duplicate_rationale</x:v>
      </x:c>
      <x:c r="C97" s="14" t="str">
        <x:v>string</x:v>
      </x:c>
      <x:c r="D97" s="15" t="str">
        <x:v>Paired source-record provenance is unresolved; table statistics are not proof that ChEMBL rows are independent raw replicates. One-record-per-full-identity conservative pilot avoids unsupported averaging.</x:v>
      </x:c>
    </x:row>
    <x:row r="98" ht="21" customHeight="1">
      <x:c r="A98" s="9" t="str">
        <x:v>frozen/cohort_rules.json</x:v>
      </x:c>
      <x:c r="B98" s="9" t="str">
        <x:v>identity_policy.rdkit_cleanup</x:v>
      </x:c>
      <x:c r="C98" s="9" t="str">
        <x:v>boolean</x:v>
      </x:c>
      <x:c r="D98" s="30" t="b">
        <x:v>1</x:v>
      </x:c>
    </x:row>
    <x:row r="99" ht="21" customHeight="1">
      <x:c r="A99" s="14" t="str">
        <x:v>frozen/cohort_rules.json</x:v>
      </x:c>
      <x:c r="B99" s="14" t="str">
        <x:v>identity_policy.fragment_parent</x:v>
      </x:c>
      <x:c r="C99" s="14" t="str">
        <x:v>boolean</x:v>
      </x:c>
      <x:c r="D99" s="31" t="b">
        <x:v>1</x:v>
      </x:c>
    </x:row>
    <x:row r="100" ht="21" customHeight="1">
      <x:c r="A100" s="9" t="str">
        <x:v>frozen/cohort_rules.json</x:v>
      </x:c>
      <x:c r="B100" s="9" t="str">
        <x:v>identity_policy.uncharger</x:v>
      </x:c>
      <x:c r="C100" s="9" t="str">
        <x:v>boolean</x:v>
      </x:c>
      <x:c r="D100" s="30" t="b">
        <x:v>1</x:v>
      </x:c>
    </x:row>
    <x:row r="101" ht="21" customHeight="1">
      <x:c r="A101" s="14" t="str">
        <x:v>frozen/cohort_rules.json</x:v>
      </x:c>
      <x:c r="B101" s="14" t="str">
        <x:v>identity_policy.tautomer_canonicalization</x:v>
      </x:c>
      <x:c r="C101" s="14" t="str">
        <x:v>boolean</x:v>
      </x:c>
      <x:c r="D101" s="31" t="b">
        <x:v>0</x:v>
      </x:c>
    </x:row>
    <x:row r="102" ht="21" customHeight="1">
      <x:c r="A102" s="9" t="str">
        <x:v>frozen/cohort_rules.json</x:v>
      </x:c>
      <x:c r="B102" s="9" t="str">
        <x:v>identity_policy.isomeric_identity</x:v>
      </x:c>
      <x:c r="C102" s="9" t="str">
        <x:v>string</x:v>
      </x:c>
      <x:c r="D102" s="11" t="str">
        <x:v>canonical isomeric standardized parent SMILES + full InChIKey</x:v>
      </x:c>
    </x:row>
    <x:row r="103" ht="21" customHeight="1">
      <x:c r="A103" s="14" t="str">
        <x:v>frozen/cohort_rules.json</x:v>
      </x:c>
      <x:c r="B103" s="14" t="str">
        <x:v>identity_policy.split_connectivity_key</x:v>
      </x:c>
      <x:c r="C103" s="14" t="str">
        <x:v>string</x:v>
      </x:c>
      <x:c r="D103" s="15" t="str">
        <x:v>canonical nonisomeric standardized parent SMILES, with hash</x:v>
      </x:c>
    </x:row>
    <x:row r="104" ht="66" customHeight="1">
      <x:c r="A104" s="9" t="str">
        <x:v>frozen/cohort_rules.json</x:v>
      </x:c>
      <x:c r="B104" s="9" t="str">
        <x:v>split_plan</x:v>
      </x:c>
      <x:c r="C104" s="9" t="str">
        <x:v>string</x:v>
      </x:c>
      <x:c r="D104" s="11" t="str">
        <x:v>Builder predeclared recipe at predeclared_recipe.json: deterministic SHA256 group order seed assay-pilot-v1; scaffold/parent/connectivity grouping; approximately20%holdout; fallback connectivity grouping only if structural feasibility demands; minimum10train/5test. No response used to choose split.</x:v>
      </x:c>
    </x:row>
    <x:row r="105" ht="36" customHeight="1">
      <x:c r="A105" s="14" t="str">
        <x:v>frozen/cohort_rules.json</x:v>
      </x:c>
      <x:c r="B105" s="14" t="str">
        <x:v>acknowledged_limits.0</x:v>
      </x:c>
      <x:c r="C105" s="14" t="str">
        <x:v>string</x:v>
      </x:c>
      <x:c r="D105" s="15" t="str">
        <x:v>Primary source binding Ki derivation/Kd not rederived; missing method details do not convert source-reported experimental pKi into predicted labels.</x:v>
      </x:c>
    </x:row>
    <x:row r="106" ht="36" customHeight="1">
      <x:c r="A106" s="9" t="str">
        <x:v>frozen/cohort_rules.json</x:v>
      </x:c>
      <x:c r="B106" s="9" t="str">
        <x:v>acknowledged_limits.1</x:v>
      </x:c>
      <x:c r="C106" s="9" t="str">
        <x:v>string</x:v>
      </x:c>
      <x:c r="D106" s="11" t="str">
        <x:v>Preprint evidence supports binding vs functional endpoint distinction but final publication table mapping incomplete.</x:v>
      </x:c>
    </x:row>
    <x:row r="107" ht="36" customHeight="1">
      <x:c r="A107" s="14" t="str">
        <x:v>frozen/cohort_rules.json</x:v>
      </x:c>
      <x:c r="B107" s="14" t="str">
        <x:v>acknowledged_limits.2</x:v>
      </x:c>
      <x:c r="C107" s="14" t="str">
        <x:v>string</x:v>
      </x:c>
      <x:c r="D107" s="15" t="str">
        <x:v>Source selection based on coherence/access/sample feasibility before model performance, not outcome search.</x:v>
      </x:c>
    </x:row>
    <x:row r="108" ht="21" customHeight="1">
      <x:c r="A108" s="9" t="str">
        <x:v>frozen/cohort_rules.json</x:v>
      </x:c>
      <x:c r="B108" s="9" t="str">
        <x:v>acknowledged_limits.3</x:v>
      </x:c>
      <x:c r="C108" s="9" t="str">
        <x:v>string</x:v>
      </x:c>
      <x:c r="D108" s="11" t="str">
        <x:v>Conservative exclusions can bias representativeness; report loss explicitly.</x:v>
      </x:c>
    </x:row>
    <x:row r="109" ht="21" customHeight="1">
      <x:c r="A109" s="14" t="str">
        <x:v>frozen/cohort_summary.json</x:v>
      </x:c>
      <x:c r="B109" s="14" t="str">
        <x:v>created_utc</x:v>
      </x:c>
      <x:c r="C109" s="14" t="str">
        <x:v>string</x:v>
      </x:c>
      <x:c r="D109" s="15" t="d">
        <x:v>2026-10-23T03:33:31.665Z</x:v>
      </x:c>
    </x:row>
    <x:row r="110" ht="21" customHeight="1">
      <x:c r="A110" s="9" t="str">
        <x:v>frozen/cohort_summary.json</x:v>
      </x:c>
      <x:c r="B110" s="9" t="str">
        <x:v>api_total</x:v>
      </x:c>
      <x:c r="C110" s="9" t="str">
        <x:v>number</x:v>
      </x:c>
      <x:c r="D110" s="11" t="n">
        <x:v>107</x:v>
      </x:c>
    </x:row>
    <x:row r="111" ht="21" customHeight="1">
      <x:c r="A111" s="14" t="str">
        <x:v>frozen/cohort_summary.json</x:v>
      </x:c>
      <x:c r="B111" s="14" t="str">
        <x:v>api_complete</x:v>
      </x:c>
      <x:c r="C111" s="14" t="str">
        <x:v>boolean</x:v>
      </x:c>
      <x:c r="D111" s="31" t="b">
        <x:v>1</x:v>
      </x:c>
    </x:row>
    <x:row r="112" ht="21" customHeight="1">
      <x:c r="A112" s="9" t="str">
        <x:v>frozen/cohort_summary.json</x:v>
      </x:c>
      <x:c r="B112" s="9" t="str">
        <x:v>unique_source_molecule_ids</x:v>
      </x:c>
      <x:c r="C112" s="9" t="str">
        <x:v>number</x:v>
      </x:c>
      <x:c r="D112" s="11" t="n">
        <x:v>94</x:v>
      </x:c>
    </x:row>
    <x:row r="113" ht="21" customHeight="1">
      <x:c r="A113" s="14" t="str">
        <x:v>frozen/cohort_summary.json</x:v>
      </x:c>
      <x:c r="B113" s="14" t="str">
        <x:v>exact_measured_rows_before_identity_exclusion</x:v>
      </x:c>
      <x:c r="C113" s="14" t="str">
        <x:v>number</x:v>
      </x:c>
      <x:c r="D113" s="15" t="n">
        <x:v>105</x:v>
      </x:c>
    </x:row>
    <x:row r="114" ht="21" customHeight="1">
      <x:c r="A114" s="9" t="str">
        <x:v>frozen/cohort_summary.json</x:v>
      </x:c>
      <x:c r="B114" s="9" t="str">
        <x:v>included_compounds</x:v>
      </x:c>
      <x:c r="C114" s="9" t="str">
        <x:v>number</x:v>
      </x:c>
      <x:c r="D114" s="11" t="n">
        <x:v>80</x:v>
      </x:c>
    </x:row>
    <x:row r="115" ht="21" customHeight="1">
      <x:c r="A115" s="14" t="str">
        <x:v>frozen/cohort_summary.json</x:v>
      </x:c>
      <x:c r="B115" s="14" t="str">
        <x:v>excluded_rows</x:v>
      </x:c>
      <x:c r="C115" s="14" t="str">
        <x:v>number</x:v>
      </x:c>
      <x:c r="D115" s="15" t="n">
        <x:v>27</x:v>
      </x:c>
    </x:row>
    <x:row r="116" ht="21" customHeight="1">
      <x:c r="A116" s="9" t="str">
        <x:v>frozen/cohort_summary.json</x:v>
      </x:c>
      <x:c r="B116" s="9" t="str">
        <x:v>duplicate_full_identities</x:v>
      </x:c>
      <x:c r="C116" s="9" t="str">
        <x:v>number</x:v>
      </x:c>
      <x:c r="D116" s="11" t="n">
        <x:v>13</x:v>
      </x:c>
    </x:row>
    <x:row r="117" ht="21" customHeight="1">
      <x:c r="A117" s="14" t="str">
        <x:v>frozen/cohort_summary.json</x:v>
      </x:c>
      <x:c r="B117" s="14" t="str">
        <x:v>duplicate_rows_excluded</x:v>
      </x:c>
      <x:c r="C117" s="14" t="str">
        <x:v>number</x:v>
      </x:c>
      <x:c r="D117" s="15" t="n">
        <x:v>26</x:v>
      </x:c>
    </x:row>
    <x:row r="118" ht="21" customHeight="1">
      <x:c r="A118" s="9" t="str">
        <x:v>frozen/cohort_summary.json</x:v>
      </x:c>
      <x:c r="B118" s="9" t="str">
        <x:v>missing_or_nonexact_rows</x:v>
      </x:c>
      <x:c r="C118" s="9" t="str">
        <x:v>number</x:v>
      </x:c>
      <x:c r="D118" s="11" t="n">
        <x:v>2</x:v>
      </x:c>
    </x:row>
    <x:row r="119" ht="21" customHeight="1">
      <x:c r="A119" s="14" t="str">
        <x:v>frozen/cohort_summary.json</x:v>
      </x:c>
      <x:c r="B119" s="14" t="str">
        <x:v>censored_nonexact_nonmissing_rows</x:v>
      </x:c>
      <x:c r="C119" s="14" t="str">
        <x:v>number</x:v>
      </x:c>
      <x:c r="D119" s="15" t="n">
        <x:v>0</x:v>
      </x:c>
    </x:row>
    <x:row r="120" ht="36" customHeight="1">
      <x:c r="A120" s="9" t="str">
        <x:v>frozen/cohort_summary.json</x:v>
      </x:c>
      <x:c r="B120" s="9" t="str">
        <x:v>exclusion_reason_counts.multiple_source_records_for_full_parent_identity</x:v>
      </x:c>
      <x:c r="C120" s="9" t="str">
        <x:v>number</x:v>
      </x:c>
      <x:c r="D120" s="11" t="n">
        <x:v>26</x:v>
      </x:c>
    </x:row>
    <x:row r="121" ht="21" customHeight="1">
      <x:c r="A121" s="14" t="str">
        <x:v>frozen/cohort_summary.json</x:v>
      </x:c>
      <x:c r="B121" s="14" t="str">
        <x:v>exclusion_reason_counts.nonexact_or_missing_original_relation</x:v>
      </x:c>
      <x:c r="C121" s="14" t="str">
        <x:v>number</x:v>
      </x:c>
      <x:c r="D121" s="15" t="n">
        <x:v>2</x:v>
      </x:c>
    </x:row>
    <x:row r="122" ht="21" customHeight="1">
      <x:c r="A122" s="9" t="str">
        <x:v>frozen/cohort_summary.json</x:v>
      </x:c>
      <x:c r="B122" s="9" t="str">
        <x:v>exclusion_reason_counts.nonexact_or_missing_standard_relation</x:v>
      </x:c>
      <x:c r="C122" s="9" t="str">
        <x:v>number</x:v>
      </x:c>
      <x:c r="D122" s="11" t="n">
        <x:v>2</x:v>
      </x:c>
    </x:row>
    <x:row r="123" ht="21" customHeight="1">
      <x:c r="A123" s="14" t="str">
        <x:v>frozen/cohort_summary.json</x:v>
      </x:c>
      <x:c r="B123" s="14" t="str">
        <x:v>exclusion_reason_counts.standard_endpoint_or_unit_not_Ki_nM</x:v>
      </x:c>
      <x:c r="C123" s="14" t="str">
        <x:v>number</x:v>
      </x:c>
      <x:c r="D123" s="15" t="n">
        <x:v>2</x:v>
      </x:c>
    </x:row>
    <x:row r="124" ht="21" customHeight="1">
      <x:c r="A124" s="9" t="str">
        <x:v>frozen/cohort_summary.json</x:v>
      </x:c>
      <x:c r="B124" s="9" t="str">
        <x:v>exclusion_reason_counts.activity_comment_requires_review</x:v>
      </x:c>
      <x:c r="C124" s="9" t="str">
        <x:v>number</x:v>
      </x:c>
      <x:c r="D124" s="11" t="n">
        <x:v>2</x:v>
      </x:c>
    </x:row>
    <x:row r="125" ht="21" customHeight="1">
      <x:c r="A125" s="14" t="str">
        <x:v>frozen/cohort_summary.json</x:v>
      </x:c>
      <x:c r="B125" s="14" t="str">
        <x:v>exclusion_reason_counts.missing_or_nonfinite_original_value</x:v>
      </x:c>
      <x:c r="C125" s="14" t="str">
        <x:v>number</x:v>
      </x:c>
      <x:c r="D125" s="15" t="n">
        <x:v>2</x:v>
      </x:c>
    </x:row>
    <x:row r="126" ht="21" customHeight="1">
      <x:c r="A126" s="9" t="str">
        <x:v>frozen/cohort_summary.json</x:v>
      </x:c>
      <x:c r="B126" s="9" t="str">
        <x:v>exclusion_reason_counts.missing_or_nonpositive_standard_value</x:v>
      </x:c>
      <x:c r="C126" s="9" t="str">
        <x:v>number</x:v>
      </x:c>
      <x:c r="D126" s="11" t="n">
        <x:v>2</x:v>
      </x:c>
    </x:row>
    <x:row r="127" ht="21" customHeight="1">
      <x:c r="A127" s="14" t="str">
        <x:v>frozen/cohort_summary.json</x:v>
      </x:c>
      <x:c r="B127" s="14" t="str">
        <x:v>eligible_label_origins.source_reported_pKi</x:v>
      </x:c>
      <x:c r="C127" s="14" t="str">
        <x:v>number</x:v>
      </x:c>
      <x:c r="D127" s="15" t="n">
        <x:v>80</x:v>
      </x:c>
    </x:row>
    <x:row r="128" ht="21" customHeight="1">
      <x:c r="A128" s="9" t="str">
        <x:v>frozen/cohort_summary.json</x:v>
      </x:c>
      <x:c r="B128" s="9" t="str">
        <x:v>structure_changes</x:v>
      </x:c>
      <x:c r="C128" s="9" t="str">
        <x:v>number</x:v>
      </x:c>
      <x:c r="D128" s="11" t="n">
        <x:v>0</x:v>
      </x:c>
    </x:row>
    <x:row r="129" ht="21" customHeight="1">
      <x:c r="A129" s="14" t="str">
        <x:v>frozen/cohort_summary.json</x:v>
      </x:c>
      <x:c r="B129" s="14" t="str">
        <x:v>eligible_connectivity_groups</x:v>
      </x:c>
      <x:c r="C129" s="14" t="str">
        <x:v>number</x:v>
      </x:c>
      <x:c r="D129" s="15" t="n">
        <x:v>60</x:v>
      </x:c>
    </x:row>
    <x:row r="130" ht="21" customHeight="1">
      <x:c r="A130" s="9" t="str">
        <x:v>frozen/cohort_summary.json</x:v>
      </x:c>
      <x:c r="B130" s="9" t="str">
        <x:v>eligible_scaffolds</x:v>
      </x:c>
      <x:c r="C130" s="9" t="str">
        <x:v>number</x:v>
      </x:c>
      <x:c r="D130" s="11" t="n">
        <x:v>32</x:v>
      </x:c>
    </x:row>
    <x:row r="131" ht="21" customHeight="1">
      <x:c r="A131" s="14" t="str">
        <x:v>frozen/cohort_summary.json</x:v>
      </x:c>
      <x:c r="B131" s="14" t="str">
        <x:v>rdkit_version</x:v>
      </x:c>
      <x:c r="C131" s="14" t="str">
        <x:v>string</x:v>
      </x:c>
      <x:c r="D131" s="15" t="str">
        <x:v>2026.09.1</x:v>
      </x:c>
    </x:row>
    <x:row r="132" ht="21" customHeight="1">
      <x:c r="A132" s="9" t="str">
        <x:v>frozen/cohort_summary.json</x:v>
      </x:c>
      <x:c r="B132" s="9" t="str">
        <x:v>python_version</x:v>
      </x:c>
      <x:c r="C132" s="9" t="str">
        <x:v>string</x:v>
      </x:c>
      <x:c r="D132" s="11" t="str">
        <x:v>3.12.14</x:v>
      </x:c>
    </x:row>
    <x:row r="133" ht="21" customHeight="1">
      <x:c r="A133" s="14" t="str">
        <x:v>frozen/cohort_summary.json</x:v>
      </x:c>
      <x:c r="B133" s="14" t="str">
        <x:v>rules_sha256</x:v>
      </x:c>
      <x:c r="C133" s="14" t="str">
        <x:v>string</x:v>
      </x:c>
      <x:c r="D133" s="15" t="str">
        <x:v>487c5f9a8f41f01cb953a3c39b8b6bd7cc4db0d61e299e7788d2e6c847224253</x:v>
      </x:c>
    </x:row>
    <x:row r="134" ht="21" customHeight="1">
      <x:c r="A134" s="9" t="str">
        <x:v>frozen/cohort_summary.json</x:v>
      </x:c>
      <x:c r="B134" s="9" t="str">
        <x:v>source_manifest_sha256</x:v>
      </x:c>
      <x:c r="C134" s="9" t="str">
        <x:v>string</x:v>
      </x:c>
      <x:c r="D134" s="11" t="str">
        <x:v>6ea36af76e928c1198802f2e867c1a2a1eb8629f8b8e197a36b984fd06439e95</x:v>
      </x:c>
    </x:row>
    <x:row r="135" ht="21" customHeight="1">
      <x:c r="A135" s="14" t="str">
        <x:v>frozen/cohort_summary.json</x:v>
      </x:c>
      <x:c r="B135" s="14" t="str">
        <x:v>curation_script_sha256</x:v>
      </x:c>
      <x:c r="C135" s="14" t="str">
        <x:v>string</x:v>
      </x:c>
      <x:c r="D135" s="15" t="str">
        <x:v>494ddb0e0d2b5c7bd48c71e4ca8476d1ef232c93b13027e07cc139a6e14599a5</x:v>
      </x:c>
    </x:row>
    <x:row r="136" ht="21" customHeight="1">
      <x:c r="A136" s="9" t="str">
        <x:v>frozen/cohort_summary.json</x:v>
      </x:c>
      <x:c r="B136" s="9" t="str">
        <x:v>eligible_sha256</x:v>
      </x:c>
      <x:c r="C136" s="9" t="str">
        <x:v>string</x:v>
      </x:c>
      <x:c r="D136" s="11" t="str">
        <x:v>39ddd83e407bda3800f3cc0b6c220574417ea859fa85b3875ba7475600b6db61</x:v>
      </x:c>
    </x:row>
    <x:row r="137" ht="21" customHeight="1">
      <x:c r="A137" s="14" t="str">
        <x:v>frozen/cohort_summary.json</x:v>
      </x:c>
      <x:c r="B137" s="14" t="str">
        <x:v>raw_snapshot_sha256.raw/assay.json</x:v>
      </x:c>
      <x:c r="C137" s="14" t="str">
        <x:v>string</x:v>
      </x:c>
      <x:c r="D137" s="15" t="str">
        <x:v>fe4db420ef4b2316de0f2e58cd34f51a836023aad88a833b9bd1e75175369856</x:v>
      </x:c>
    </x:row>
    <x:row r="138" ht="21" customHeight="1">
      <x:c r="A138" s="9" t="str">
        <x:v>frozen/cohort_summary.json</x:v>
      </x:c>
      <x:c r="B138" s="9" t="str">
        <x:v>raw_snapshot_sha256.raw/target.json</x:v>
      </x:c>
      <x:c r="C138" s="9" t="str">
        <x:v>string</x:v>
      </x:c>
      <x:c r="D138" s="11" t="str">
        <x:v>a776f57c123398b048370f76c58dbab794dd60c74748c3a54bf78942d04033c7</x:v>
      </x:c>
    </x:row>
    <x:row r="139" ht="21" customHeight="1">
      <x:c r="A139" s="14" t="str">
        <x:v>frozen/cohort_summary.json</x:v>
      </x:c>
      <x:c r="B139" s="14" t="str">
        <x:v>raw_snapshot_sha256.raw/document.json</x:v>
      </x:c>
      <x:c r="C139" s="14" t="str">
        <x:v>string</x:v>
      </x:c>
      <x:c r="D139" s="15" t="str">
        <x:v>2f73fd0f820092da42fd6522012ed162adcd9f412304d7781afa7c39f731e572</x:v>
      </x:c>
    </x:row>
    <x:row r="140" ht="21" customHeight="1">
      <x:c r="A140" s="9" t="str">
        <x:v>frozen/cohort_summary.json</x:v>
      </x:c>
      <x:c r="B140" s="9" t="str">
        <x:v>raw_snapshot_sha256.raw/activities_page_000.json</x:v>
      </x:c>
      <x:c r="C140" s="9" t="str">
        <x:v>string</x:v>
      </x:c>
      <x:c r="D140" s="11" t="str">
        <x:v>1c1d0bc534a15752059afd2009f3547265906794202a2fbe31e251ded31ad884</x:v>
      </x:c>
    </x:row>
    <x:row r="141" ht="36" customHeight="1">
      <x:c r="A141" s="14" t="str">
        <x:v>frozen/cohort_summary.json</x:v>
      </x:c>
      <x:c r="B141" s="14" t="str">
        <x:v>modeling_response</x:v>
      </x:c>
      <x:c r="C141" s="14" t="str">
        <x:v>string</x:v>
      </x:c>
      <x:c r="D141" s="15" t="str">
        <x:v>pKi: source-original reported pKi; standardized nM and reverse-log pKi are cross-checks only.</x:v>
      </x:c>
    </x:row>
    <x:row r="142" ht="36" customHeight="1">
      <x:c r="A142" s="9" t="str">
        <x:v>frozen/cohort_summary.json</x:v>
      </x:c>
      <x:c r="B142" s="9" t="str">
        <x:v>remaining_limits.0</x:v>
      </x:c>
      <x:c r="C142" s="9" t="str">
        <x:v>string</x:v>
      </x:c>
      <x:c r="D142" s="11" t="str">
        <x:v>Source table-to-record repeat mapping unresolved; all multi-record identities excluded conservatively.</x:v>
      </x:c>
    </x:row>
    <x:row r="143" ht="36" customHeight="1">
      <x:c r="A143" s="14" t="str">
        <x:v>frozen/cohort_summary.json</x:v>
      </x:c>
      <x:c r="B143" s="14" t="str">
        <x:v>remaining_limits.1</x:v>
      </x:c>
      <x:c r="C143" s="14" t="str">
        <x:v>string</x:v>
      </x:c>
      <x:c r="D143" s="15" t="str">
        <x:v>Binding Ki derivation/Kd/buffer/isoform not fully independently reconstructed.</x:v>
      </x:c>
    </x:row>
    <x:row r="144" ht="21" customHeight="1">
      <x:c r="A144" s="9" t="str">
        <x:v>frozen/cohort_summary.json</x:v>
      </x:c>
      <x:c r="B144" s="9" t="str">
        <x:v>remaining_limits.2</x:v>
      </x:c>
      <x:c r="C144" s="9" t="str">
        <x:v>string</x:v>
      </x:c>
      <x:c r="D144" s="11" t="str">
        <x:v>Not a regulatory-valid or independent-laboratory validated dataset.</x:v>
      </x:c>
    </x:row>
    <x:row r="145" ht="21" customHeight="1">
      <x:c r="A145" s="14" t="str">
        <x:v>frozen/cohort_summary.json</x:v>
      </x:c>
      <x:c r="B145" s="14" t="str">
        <x:v>remaining_limits.3</x:v>
      </x:c>
      <x:c r="C145" s="14" t="str">
        <x:v>string</x:v>
      </x:c>
      <x:c r="D145" s="15" t="str">
        <x:v>No labels/outcomes used to choose duplicate exclusions or split.</x:v>
      </x:c>
    </x:row>
    <x:row r="146" ht="21" customHeight="1">
      <x:c r="A146" s="9" t="str">
        <x:v>frozen/source_manifest.json</x:v>
      </x:c>
      <x:c r="B146" s="9" t="str">
        <x:v>retrieved_utc</x:v>
      </x:c>
      <x:c r="C146" s="9" t="str">
        <x:v>string</x:v>
      </x:c>
      <x:c r="D146" s="11" t="d">
        <x:v>2026-10-23T03:27:45.726Z</x:v>
      </x:c>
    </x:row>
    <x:row r="147" ht="21" customHeight="1">
      <x:c r="A147" s="14" t="str">
        <x:v>frozen/source_manifest.json</x:v>
      </x:c>
      <x:c r="B147" s="14" t="str">
        <x:v>assay_id</x:v>
      </x:c>
      <x:c r="C147" s="14" t="str">
        <x:v>string</x:v>
      </x:c>
      <x:c r="D147" s="15" t="str">
        <x:v>CHEMBL3855278</x:v>
      </x:c>
    </x:row>
    <x:row r="148" ht="36" customHeight="1">
      <x:c r="A148" s="9" t="str">
        <x:v>frozen/source_manifest.json</x:v>
      </x:c>
      <x:c r="B148" s="9" t="str">
        <x:v>scope</x:v>
      </x:c>
      <x:c r="C148" s="9" t="str">
        <x:v>string</x:v>
      </x:c>
      <x:c r="D148" s="11" t="str">
        <x:v>Complete official activities for this one assay; no endpoint filter at retrieval.</x:v>
      </x:c>
    </x:row>
    <x:row r="149" ht="21" customHeight="1">
      <x:c r="A149" s="14" t="str">
        <x:v>frozen/source_manifest.json</x:v>
      </x:c>
      <x:c r="B149" s="14" t="str">
        <x:v>requests.0.url</x:v>
      </x:c>
      <x:c r="C149" s="14" t="str">
        <x:v>string</x:v>
      </x:c>
      <x:c r="D149" s="15" t="str">
        <x:v>https://www.ebi.ac.uk/chembl/api/data/assay/CHEMBL3855278.json</x:v>
      </x:c>
    </x:row>
    <x:row r="150" ht="21" customHeight="1">
      <x:c r="A150" s="9" t="str">
        <x:v>frozen/source_manifest.json</x:v>
      </x:c>
      <x:c r="B150" s="9" t="str">
        <x:v>requests.0.final_url</x:v>
      </x:c>
      <x:c r="C150" s="9" t="str">
        <x:v>string</x:v>
      </x:c>
      <x:c r="D150" s="11" t="str">
        <x:v>https://www.ebi.ac.uk/chembl/api/data/assay/CHEMBL3855278.json</x:v>
      </x:c>
    </x:row>
    <x:row r="151" ht="21" customHeight="1">
      <x:c r="A151" s="14" t="str">
        <x:v>frozen/source_manifest.json</x:v>
      </x:c>
      <x:c r="B151" s="14" t="str">
        <x:v>requests.0.retrieved_utc</x:v>
      </x:c>
      <x:c r="C151" s="14" t="str">
        <x:v>string</x:v>
      </x:c>
      <x:c r="D151" s="15" t="d">
        <x:v>2026-10-23T03:27:45.726Z</x:v>
      </x:c>
    </x:row>
    <x:row r="152" ht="21" customHeight="1">
      <x:c r="A152" s="9" t="str">
        <x:v>frozen/source_manifest.json</x:v>
      </x:c>
      <x:c r="B152" s="9" t="str">
        <x:v>requests.0.status</x:v>
      </x:c>
      <x:c r="C152" s="9" t="str">
        <x:v>number</x:v>
      </x:c>
      <x:c r="D152" s="11" t="n">
        <x:v>200</x:v>
      </x:c>
    </x:row>
    <x:row r="153" ht="21" customHeight="1">
      <x:c r="A153" s="14" t="str">
        <x:v>frozen/source_manifest.json</x:v>
      </x:c>
      <x:c r="B153" s="14" t="str">
        <x:v>requests.0.bytes</x:v>
      </x:c>
      <x:c r="C153" s="14" t="str">
        <x:v>number</x:v>
      </x:c>
      <x:c r="D153" s="15" t="n">
        <x:v>1019</x:v>
      </x:c>
    </x:row>
    <x:row r="154" ht="21" customHeight="1">
      <x:c r="A154" s="9" t="str">
        <x:v>frozen/source_manifest.json</x:v>
      </x:c>
      <x:c r="B154" s="9" t="str">
        <x:v>requests.0.sha256</x:v>
      </x:c>
      <x:c r="C154" s="9" t="str">
        <x:v>string</x:v>
      </x:c>
      <x:c r="D154" s="11" t="str">
        <x:v>fe4db420ef4b2316de0f2e58cd34f51a836023aad88a833b9bd1e75175369856</x:v>
      </x:c>
    </x:row>
    <x:row r="155" ht="21" customHeight="1">
      <x:c r="A155" s="14" t="str">
        <x:v>frozen/source_manifest.json</x:v>
      </x:c>
      <x:c r="B155" s="14" t="str">
        <x:v>requests.0.file</x:v>
      </x:c>
      <x:c r="C155" s="14" t="str">
        <x:v>string</x:v>
      </x:c>
      <x:c r="D155" s="15" t="str">
        <x:v>raw/assay.json</x:v>
      </x:c>
    </x:row>
    <x:row r="156" ht="21" customHeight="1">
      <x:c r="A156" s="9" t="str">
        <x:v>frozen/source_manifest.json</x:v>
      </x:c>
      <x:c r="B156" s="9" t="str">
        <x:v>requests.1.url</x:v>
      </x:c>
      <x:c r="C156" s="9" t="str">
        <x:v>string</x:v>
      </x:c>
      <x:c r="D156" s="11" t="str">
        <x:v>https://www.ebi.ac.uk/chembl/api/data/target/CHEMBL217.json</x:v>
      </x:c>
    </x:row>
    <x:row r="157" ht="21" customHeight="1">
      <x:c r="A157" s="14" t="str">
        <x:v>frozen/source_manifest.json</x:v>
      </x:c>
      <x:c r="B157" s="14" t="str">
        <x:v>requests.1.final_url</x:v>
      </x:c>
      <x:c r="C157" s="14" t="str">
        <x:v>string</x:v>
      </x:c>
      <x:c r="D157" s="15" t="str">
        <x:v>https://www.ebi.ac.uk/chembl/api/data/target/CHEMBL217.json</x:v>
      </x:c>
    </x:row>
    <x:row r="158" ht="21" customHeight="1">
      <x:c r="A158" s="9" t="str">
        <x:v>frozen/source_manifest.json</x:v>
      </x:c>
      <x:c r="B158" s="9" t="str">
        <x:v>requests.1.retrieved_utc</x:v>
      </x:c>
      <x:c r="C158" s="9" t="str">
        <x:v>string</x:v>
      </x:c>
      <x:c r="D158" s="11" t="d">
        <x:v>2026-10-23T03:27:51.844Z</x:v>
      </x:c>
    </x:row>
    <x:row r="159" ht="21" customHeight="1">
      <x:c r="A159" s="14" t="str">
        <x:v>frozen/source_manifest.json</x:v>
      </x:c>
      <x:c r="B159" s="14" t="str">
        <x:v>requests.1.status</x:v>
      </x:c>
      <x:c r="C159" s="14" t="str">
        <x:v>number</x:v>
      </x:c>
      <x:c r="D159" s="15" t="n">
        <x:v>200</x:v>
      </x:c>
    </x:row>
    <x:row r="160" ht="21" customHeight="1">
      <x:c r="A160" s="9" t="str">
        <x:v>frozen/source_manifest.json</x:v>
      </x:c>
      <x:c r="B160" s="9" t="str">
        <x:v>requests.1.bytes</x:v>
      </x:c>
      <x:c r="C160" s="9" t="str">
        <x:v>number</x:v>
      </x:c>
      <x:c r="D160" s="11" t="n">
        <x:v>16803</x:v>
      </x:c>
    </x:row>
    <x:row r="161" ht="21" customHeight="1">
      <x:c r="A161" s="14" t="str">
        <x:v>frozen/source_manifest.json</x:v>
      </x:c>
      <x:c r="B161" s="14" t="str">
        <x:v>requests.1.sha256</x:v>
      </x:c>
      <x:c r="C161" s="14" t="str">
        <x:v>string</x:v>
      </x:c>
      <x:c r="D161" s="15" t="str">
        <x:v>a776f57c123398b048370f76c58dbab794dd60c74748c3a54bf78942d04033c7</x:v>
      </x:c>
    </x:row>
    <x:row r="162" ht="21" customHeight="1">
      <x:c r="A162" s="9" t="str">
        <x:v>frozen/source_manifest.json</x:v>
      </x:c>
      <x:c r="B162" s="9" t="str">
        <x:v>requests.1.file</x:v>
      </x:c>
      <x:c r="C162" s="9" t="str">
        <x:v>string</x:v>
      </x:c>
      <x:c r="D162" s="11" t="str">
        <x:v>raw/target.json</x:v>
      </x:c>
    </x:row>
    <x:row r="163" ht="21" customHeight="1">
      <x:c r="A163" s="14" t="str">
        <x:v>frozen/source_manifest.json</x:v>
      </x:c>
      <x:c r="B163" s="14" t="str">
        <x:v>requests.2.url</x:v>
      </x:c>
      <x:c r="C163" s="14" t="str">
        <x:v>string</x:v>
      </x:c>
      <x:c r="D163" s="15" t="str">
        <x:v>https://www.ebi.ac.uk/chembl/api/data/document/CHEMBL3853329.json</x:v>
      </x:c>
    </x:row>
    <x:row r="164" ht="21" customHeight="1">
      <x:c r="A164" s="9" t="str">
        <x:v>frozen/source_manifest.json</x:v>
      </x:c>
      <x:c r="B164" s="9" t="str">
        <x:v>requests.2.final_url</x:v>
      </x:c>
      <x:c r="C164" s="9" t="str">
        <x:v>string</x:v>
      </x:c>
      <x:c r="D164" s="11" t="str">
        <x:v>https://www.ebi.ac.uk/chembl/api/data/document/CHEMBL3853329.json</x:v>
      </x:c>
    </x:row>
    <x:row r="165" ht="21" customHeight="1">
      <x:c r="A165" s="14" t="str">
        <x:v>frozen/source_manifest.json</x:v>
      </x:c>
      <x:c r="B165" s="14" t="str">
        <x:v>requests.2.retrieved_utc</x:v>
      </x:c>
      <x:c r="C165" s="14" t="str">
        <x:v>string</x:v>
      </x:c>
      <x:c r="D165" s="15" t="d">
        <x:v>2026-10-23T03:27:54.322Z</x:v>
      </x:c>
    </x:row>
    <x:row r="166" ht="21" customHeight="1">
      <x:c r="A166" s="9" t="str">
        <x:v>frozen/source_manifest.json</x:v>
      </x:c>
      <x:c r="B166" s="9" t="str">
        <x:v>requests.2.status</x:v>
      </x:c>
      <x:c r="C166" s="9" t="str">
        <x:v>number</x:v>
      </x:c>
      <x:c r="D166" s="11" t="n">
        <x:v>200</x:v>
      </x:c>
    </x:row>
    <x:row r="167" ht="21" customHeight="1">
      <x:c r="A167" s="14" t="str">
        <x:v>frozen/source_manifest.json</x:v>
      </x:c>
      <x:c r="B167" s="14" t="str">
        <x:v>requests.2.bytes</x:v>
      </x:c>
      <x:c r="C167" s="14" t="str">
        <x:v>number</x:v>
      </x:c>
      <x:c r="D167" s="15" t="n">
        <x:v>1433</x:v>
      </x:c>
    </x:row>
    <x:row r="168" ht="21" customHeight="1">
      <x:c r="A168" s="9" t="str">
        <x:v>frozen/source_manifest.json</x:v>
      </x:c>
      <x:c r="B168" s="9" t="str">
        <x:v>requests.2.sha256</x:v>
      </x:c>
      <x:c r="C168" s="9" t="str">
        <x:v>string</x:v>
      </x:c>
      <x:c r="D168" s="11" t="str">
        <x:v>2f73fd0f820092da42fd6522012ed162adcd9f412304d7781afa7c39f731e572</x:v>
      </x:c>
    </x:row>
    <x:row r="169" ht="21" customHeight="1">
      <x:c r="A169" s="14" t="str">
        <x:v>frozen/source_manifest.json</x:v>
      </x:c>
      <x:c r="B169" s="14" t="str">
        <x:v>requests.2.file</x:v>
      </x:c>
      <x:c r="C169" s="14" t="str">
        <x:v>string</x:v>
      </x:c>
      <x:c r="D169" s="15" t="str">
        <x:v>raw/document.json</x:v>
      </x:c>
    </x:row>
    <x:row r="170" ht="36" customHeight="1">
      <x:c r="A170" s="9" t="str">
        <x:v>frozen/source_manifest.json</x:v>
      </x:c>
      <x:c r="B170" s="9" t="str">
        <x:v>requests.3.url</x:v>
      </x:c>
      <x:c r="C170" s="9" t="str">
        <x:v>string</x:v>
      </x:c>
      <x:c r="D170" s="11" t="str">
        <x:v>https://www.ebi.ac.uk/chembl/api/data/activity.json?assay_chembl_id=CHEMBL3855278&amp;limit=1000&amp;offset=0</x:v>
      </x:c>
    </x:row>
    <x:row r="171" ht="36" customHeight="1">
      <x:c r="A171" s="14" t="str">
        <x:v>frozen/source_manifest.json</x:v>
      </x:c>
      <x:c r="B171" s="14" t="str">
        <x:v>requests.3.final_url</x:v>
      </x:c>
      <x:c r="C171" s="14" t="str">
        <x:v>string</x:v>
      </x:c>
      <x:c r="D171" s="15" t="str">
        <x:v>https://www.ebi.ac.uk/chembl/api/data/activity.json?assay_chembl_id=CHEMBL3855278&amp;limit=1000&amp;offset=0</x:v>
      </x:c>
    </x:row>
    <x:row r="172" ht="21" customHeight="1">
      <x:c r="A172" s="9" t="str">
        <x:v>frozen/source_manifest.json</x:v>
      </x:c>
      <x:c r="B172" s="9" t="str">
        <x:v>requests.3.retrieved_utc</x:v>
      </x:c>
      <x:c r="C172" s="9" t="str">
        <x:v>string</x:v>
      </x:c>
      <x:c r="D172" s="11" t="d">
        <x:v>2026-10-23T03:27:58.254Z</x:v>
      </x:c>
    </x:row>
    <x:row r="173" ht="21" customHeight="1">
      <x:c r="A173" s="14" t="str">
        <x:v>frozen/source_manifest.json</x:v>
      </x:c>
      <x:c r="B173" s="14" t="str">
        <x:v>requests.3.status</x:v>
      </x:c>
      <x:c r="C173" s="14" t="str">
        <x:v>number</x:v>
      </x:c>
      <x:c r="D173" s="15" t="n">
        <x:v>200</x:v>
      </x:c>
    </x:row>
    <x:row r="174" ht="21" customHeight="1">
      <x:c r="A174" s="9" t="str">
        <x:v>frozen/source_manifest.json</x:v>
      </x:c>
      <x:c r="B174" s="9" t="str">
        <x:v>requests.3.bytes</x:v>
      </x:c>
      <x:c r="C174" s="9" t="str">
        <x:v>number</x:v>
      </x:c>
      <x:c r="D174" s="11" t="n">
        <x:v>168840</x:v>
      </x:c>
    </x:row>
    <x:row r="175" ht="21" customHeight="1">
      <x:c r="A175" s="14" t="str">
        <x:v>frozen/source_manifest.json</x:v>
      </x:c>
      <x:c r="B175" s="14" t="str">
        <x:v>requests.3.sha256</x:v>
      </x:c>
      <x:c r="C175" s="14" t="str">
        <x:v>string</x:v>
      </x:c>
      <x:c r="D175" s="15" t="str">
        <x:v>1c1d0bc534a15752059afd2009f3547265906794202a2fbe31e251ded31ad884</x:v>
      </x:c>
    </x:row>
    <x:row r="176" ht="21" customHeight="1">
      <x:c r="A176" s="9" t="str">
        <x:v>frozen/source_manifest.json</x:v>
      </x:c>
      <x:c r="B176" s="9" t="str">
        <x:v>requests.3.file</x:v>
      </x:c>
      <x:c r="C176" s="9" t="str">
        <x:v>string</x:v>
      </x:c>
      <x:c r="D176" s="11" t="str">
        <x:v>raw/activities_page_000.json</x:v>
      </x:c>
    </x:row>
    <x:row r="177" ht="21" customHeight="1">
      <x:c r="A177" s="14" t="str">
        <x:v>frozen/source_manifest.json</x:v>
      </x:c>
      <x:c r="B177" s="14" t="str">
        <x:v>api_total_count</x:v>
      </x:c>
      <x:c r="C177" s="14" t="str">
        <x:v>number</x:v>
      </x:c>
      <x:c r="D177" s="15" t="n">
        <x:v>107</x:v>
      </x:c>
    </x:row>
    <x:row r="178" ht="21" customHeight="1">
      <x:c r="A178" s="9" t="str">
        <x:v>frozen/source_manifest.json</x:v>
      </x:c>
      <x:c r="B178" s="9" t="str">
        <x:v>retrieved_rows</x:v>
      </x:c>
      <x:c r="C178" s="9" t="str">
        <x:v>number</x:v>
      </x:c>
      <x:c r="D178" s="11" t="n">
        <x:v>107</x:v>
      </x:c>
    </x:row>
    <x:row r="179" ht="21" customHeight="1">
      <x:c r="A179" s="14" t="str">
        <x:v>frozen/source_manifest.json</x:v>
      </x:c>
      <x:c r="B179" s="14" t="str">
        <x:v>unique_activity_ids</x:v>
      </x:c>
      <x:c r="C179" s="14" t="str">
        <x:v>number</x:v>
      </x:c>
      <x:c r="D179" s="15" t="n">
        <x:v>107</x:v>
      </x:c>
    </x:row>
    <x:row r="180" ht="21" customHeight="1">
      <x:c r="A180" s="9" t="str">
        <x:v>frozen/source_manifest.json</x:v>
      </x:c>
      <x:c r="B180" s="9" t="str">
        <x:v>complete_for_assay_snapshot</x:v>
      </x:c>
      <x:c r="C180" s="9" t="str">
        <x:v>boolean</x:v>
      </x:c>
      <x:c r="D180" s="30" t="b">
        <x:v>1</x:v>
      </x:c>
    </x:row>
    <x:row r="181" ht="21" customHeight="1">
      <x:c r="A181" s="14" t="str">
        <x:v>input_hashes.json</x:v>
      </x:c>
      <x:c r="B181" s="14" t="str">
        <x:v>frozen/all_activity_rows.csv</x:v>
      </x:c>
      <x:c r="C181" s="14" t="str">
        <x:v>string</x:v>
      </x:c>
      <x:c r="D181" s="15" t="str">
        <x:v>58970bf15d19d29673fc5c45ba631118f507fc8870391796aa7f7617936de678</x:v>
      </x:c>
    </x:row>
    <x:row r="182" ht="21" customHeight="1">
      <x:c r="A182" s="9" t="str">
        <x:v>input_hashes.json</x:v>
      </x:c>
      <x:c r="B182" s="9" t="str">
        <x:v>frozen/censoring_and_missing_ledger.csv</x:v>
      </x:c>
      <x:c r="C182" s="9" t="str">
        <x:v>string</x:v>
      </x:c>
      <x:c r="D182" s="11" t="str">
        <x:v>e657a7504572d215a943b22cc65e48cfe49cee266dfc55f0e36174e9201334d7</x:v>
      </x:c>
    </x:row>
    <x:row r="183" ht="21" customHeight="1">
      <x:c r="A183" s="14" t="str">
        <x:v>input_hashes.json</x:v>
      </x:c>
      <x:c r="B183" s="14" t="str">
        <x:v>frozen/cohort_rules.json</x:v>
      </x:c>
      <x:c r="C183" s="14" t="str">
        <x:v>string</x:v>
      </x:c>
      <x:c r="D183" s="15" t="str">
        <x:v>487c5f9a8f41f01cb953a3c39b8b6bd7cc4db0d61e299e7788d2e6c847224253</x:v>
      </x:c>
    </x:row>
    <x:row r="184" ht="21" customHeight="1">
      <x:c r="A184" s="9" t="str">
        <x:v>input_hashes.json</x:v>
      </x:c>
      <x:c r="B184" s="9" t="str">
        <x:v>frozen/cohort_summary.json</x:v>
      </x:c>
      <x:c r="C184" s="9" t="str">
        <x:v>string</x:v>
      </x:c>
      <x:c r="D184" s="11" t="str">
        <x:v>e7595c93fb723fd2a015769ec192fa6ef949a3880043e835070290c9ea0f59fd</x:v>
      </x:c>
    </x:row>
    <x:row r="185" ht="21" customHeight="1">
      <x:c r="A185" s="14" t="str">
        <x:v>input_hashes.json</x:v>
      </x:c>
      <x:c r="B185" s="14" t="str">
        <x:v>frozen/curate_assay.py</x:v>
      </x:c>
      <x:c r="C185" s="14" t="str">
        <x:v>string</x:v>
      </x:c>
      <x:c r="D185" s="15" t="str">
        <x:v>494ddb0e0d2b5c7bd48c71e4ca8476d1ef232c93b13027e07cc139a6e14599a5</x:v>
      </x:c>
    </x:row>
    <x:row r="186" ht="21" customHeight="1">
      <x:c r="A186" s="9" t="str">
        <x:v>input_hashes.json</x:v>
      </x:c>
      <x:c r="B186" s="9" t="str">
        <x:v>frozen/decision_ledger.csv</x:v>
      </x:c>
      <x:c r="C186" s="9" t="str">
        <x:v>string</x:v>
      </x:c>
      <x:c r="D186" s="11" t="str">
        <x:v>e3692dcff32de631790a0f56afbd7967caf68e09c6b10440055d9640ccfc44a0</x:v>
      </x:c>
    </x:row>
    <x:row r="187" ht="21" customHeight="1">
      <x:c r="A187" s="14" t="str">
        <x:v>input_hashes.json</x:v>
      </x:c>
      <x:c r="B187" s="14" t="str">
        <x:v>frozen/duplicate_ledger.csv</x:v>
      </x:c>
      <x:c r="C187" s="14" t="str">
        <x:v>string</x:v>
      </x:c>
      <x:c r="D187" s="15" t="str">
        <x:v>c7caab9caa65f4b74dc836cc8838627ea99c35168c56c29298a5788a3b179cdd</x:v>
      </x:c>
    </x:row>
    <x:row r="188" ht="21" customHeight="1">
      <x:c r="A188" s="9" t="str">
        <x:v>input_hashes.json</x:v>
      </x:c>
      <x:c r="B188" s="9" t="str">
        <x:v>frozen/eligible_compounds.csv</x:v>
      </x:c>
      <x:c r="C188" s="9" t="str">
        <x:v>string</x:v>
      </x:c>
      <x:c r="D188" s="11" t="str">
        <x:v>39ddd83e407bda3800f3cc0b6c220574417ea859fa85b3875ba7475600b6db61</x:v>
      </x:c>
    </x:row>
    <x:row r="189" ht="21" customHeight="1">
      <x:c r="A189" s="14" t="str">
        <x:v>input_hashes.json</x:v>
      </x:c>
      <x:c r="B189" s="14" t="str">
        <x:v>frozen/exclusion_ledger.csv</x:v>
      </x:c>
      <x:c r="C189" s="14" t="str">
        <x:v>string</x:v>
      </x:c>
      <x:c r="D189" s="15" t="str">
        <x:v>0c1d715ee5dccecb2073641520deebc92210fc417d6f732c1ad0a41a38350501</x:v>
      </x:c>
    </x:row>
    <x:row r="190" ht="21" customHeight="1">
      <x:c r="A190" s="9" t="str">
        <x:v>input_hashes.json</x:v>
      </x:c>
      <x:c r="B190" s="9" t="str">
        <x:v>frozen/fetch_assay.py</x:v>
      </x:c>
      <x:c r="C190" s="9" t="str">
        <x:v>string</x:v>
      </x:c>
      <x:c r="D190" s="11" t="str">
        <x:v>5e4ed69917be50e5abc55b48a756d1c95336135e24eb1f560f7d67284277c8c7</x:v>
      </x:c>
    </x:row>
    <x:row r="191" ht="21" customHeight="1">
      <x:c r="A191" s="14" t="str">
        <x:v>input_hashes.json</x:v>
      </x:c>
      <x:c r="B191" s="14" t="str">
        <x:v>frozen/raw/activities_page_000.json</x:v>
      </x:c>
      <x:c r="C191" s="14" t="str">
        <x:v>string</x:v>
      </x:c>
      <x:c r="D191" s="15" t="str">
        <x:v>1c1d0bc534a15752059afd2009f3547265906794202a2fbe31e251ded31ad884</x:v>
      </x:c>
    </x:row>
    <x:row r="192" ht="21" customHeight="1">
      <x:c r="A192" s="9" t="str">
        <x:v>input_hashes.json</x:v>
      </x:c>
      <x:c r="B192" s="9" t="str">
        <x:v>frozen/raw/assay.json</x:v>
      </x:c>
      <x:c r="C192" s="9" t="str">
        <x:v>string</x:v>
      </x:c>
      <x:c r="D192" s="11" t="str">
        <x:v>fe4db420ef4b2316de0f2e58cd34f51a836023aad88a833b9bd1e75175369856</x:v>
      </x:c>
    </x:row>
    <x:row r="193" ht="21" customHeight="1">
      <x:c r="A193" s="14" t="str">
        <x:v>input_hashes.json</x:v>
      </x:c>
      <x:c r="B193" s="14" t="str">
        <x:v>frozen/raw/document.json</x:v>
      </x:c>
      <x:c r="C193" s="14" t="str">
        <x:v>string</x:v>
      </x:c>
      <x:c r="D193" s="15" t="str">
        <x:v>2f73fd0f820092da42fd6522012ed162adcd9f412304d7781afa7c39f731e572</x:v>
      </x:c>
    </x:row>
    <x:row r="194" ht="21" customHeight="1">
      <x:c r="A194" s="9" t="str">
        <x:v>input_hashes.json</x:v>
      </x:c>
      <x:c r="B194" s="9" t="str">
        <x:v>frozen/raw/target.json</x:v>
      </x:c>
      <x:c r="C194" s="9" t="str">
        <x:v>string</x:v>
      </x:c>
      <x:c r="D194" s="11" t="str">
        <x:v>a776f57c123398b048370f76c58dbab794dd60c74748c3a54bf78942d04033c7</x:v>
      </x:c>
    </x:row>
    <x:row r="195" ht="21" customHeight="1">
      <x:c r="A195" s="14" t="str">
        <x:v>input_hashes.json</x:v>
      </x:c>
      <x:c r="B195" s="14" t="str">
        <x:v>frozen/source_manifest.json</x:v>
      </x:c>
      <x:c r="C195" s="14" t="str">
        <x:v>string</x:v>
      </x:c>
      <x:c r="D195" s="15" t="str">
        <x:v>6ea36af76e928c1198802f2e867c1a2a1eb8629f8b8e197a36b984fd06439e95</x:v>
      </x:c>
    </x:row>
    <x:row r="196" ht="21" customHeight="1">
      <x:c r="A196" s="9" t="str">
        <x:v>input_hashes.json</x:v>
      </x:c>
      <x:c r="B196" s="9" t="str">
        <x:v>pilot.py</x:v>
      </x:c>
      <x:c r="C196" s="9" t="str">
        <x:v>string</x:v>
      </x:c>
      <x:c r="D196" s="11" t="str">
        <x:v>14dc625b61b1058dc44f4138944ddc2d8d46ff66f3e2604fe8afd3820e23ba99</x:v>
      </x:c>
    </x:row>
    <x:row r="197" ht="21" customHeight="1">
      <x:c r="A197" s="14" t="str">
        <x:v>input_hashes.json</x:v>
      </x:c>
      <x:c r="B197" s="14" t="str">
        <x:v>predeclared_recipe.json</x:v>
      </x:c>
      <x:c r="C197" s="14" t="str">
        <x:v>string</x:v>
      </x:c>
      <x:c r="D197" s="15" t="str">
        <x:v>78fbca589bb204605e81438ae5660bd764077b4b4e5475f9c9958e76d3054b3f</x:v>
      </x:c>
    </x:row>
    <x:row r="198" ht="36" customHeight="1">
      <x:c r="A198" s="9" t="str">
        <x:v>provenance-supplement/comparator_identity_check.json</x:v>
      </x:c>
      <x:c r="B198" s="9" t="str">
        <x:v>created_utc</x:v>
      </x:c>
      <x:c r="C198" s="9" t="str">
        <x:v>string</x:v>
      </x:c>
      <x:c r="D198" s="11" t="d">
        <x:v>2026-10-23T03:38:20.173Z</x:v>
      </x:c>
    </x:row>
    <x:row r="199" ht="36" customHeight="1">
      <x:c r="A199" s="14" t="str">
        <x:v>provenance-supplement/comparator_identity_check.json</x:v>
      </x:c>
      <x:c r="B199" s="14" t="str">
        <x:v>identity_source</x:v>
      </x:c>
      <x:c r="C199" s="14" t="str">
        <x:v>string</x:v>
      </x:c>
      <x:c r="D199" s="15" t="str">
        <x:v>PubChem name GSK598809; corroborating ChEMBL molecule search</x:v>
      </x:c>
    </x:row>
    <x:row r="200" ht="36" customHeight="1">
      <x:c r="A200" s="9" t="str">
        <x:v>provenance-supplement/comparator_identity_check.json</x:v>
      </x:c>
      <x:c r="B200" s="9" t="str">
        <x:v>pubchem_cid</x:v>
      </x:c>
      <x:c r="C200" s="9" t="str">
        <x:v>number</x:v>
      </x:c>
      <x:c r="D200" s="11" t="n">
        <x:v>11784937</x:v>
      </x:c>
    </x:row>
    <x:row r="201" ht="36" customHeight="1">
      <x:c r="A201" s="14" t="str">
        <x:v>provenance-supplement/comparator_identity_check.json</x:v>
      </x:c>
      <x:c r="B201" s="14" t="str">
        <x:v>comparator_full_inchikey</x:v>
      </x:c>
      <x:c r="C201" s="14" t="str">
        <x:v>string</x:v>
      </x:c>
      <x:c r="D201" s="15" t="str">
        <x:v>ZKRWPAYTJMRKLJ-BTYIYWSLSA-N</x:v>
      </x:c>
    </x:row>
    <x:row r="202" ht="36" customHeight="1">
      <x:c r="A202" s="9" t="str">
        <x:v>provenance-supplement/comparator_identity_check.json</x:v>
      </x:c>
      <x:c r="B202" s="9" t="str">
        <x:v>comparator_nonisomeric_parent_smiles</x:v>
      </x:c>
      <x:c r="C202" s="9" t="str">
        <x:v>string</x:v>
      </x:c>
      <x:c r="D202" s="11" t="str">
        <x:v>Cc1ncoc1-c1nnc(SCCCN2CC3CC3(c3ccc(C(F)(F)F)cc3F)C2)n1C</x:v>
      </x:c>
    </x:row>
    <x:row r="203" ht="36" customHeight="1">
      <x:c r="A203" s="14" t="str">
        <x:v>provenance-supplement/comparator_identity_check.json</x:v>
      </x:c>
      <x:c r="B203" s="14" t="str">
        <x:v>matching_activity_ids_full_inchikey</x:v>
      </x:c>
      <x:c r="C203" s="14" t="str">
        <x:v>array</x:v>
      </x:c>
      <x:c r="D203" s="15" t="str">
        <x:v>[]</x:v>
      </x:c>
    </x:row>
    <x:row r="204" ht="36" customHeight="1">
      <x:c r="A204" s="9" t="str">
        <x:v>provenance-supplement/comparator_identity_check.json</x:v>
      </x:c>
      <x:c r="B204" s="9" t="str">
        <x:v>matching_activity_ids_connectivity_ignoring_stereo</x:v>
      </x:c>
      <x:c r="C204" s="9" t="str">
        <x:v>array</x:v>
      </x:c>
      <x:c r="D204" s="11" t="str">
        <x:v>[]</x:v>
      </x:c>
    </x:row>
    <x:row r="205" ht="36" customHeight="1">
      <x:c r="A205" s="14" t="str">
        <x:v>provenance-supplement/comparator_identity_check.json</x:v>
      </x:c>
      <x:c r="B205" s="14" t="str">
        <x:v>full_assay_rows_checked</x:v>
      </x:c>
      <x:c r="C205" s="14" t="str">
        <x:v>number</x:v>
      </x:c>
      <x:c r="D205" s="15" t="n">
        <x:v>107</x:v>
      </x:c>
    </x:row>
    <x:row r="206" ht="36" customHeight="1">
      <x:c r="A206" s="9" t="str">
        <x:v>provenance-supplement/comparator_identity_check.json</x:v>
      </x:c>
      <x:c r="B206" s="9" t="str">
        <x:v>cohort_changed</x:v>
      </x:c>
      <x:c r="C206" s="9" t="str">
        <x:v>boolean</x:v>
      </x:c>
      <x:c r="D206" s="30" t="b">
        <x:v>0</x:v>
      </x:c>
    </x:row>
    <x:row r="207" ht="36" customHeight="1">
      <x:c r="A207" s="14" t="str">
        <x:v>provenance-supplement/comparator_identity_check.json</x:v>
      </x:c>
      <x:c r="B207" s="14" t="str">
        <x:v>decision</x:v>
      </x:c>
      <x:c r="C207" s="14" t="str">
        <x:v>string</x:v>
      </x:c>
      <x:c r="D207" s="15" t="str">
        <x:v>No matching comparator graph among the full107 activity structures; no exclusion or refit justified by this identity check.</x:v>
      </x:c>
    </x:row>
    <x:row r="208" ht="36" customHeight="1">
      <x:c r="A208" s="9" t="str">
        <x:v>provenance-supplement/comparator_identity_check.json</x:v>
      </x:c>
      <x:c r="B208" s="9" t="str">
        <x:v>limitation</x:v>
      </x:c>
      <x:c r="C208" s="9" t="str">
        <x:v>string</x:v>
      </x:c>
      <x:c r="D208" s="11" t="str">
        <x:v>Manuscript uses GSK598809A name; source figure was not visually verified. Name-suffix resolution checked separately.</x:v>
      </x:c>
    </x:row>
    <x:row r="209" ht="36" customHeight="1">
      <x:c r="A209" s="14" t="str">
        <x:v>provenance-supplement/comparator_identity_check.json</x:v>
      </x:c>
      <x:c r="B209" s="14" t="str">
        <x:v>exact_A_name_lookup.url</x:v>
      </x:c>
      <x:c r="C209" s="14" t="str">
        <x:v>string</x:v>
      </x:c>
      <x:c r="D209" s="15" t="str">
        <x:v>https://pubchem.ncbi.nlm.nih.gov/rest/pug/compound/name/GSK598809A/property/InChIKey,IsomericSMILES/JSON</x:v>
      </x:c>
    </x:row>
    <x:row r="210" ht="36" customHeight="1">
      <x:c r="A210" s="9" t="str">
        <x:v>provenance-supplement/comparator_identity_check.json</x:v>
      </x:c>
      <x:c r="B210" s="9" t="str">
        <x:v>exact_A_name_lookup.error</x:v>
      </x:c>
      <x:c r="C210" s="9" t="str">
        <x:v>string</x:v>
      </x:c>
      <x:c r="D210" s="11" t="str">
        <x:v>&lt;HTTPError 404: 'Not Found'&gt;</x:v>
      </x:c>
    </x:row>
    <x:row r="211" ht="21" customHeight="1">
      <x:c r="A211" s="14" t="str">
        <x:v>FINAL_MANIFEST.json</x:v>
      </x:c>
      <x:c r="B211" s="14" t="str">
        <x:v>DATA_LICENSE.md</x:v>
      </x:c>
      <x:c r="C211" s="14" t="str">
        <x:v>string</x:v>
      </x:c>
      <x:c r="D211" s="15" t="str">
        <x:v>1dfa667fcf6281770ace20fd0e4b44cdb011d39cd84730c4688093005660dcd5</x:v>
      </x:c>
    </x:row>
    <x:row r="212" ht="21" customHeight="1">
      <x:c r="A212" s="9" t="str">
        <x:v>FINAL_MANIFEST.json</x:v>
      </x:c>
      <x:c r="B212" s="9" t="str">
        <x:v>PACKAGING_CHANGES.json</x:v>
      </x:c>
      <x:c r="C212" s="9" t="str">
        <x:v>string</x:v>
      </x:c>
      <x:c r="D212" s="11" t="str">
        <x:v>32b929fd15b958708a3ede639689485e811e41a4919063155dfa9bb5a702686b</x:v>
      </x:c>
    </x:row>
    <x:row r="213" ht="21" customHeight="1">
      <x:c r="A213" s="14" t="str">
        <x:v>FINAL_MANIFEST.json</x:v>
      </x:c>
      <x:c r="B213" s="14" t="str">
        <x:v>README.md</x:v>
      </x:c>
      <x:c r="C213" s="14" t="str">
        <x:v>string</x:v>
      </x:c>
      <x:c r="D213" s="15" t="str">
        <x:v>b10449bee53ea2b81579fe2e54604ef4bab01ffac3d74dbf75e61a830769ef26</x:v>
      </x:c>
    </x:row>
    <x:row r="214" ht="21" customHeight="1">
      <x:c r="A214" s="9" t="str">
        <x:v>FINAL_MANIFEST.json</x:v>
      </x:c>
      <x:c r="B214" s="9" t="str">
        <x:v>assay_qsar_pilot.executed.ipynb</x:v>
      </x:c>
      <x:c r="C214" s="9" t="str">
        <x:v>string</x:v>
      </x:c>
      <x:c r="D214" s="11" t="str">
        <x:v>0259809c19ffb7cd495cd07da0a40891ddede5d10c34f934f4f12957a2a06824</x:v>
      </x:c>
    </x:row>
    <x:row r="215" ht="21" customHeight="1">
      <x:c r="A215" s="14" t="str">
        <x:v>FINAL_MANIFEST.json</x:v>
      </x:c>
      <x:c r="B215" s="14" t="str">
        <x:v>assay_qsar_pilot.ipynb</x:v>
      </x:c>
      <x:c r="C215" s="14" t="str">
        <x:v>string</x:v>
      </x:c>
      <x:c r="D215" s="15" t="str">
        <x:v>bb14243992b03e863cc8cd6952f7135e1d4afe40c6cb4298dd887be65d5e54ae</x:v>
      </x:c>
    </x:row>
    <x:row r="216" ht="21" customHeight="1">
      <x:c r="A216" s="9" t="str">
        <x:v>FINAL_MANIFEST.json</x:v>
      </x:c>
      <x:c r="B216" s="9" t="str">
        <x:v>final_code_cells_sha256.txt</x:v>
      </x:c>
      <x:c r="C216" s="9" t="str">
        <x:v>string</x:v>
      </x:c>
      <x:c r="D216" s="11" t="str">
        <x:v>24fc07dc105339e3160e6895da7356360237213e4abb0f6b03e6a22ebbd452e5</x:v>
      </x:c>
    </x:row>
    <x:row r="217" ht="21" customHeight="1">
      <x:c r="A217" s="14" t="str">
        <x:v>FINAL_MANIFEST.json</x:v>
      </x:c>
      <x:c r="B217" s="14" t="str">
        <x:v>frozen/all_activity_rows.csv</x:v>
      </x:c>
      <x:c r="C217" s="14" t="str">
        <x:v>string</x:v>
      </x:c>
      <x:c r="D217" s="15" t="str">
        <x:v>58970bf15d19d29673fc5c45ba631118f507fc8870391796aa7f7617936de678</x:v>
      </x:c>
    </x:row>
    <x:row r="218" ht="21" customHeight="1">
      <x:c r="A218" s="9" t="str">
        <x:v>FINAL_MANIFEST.json</x:v>
      </x:c>
      <x:c r="B218" s="9" t="str">
        <x:v>frozen/censoring_and_missing_ledger.csv</x:v>
      </x:c>
      <x:c r="C218" s="9" t="str">
        <x:v>string</x:v>
      </x:c>
      <x:c r="D218" s="11" t="str">
        <x:v>e657a7504572d215a943b22cc65e48cfe49cee266dfc55f0e36174e9201334d7</x:v>
      </x:c>
    </x:row>
    <x:row r="219" ht="21" customHeight="1">
      <x:c r="A219" s="14" t="str">
        <x:v>FINAL_MANIFEST.json</x:v>
      </x:c>
      <x:c r="B219" s="14" t="str">
        <x:v>frozen/cohort_rules.json</x:v>
      </x:c>
      <x:c r="C219" s="14" t="str">
        <x:v>string</x:v>
      </x:c>
      <x:c r="D219" s="15" t="str">
        <x:v>487c5f9a8f41f01cb953a3c39b8b6bd7cc4db0d61e299e7788d2e6c847224253</x:v>
      </x:c>
    </x:row>
    <x:row r="220" ht="21" customHeight="1">
      <x:c r="A220" s="9" t="str">
        <x:v>FINAL_MANIFEST.json</x:v>
      </x:c>
      <x:c r="B220" s="9" t="str">
        <x:v>frozen/cohort_summary.json</x:v>
      </x:c>
      <x:c r="C220" s="9" t="str">
        <x:v>string</x:v>
      </x:c>
      <x:c r="D220" s="11" t="str">
        <x:v>e7595c93fb723fd2a015769ec192fa6ef949a3880043e835070290c9ea0f59fd</x:v>
      </x:c>
    </x:row>
    <x:row r="221" ht="21" customHeight="1">
      <x:c r="A221" s="14" t="str">
        <x:v>FINAL_MANIFEST.json</x:v>
      </x:c>
      <x:c r="B221" s="14" t="str">
        <x:v>frozen/curate_assay.py</x:v>
      </x:c>
      <x:c r="C221" s="14" t="str">
        <x:v>string</x:v>
      </x:c>
      <x:c r="D221" s="15" t="str">
        <x:v>494ddb0e0d2b5c7bd48c71e4ca8476d1ef232c93b13027e07cc139a6e14599a5</x:v>
      </x:c>
    </x:row>
    <x:row r="222" ht="21" customHeight="1">
      <x:c r="A222" s="9" t="str">
        <x:v>FINAL_MANIFEST.json</x:v>
      </x:c>
      <x:c r="B222" s="9" t="str">
        <x:v>frozen/decision_ledger.csv</x:v>
      </x:c>
      <x:c r="C222" s="9" t="str">
        <x:v>string</x:v>
      </x:c>
      <x:c r="D222" s="11" t="str">
        <x:v>e3692dcff32de631790a0f56afbd7967caf68e09c6b10440055d9640ccfc44a0</x:v>
      </x:c>
    </x:row>
    <x:row r="223" ht="21" customHeight="1">
      <x:c r="A223" s="14" t="str">
        <x:v>FINAL_MANIFEST.json</x:v>
      </x:c>
      <x:c r="B223" s="14" t="str">
        <x:v>frozen/duplicate_ledger.csv</x:v>
      </x:c>
      <x:c r="C223" s="14" t="str">
        <x:v>string</x:v>
      </x:c>
      <x:c r="D223" s="15" t="str">
        <x:v>c7caab9caa65f4b74dc836cc8838627ea99c35168c56c29298a5788a3b179cdd</x:v>
      </x:c>
    </x:row>
    <x:row r="224" ht="21" customHeight="1">
      <x:c r="A224" s="9" t="str">
        <x:v>FINAL_MANIFEST.json</x:v>
      </x:c>
      <x:c r="B224" s="9" t="str">
        <x:v>frozen/eligible_compounds.csv</x:v>
      </x:c>
      <x:c r="C224" s="9" t="str">
        <x:v>string</x:v>
      </x:c>
      <x:c r="D224" s="11" t="str">
        <x:v>39ddd83e407bda3800f3cc0b6c220574417ea859fa85b3875ba7475600b6db61</x:v>
      </x:c>
    </x:row>
    <x:row r="225" ht="21" customHeight="1">
      <x:c r="A225" s="14" t="str">
        <x:v>FINAL_MANIFEST.json</x:v>
      </x:c>
      <x:c r="B225" s="14" t="str">
        <x:v>frozen/exclusion_ledger.csv</x:v>
      </x:c>
      <x:c r="C225" s="14" t="str">
        <x:v>string</x:v>
      </x:c>
      <x:c r="D225" s="15" t="str">
        <x:v>0c1d715ee5dccecb2073641520deebc92210fc417d6f732c1ad0a41a38350501</x:v>
      </x:c>
    </x:row>
    <x:row r="226" ht="21" customHeight="1">
      <x:c r="A226" s="9" t="str">
        <x:v>FINAL_MANIFEST.json</x:v>
      </x:c>
      <x:c r="B226" s="9" t="str">
        <x:v>frozen/fetch_assay.py</x:v>
      </x:c>
      <x:c r="C226" s="9" t="str">
        <x:v>string</x:v>
      </x:c>
      <x:c r="D226" s="11" t="str">
        <x:v>5e4ed69917be50e5abc55b48a756d1c95336135e24eb1f560f7d67284277c8c7</x:v>
      </x:c>
    </x:row>
    <x:row r="227" ht="21" customHeight="1">
      <x:c r="A227" s="14" t="str">
        <x:v>FINAL_MANIFEST.json</x:v>
      </x:c>
      <x:c r="B227" s="14" t="str">
        <x:v>frozen/raw/activities_page_000.json</x:v>
      </x:c>
      <x:c r="C227" s="14" t="str">
        <x:v>string</x:v>
      </x:c>
      <x:c r="D227" s="15" t="str">
        <x:v>1c1d0bc534a15752059afd2009f3547265906794202a2fbe31e251ded31ad884</x:v>
      </x:c>
    </x:row>
    <x:row r="228" ht="21" customHeight="1">
      <x:c r="A228" s="9" t="str">
        <x:v>FINAL_MANIFEST.json</x:v>
      </x:c>
      <x:c r="B228" s="9" t="str">
        <x:v>frozen/raw/assay.json</x:v>
      </x:c>
      <x:c r="C228" s="9" t="str">
        <x:v>string</x:v>
      </x:c>
      <x:c r="D228" s="11" t="str">
        <x:v>fe4db420ef4b2316de0f2e58cd34f51a836023aad88a833b9bd1e75175369856</x:v>
      </x:c>
    </x:row>
    <x:row r="229" ht="21" customHeight="1">
      <x:c r="A229" s="14" t="str">
        <x:v>FINAL_MANIFEST.json</x:v>
      </x:c>
      <x:c r="B229" s="14" t="str">
        <x:v>frozen/raw/document.json</x:v>
      </x:c>
      <x:c r="C229" s="14" t="str">
        <x:v>string</x:v>
      </x:c>
      <x:c r="D229" s="15" t="str">
        <x:v>2f73fd0f820092da42fd6522012ed162adcd9f412304d7781afa7c39f731e572</x:v>
      </x:c>
    </x:row>
    <x:row r="230" ht="21" customHeight="1">
      <x:c r="A230" s="9" t="str">
        <x:v>FINAL_MANIFEST.json</x:v>
      </x:c>
      <x:c r="B230" s="9" t="str">
        <x:v>frozen/raw/target.json</x:v>
      </x:c>
      <x:c r="C230" s="9" t="str">
        <x:v>string</x:v>
      </x:c>
      <x:c r="D230" s="11" t="str">
        <x:v>a776f57c123398b048370f76c58dbab794dd60c74748c3a54bf78942d04033c7</x:v>
      </x:c>
    </x:row>
    <x:row r="231" ht="21" customHeight="1">
      <x:c r="A231" s="14" t="str">
        <x:v>FINAL_MANIFEST.json</x:v>
      </x:c>
      <x:c r="B231" s="14" t="str">
        <x:v>frozen/source_manifest.json</x:v>
      </x:c>
      <x:c r="C231" s="14" t="str">
        <x:v>string</x:v>
      </x:c>
      <x:c r="D231" s="15" t="str">
        <x:v>6ea36af76e928c1198802f2e867c1a2a1eb8629f8b8e197a36b984fd06439e95</x:v>
      </x:c>
    </x:row>
    <x:row r="232" ht="21" customHeight="1">
      <x:c r="A232" s="9" t="str">
        <x:v>FINAL_MANIFEST.json</x:v>
      </x:c>
      <x:c r="B232" s="9" t="str">
        <x:v>input_hashes.json</x:v>
      </x:c>
      <x:c r="C232" s="9" t="str">
        <x:v>string</x:v>
      </x:c>
      <x:c r="D232" s="11" t="str">
        <x:v>9f20e8f09cd0c126913ab7f6e92d9e48d1062e811c1209dd8f53866f80ac26df</x:v>
      </x:c>
    </x:row>
    <x:row r="233" ht="21" customHeight="1">
      <x:c r="A233" s="14" t="str">
        <x:v>FINAL_MANIFEST.json</x:v>
      </x:c>
      <x:c r="B233" s="14" t="str">
        <x:v>integrity_tests.json</x:v>
      </x:c>
      <x:c r="C233" s="14" t="str">
        <x:v>string</x:v>
      </x:c>
      <x:c r="D233" s="15" t="str">
        <x:v>b997e7219f2b305d7c1ab60914f908bd78d65df224f6d4e89a67865766b55de8</x:v>
      </x:c>
    </x:row>
    <x:row r="234" ht="21" customHeight="1">
      <x:c r="A234" s="9" t="str">
        <x:v>FINAL_MANIFEST.json</x:v>
      </x:c>
      <x:c r="B234" s="9" t="str">
        <x:v>pilot.py</x:v>
      </x:c>
      <x:c r="C234" s="9" t="str">
        <x:v>string</x:v>
      </x:c>
      <x:c r="D234" s="11" t="str">
        <x:v>14dc625b61b1058dc44f4138944ddc2d8d46ff66f3e2604fe8afd3820e23ba99</x:v>
      </x:c>
    </x:row>
    <x:row r="235" ht="21" customHeight="1">
      <x:c r="A235" s="14" t="str">
        <x:v>FINAL_MANIFEST.json</x:v>
      </x:c>
      <x:c r="B235" s="14" t="str">
        <x:v>predeclared_recipe.json</x:v>
      </x:c>
      <x:c r="C235" s="14" t="str">
        <x:v>string</x:v>
      </x:c>
      <x:c r="D235" s="15" t="str">
        <x:v>78fbca589bb204605e81438ae5660bd764077b4b4e5475f9c9958e76d3054b3f</x:v>
      </x:c>
    </x:row>
    <x:row r="236" ht="21" customHeight="1">
      <x:c r="A236" s="9" t="str">
        <x:v>FINAL_MANIFEST.json</x:v>
      </x:c>
      <x:c r="B236" s="9" t="str">
        <x:v>prefit_split_info.json</x:v>
      </x:c>
      <x:c r="C236" s="9" t="str">
        <x:v>string</x:v>
      </x:c>
      <x:c r="D236" s="11" t="str">
        <x:v>99c5234a6f462bce22643a72d004ba611d22fa17fc230b54c759f60b1b8e03f9</x:v>
      </x:c>
    </x:row>
    <x:row r="237" ht="21" customHeight="1">
      <x:c r="A237" s="14" t="str">
        <x:v>FINAL_MANIFEST.json</x:v>
      </x:c>
      <x:c r="B237" s="14" t="str">
        <x:v>prefit_split_manifest.csv</x:v>
      </x:c>
      <x:c r="C237" s="14" t="str">
        <x:v>string</x:v>
      </x:c>
      <x:c r="D237" s="15" t="str">
        <x:v>c22f5a6425202543714b8bb2071ee295dbdf54800cbbe1abc680519ef05b68ad</x:v>
      </x:c>
    </x:row>
    <x:row r="238" ht="21" customHeight="1">
      <x:c r="A238" s="9" t="str">
        <x:v>FINAL_MANIFEST.json</x:v>
      </x:c>
      <x:c r="B238" s="9" t="str">
        <x:v>provenance-supplement/CHECK_HISTORY.md</x:v>
      </x:c>
      <x:c r="C238" s="9" t="str">
        <x:v>string</x:v>
      </x:c>
      <x:c r="D238" s="11" t="str">
        <x:v>9b7ac8d1fba8eb4c08442dcc968c359d15de6d5295187a63dc2f9fc77a0ce56c</x:v>
      </x:c>
    </x:row>
    <x:row r="239" ht="21" customHeight="1">
      <x:c r="A239" s="14" t="str">
        <x:v>FINAL_MANIFEST.json</x:v>
      </x:c>
      <x:c r="B239" s="14" t="str">
        <x:v>provenance-supplement/comparator_identity_GSK598809.json</x:v>
      </x:c>
      <x:c r="C239" s="14" t="str">
        <x:v>string</x:v>
      </x:c>
      <x:c r="D239" s="15" t="str">
        <x:v>c4e2727ca3ac5b893c5bd5ea8d918848a8174a41d53b6eafa4621fe5bcbe968c</x:v>
      </x:c>
    </x:row>
    <x:row r="240" ht="21" customHeight="1">
      <x:c r="A240" s="9" t="str">
        <x:v>FINAL_MANIFEST.json</x:v>
      </x:c>
      <x:c r="B240" s="9" t="str">
        <x:v>provenance-supplement/comparator_identity_GSK598809_search.json</x:v>
      </x:c>
      <x:c r="C240" s="9" t="str">
        <x:v>string</x:v>
      </x:c>
      <x:c r="D240" s="11" t="str">
        <x:v>07d8bad9aa7f6eb7b47e2cc0cd55bbf1b4b9e0477d2522620f3768d4596d5bd5</x:v>
      </x:c>
    </x:row>
    <x:row r="241" ht="21" customHeight="1">
      <x:c r="A241" s="14" t="str">
        <x:v>FINAL_MANIFEST.json</x:v>
      </x:c>
      <x:c r="B241" s="14" t="str">
        <x:v>provenance-supplement/comparator_identity_check.json</x:v>
      </x:c>
      <x:c r="C241" s="14" t="str">
        <x:v>string</x:v>
      </x:c>
      <x:c r="D241" s="15" t="str">
        <x:v>8d057b9dc3517817f15a8d95251d962bfe579547a0400dac7279d0accc6e9fc6</x:v>
      </x:c>
    </x:row>
    <x:row r="242" ht="21" customHeight="1">
      <x:c r="A242" s="9" t="str">
        <x:v>FINAL_MANIFEST.json</x:v>
      </x:c>
      <x:c r="B242" s="9" t="str">
        <x:v>provenance-supplement/comparator_identity_request.json</x:v>
      </x:c>
      <x:c r="C242" s="9" t="str">
        <x:v>string</x:v>
      </x:c>
      <x:c r="D242" s="11" t="str">
        <x:v>bb27b733bba22e11d8eab09649b9117466f68fd4546a3d6b3aef4e338ea68b90</x:v>
      </x:c>
    </x:row>
    <x:row r="243" ht="21" customHeight="1">
      <x:c r="A243" s="14" t="str">
        <x:v>FINAL_MANIFEST.json</x:v>
      </x:c>
      <x:c r="B243" s="14" t="str">
        <x:v>provenance-supplement/comparator_identity_search_request.json</x:v>
      </x:c>
      <x:c r="C243" s="14" t="str">
        <x:v>string</x:v>
      </x:c>
      <x:c r="D243" s="15" t="str">
        <x:v>3e532facde6834a14090223b86ea990074a57cf3d5eac24ec77830fa9a288e0a</x:v>
      </x:c>
    </x:row>
    <x:row r="244" ht="21" customHeight="1">
      <x:c r="A244" s="9" t="str">
        <x:v>FINAL_MANIFEST.json</x:v>
      </x:c>
      <x:c r="B244" s="9" t="str">
        <x:v>provenance-supplement/comparator_pubchem_GSK598809.json</x:v>
      </x:c>
      <x:c r="C244" s="9" t="str">
        <x:v>string</x:v>
      </x:c>
      <x:c r="D244" s="11" t="str">
        <x:v>5df18e09d240945f71dc3edda48bae3a4524d2459e949977f5e43de69ed0a9a8</x:v>
      </x:c>
    </x:row>
    <x:row r="245" ht="21" customHeight="1">
      <x:c r="A245" s="14" t="str">
        <x:v>FINAL_MANIFEST.json</x:v>
      </x:c>
      <x:c r="B245" s="14" t="str">
        <x:v>provenance-supplement/comparator_pubchem_request.json</x:v>
      </x:c>
      <x:c r="C245" s="14" t="str">
        <x:v>string</x:v>
      </x:c>
      <x:c r="D245" s="15" t="str">
        <x:v>8d8aaea2b048545b231ff807b8850e7e301e88ada55cd99aba6a3228e815dd70</x:v>
      </x:c>
    </x:row>
    <x:row r="246" ht="21" customHeight="1">
      <x:c r="A246" s="9" t="str">
        <x:v>FINAL_MANIFEST.json</x:v>
      </x:c>
      <x:c r="B246" s="9" t="str">
        <x:v>replay_notebook.py</x:v>
      </x:c>
      <x:c r="C246" s="9" t="str">
        <x:v>string</x:v>
      </x:c>
      <x:c r="D246" s="11" t="str">
        <x:v>ba0a99dba42a5d7027d1a77d8c676d6e813fa8ec5f93a7ec1237022b1d86780c</x:v>
      </x:c>
    </x:row>
    <x:row r="247" ht="21" customHeight="1">
      <x:c r="A247" s="14" t="str">
        <x:v>FINAL_MANIFEST.json</x:v>
      </x:c>
      <x:c r="B247" s="14" t="str">
        <x:v>replay_receipt.json</x:v>
      </x:c>
      <x:c r="C247" s="14" t="str">
        <x:v>string</x:v>
      </x:c>
      <x:c r="D247" s="15" t="str">
        <x:v>43935968240f1d0e6433045c68508504ce83cbc509c5807ed5785cc4befbe911</x:v>
      </x:c>
    </x:row>
    <x:row r="248" ht="21" customHeight="1">
      <x:c r="A248" s="9" t="str">
        <x:v>FINAL_MANIFEST.json</x:v>
      </x:c>
      <x:c r="B248" s="9" t="str">
        <x:v>requirements-tested.txt</x:v>
      </x:c>
      <x:c r="C248" s="9" t="str">
        <x:v>string</x:v>
      </x:c>
      <x:c r="D248" s="11" t="str">
        <x:v>902bffe026a066cbb18b813e8a735f9c816bffd38b2d3aeacf19d0403e9c7337</x:v>
      </x:c>
    </x:row>
    <x:row r="249" ht="21" customHeight="1">
      <x:c r="A249" s="14" t="str">
        <x:v>FINAL_MANIFEST.json</x:v>
      </x:c>
      <x:c r="B249" s="14" t="str">
        <x:v>results/holdout.png</x:v>
      </x:c>
      <x:c r="C249" s="14" t="str">
        <x:v>string</x:v>
      </x:c>
      <x:c r="D249" s="15" t="str">
        <x:v>ecf393f49e60afa4f405ca420e62c102ac42257d2fa31b61865f3d94f4571e91</x:v>
      </x:c>
    </x:row>
    <x:row r="250" ht="21" customHeight="1">
      <x:c r="A250" s="9" t="str">
        <x:v>FINAL_MANIFEST.json</x:v>
      </x:c>
      <x:c r="B250" s="9" t="str">
        <x:v>results/model_dataset.csv</x:v>
      </x:c>
      <x:c r="C250" s="9" t="str">
        <x:v>string</x:v>
      </x:c>
      <x:c r="D250" s="11" t="str">
        <x:v>b82d468ee9cbfd7ae5621e459e8408f597c8430198f5fdbd9be1f9e09cce32d3</x:v>
      </x:c>
    </x:row>
    <x:row r="251" ht="21" customHeight="1">
      <x:c r="A251" s="14" t="str">
        <x:v>FINAL_MANIFEST.json</x:v>
      </x:c>
      <x:c r="B251" s="14" t="str">
        <x:v>results/model_parameters.json</x:v>
      </x:c>
      <x:c r="C251" s="14" t="str">
        <x:v>string</x:v>
      </x:c>
      <x:c r="D251" s="15" t="str">
        <x:v>298c4d7e5a9d036ffd811476be7ce47f34ca61697d3483c56ce66b01c9079289</x:v>
      </x:c>
    </x:row>
    <x:row r="252" ht="21" customHeight="1">
      <x:c r="A252" s="9" t="str">
        <x:v>FINAL_MANIFEST.json</x:v>
      </x:c>
      <x:c r="B252" s="9" t="str">
        <x:v>results/predictions.csv</x:v>
      </x:c>
      <x:c r="C252" s="9" t="str">
        <x:v>string</x:v>
      </x:c>
      <x:c r="D252" s="11" t="str">
        <x:v>18668f5a5999794f9253b2db33dfcddc32492ee36d28c1bb62359eda5da5559a</x:v>
      </x:c>
    </x:row>
    <x:row r="253" ht="21" customHeight="1">
      <x:c r="A253" s="14" t="str">
        <x:v>FINAL_MANIFEST.json</x:v>
      </x:c>
      <x:c r="B253" s="14" t="str">
        <x:v>results/report.json</x:v>
      </x:c>
      <x:c r="C253" s="14" t="str">
        <x:v>string</x:v>
      </x:c>
      <x:c r="D253" s="15" t="str">
        <x:v>bbe475f1dae24b8106ea3582cb4bc8723c731bed521c1720bc208810561a5eff</x:v>
      </x:c>
    </x:row>
    <x:row r="254" ht="21" customHeight="1">
      <x:c r="A254" s="9" t="str">
        <x:v>FINAL_MANIFEST.json</x:v>
      </x:c>
      <x:c r="B254" s="9" t="str">
        <x:v>results/split_manifest.csv</x:v>
      </x:c>
      <x:c r="C254" s="9" t="str">
        <x:v>string</x:v>
      </x:c>
      <x:c r="D254" s="11" t="str">
        <x:v>c22f5a6425202543714b8bb2071ee295dbdf54800cbbe1abc680519ef05b68ad</x:v>
      </x:c>
    </x:row>
    <x:row r="255" ht="21" customHeight="1">
      <x:c r="A255" s="14" t="str">
        <x:v>FINAL_MANIFEST.json</x:v>
      </x:c>
      <x:c r="B255" s="14" t="str">
        <x:v>test_integrity.py</x:v>
      </x:c>
      <x:c r="C255" s="14" t="str">
        <x:v>string</x:v>
      </x:c>
      <x:c r="D255" s="15" t="str">
        <x:v>7e19556b4b4007d7887f923434c04e6759d1038ead367589ede4145f639b7a68</x:v>
      </x:c>
    </x:row>
    <x:row r="256" ht="21" customHeight="1">
      <x:c r="A256" s="9" t="str">
        <x:v>PACKAGING_CHANGES.json</x:v>
      </x:c>
      <x:c r="B256" s="9" t="str">
        <x:v>purpose</x:v>
      </x:c>
      <x:c r="C256" s="9" t="str">
        <x:v>string</x:v>
      </x:c>
      <x:c r="D256" s="11" t="str">
        <x:v>Portable local deliverable; no public publication</x:v>
      </x:c>
    </x:row>
    <x:row r="257" ht="21" customHeight="1">
      <x:c r="A257" s="14" t="str">
        <x:v>PACKAGING_CHANGES.json</x:v>
      </x:c>
      <x:c r="B257" s="14" t="str">
        <x:v>changes.0.file</x:v>
      </x:c>
      <x:c r="C257" s="14" t="str">
        <x:v>string</x:v>
      </x:c>
      <x:c r="D257" s="15" t="str">
        <x:v>frozen/cohort_rules.json</x:v>
      </x:c>
    </x:row>
    <x:row r="258" ht="21" customHeight="1">
      <x:c r="A258" s="9" t="str">
        <x:v>PACKAGING_CHANGES.json</x:v>
      </x:c>
      <x:c r="B258" s="9" t="str">
        <x:v>changes.0.change</x:v>
      </x:c>
      <x:c r="C258" s="9" t="str">
        <x:v>string</x:v>
      </x:c>
      <x:c r="D258" s="11" t="str">
        <x:v>Absolute local split recipe path replaced by relative filename only</x:v>
      </x:c>
    </x:row>
    <x:row r="259" ht="21" customHeight="1">
      <x:c r="A259" s="14" t="str">
        <x:v>PACKAGING_CHANGES.json</x:v>
      </x:c>
      <x:c r="B259" s="14" t="str">
        <x:v>changes.0.original_sha256</x:v>
      </x:c>
      <x:c r="C259" s="14" t="str">
        <x:v>string</x:v>
      </x:c>
      <x:c r="D259" s="15" t="str">
        <x:v>445494bb0496aec9edae79a2bc7724cc873c0fcfcf8cc6665a886abc657e3e6b</x:v>
      </x:c>
    </x:row>
    <x:row r="260" ht="21" customHeight="1">
      <x:c r="A260" s="9" t="str">
        <x:v>PACKAGING_CHANGES.json</x:v>
      </x:c>
      <x:c r="B260" s="9" t="str">
        <x:v>changes.0.packaged_sha256</x:v>
      </x:c>
      <x:c r="C260" s="9" t="str">
        <x:v>string</x:v>
      </x:c>
      <x:c r="D260" s="11" t="str">
        <x:v>487c5f9a8f41f01cb953a3c39b8b6bd7cc4db0d61e299e7788d2e6c847224253</x:v>
      </x:c>
    </x:row>
    <x:row r="261" ht="21" customHeight="1">
      <x:c r="A261" s="14" t="str">
        <x:v>PACKAGING_CHANGES.json</x:v>
      </x:c>
      <x:c r="B261" s="14" t="str">
        <x:v>changes.1.file</x:v>
      </x:c>
      <x:c r="C261" s="14" t="str">
        <x:v>string</x:v>
      </x:c>
      <x:c r="D261" s="15" t="str">
        <x:v>frozen/curate_assay.py</x:v>
      </x:c>
    </x:row>
    <x:row r="262" ht="21" customHeight="1">
      <x:c r="A262" s="9" t="str">
        <x:v>PACKAGING_CHANGES.json</x:v>
      </x:c>
      <x:c r="B262" s="9" t="str">
        <x:v>changes.1.change</x:v>
      </x:c>
      <x:c r="C262" s="9" t="str">
        <x:v>string</x:v>
      </x:c>
      <x:c r="D262" s="11" t="str">
        <x:v>Expected rule hash updated for that path-only redaction</x:v>
      </x:c>
    </x:row>
    <x:row r="263" ht="21" customHeight="1">
      <x:c r="A263" s="14" t="str">
        <x:v>PACKAGING_CHANGES.json</x:v>
      </x:c>
      <x:c r="B263" s="14" t="str">
        <x:v>changes.1.original_sha256</x:v>
      </x:c>
      <x:c r="C263" s="14" t="str">
        <x:v>string</x:v>
      </x:c>
      <x:c r="D263" s="15" t="str">
        <x:v>af58b108697aecff880581f967f44d3cf12ca97791f2326068c7471d6fbb7be8</x:v>
      </x:c>
    </x:row>
    <x:row r="264" ht="21" customHeight="1">
      <x:c r="A264" s="9" t="str">
        <x:v>PACKAGING_CHANGES.json</x:v>
      </x:c>
      <x:c r="B264" s="9" t="str">
        <x:v>changes.1.packaged_sha256</x:v>
      </x:c>
      <x:c r="C264" s="9" t="str">
        <x:v>string</x:v>
      </x:c>
      <x:c r="D264" s="11" t="str">
        <x:v>494ddb0e0d2b5c7bd48c71e4ca8476d1ef232c93b13027e07cc139a6e14599a5</x:v>
      </x:c>
    </x:row>
    <x:row r="265" ht="21" customHeight="1">
      <x:c r="A265" s="14" t="str">
        <x:v>PACKAGING_CHANGES.json</x:v>
      </x:c>
      <x:c r="B265" s="14" t="str">
        <x:v>changes.2.file</x:v>
      </x:c>
      <x:c r="C265" s="14" t="str">
        <x:v>string</x:v>
      </x:c>
      <x:c r="D265" s="15" t="str">
        <x:v>frozen/cohort_summary.json</x:v>
      </x:c>
    </x:row>
    <x:row r="266" ht="21" customHeight="1">
      <x:c r="A266" s="9" t="str">
        <x:v>PACKAGING_CHANGES.json</x:v>
      </x:c>
      <x:c r="B266" s="9" t="str">
        <x:v>changes.2.change</x:v>
      </x:c>
      <x:c r="C266" s="9" t="str">
        <x:v>string</x:v>
      </x:c>
      <x:c r="D266" s="11" t="str">
        <x:v>Rule/script hash references updated only</x:v>
      </x:c>
    </x:row>
    <x:row r="267" ht="21" customHeight="1">
      <x:c r="A267" s="14" t="str">
        <x:v>PACKAGING_CHANGES.json</x:v>
      </x:c>
      <x:c r="B267" s="14" t="str">
        <x:v>cohort_changed</x:v>
      </x:c>
      <x:c r="C267" s="14" t="str">
        <x:v>boolean</x:v>
      </x:c>
      <x:c r="D267" s="31" t="b">
        <x:v>0</x:v>
      </x:c>
    </x:row>
    <x:row r="268" ht="21" customHeight="1">
      <x:c r="A268" s="9" t="str">
        <x:v>PACKAGING_CHANGES.json</x:v>
      </x:c>
      <x:c r="B268" s="9" t="str">
        <x:v>split_changed</x:v>
      </x:c>
      <x:c r="C268" s="9" t="str">
        <x:v>boolean</x:v>
      </x:c>
      <x:c r="D268" s="30" t="b">
        <x:v>0</x:v>
      </x:c>
    </x:row>
    <x:row r="269" ht="21" customHeight="1">
      <x:c r="A269" s="14" t="str">
        <x:v>PACKAGING_CHANGES.json</x:v>
      </x:c>
      <x:c r="B269" s="14" t="str">
        <x:v>model_changed</x:v>
      </x:c>
      <x:c r="C269" s="14" t="str">
        <x:v>boolean</x:v>
      </x:c>
      <x:c r="D269" s="31" t="b">
        <x:v>0</x:v>
      </x:c>
    </x:row>
    <x:row r="270" ht="21" customHeight="1">
      <x:c r="A270" s="9" t="str">
        <x:v>PACKAGING_CHANGES.json</x:v>
      </x:c>
      <x:c r="B270" s="9" t="str">
        <x:v>model_refit</x:v>
      </x:c>
      <x:c r="C270" s="9" t="str">
        <x:v>boolean</x:v>
      </x:c>
      <x:c r="D270" s="30" t="b">
        <x:v>0</x:v>
      </x:c>
    </x:row>
    <x:row r="271" ht="21" customHeight="1">
      <x:c r="A271" s="14" t="str">
        <x:v>PACKAGING_CHANGES.json</x:v>
      </x:c>
      <x:c r="B271" s="14" t="str">
        <x:v>eligible_sha256</x:v>
      </x:c>
      <x:c r="C271" s="14" t="str">
        <x:v>string</x:v>
      </x:c>
      <x:c r="D271" s="15" t="str">
        <x:v>39ddd83e407bda3800f3cc0b6c220574417ea859fa85b3875ba7475600b6db61</x:v>
      </x:c>
    </x:row>
    <x:row r="272" ht="36" customHeight="1">
      <x:c r="A272" s="9" t="str">
        <x:v>PACKAGING_CHANGES.json</x:v>
      </x:c>
      <x:c r="B272" s="9" t="str">
        <x:v>note</x:v>
      </x:c>
      <x:c r="C272" s="9" t="str">
        <x:v>string</x:v>
      </x:c>
      <x:c r="D272" s="11" t="str">
        <x:v>Original prefit/firstfit local files retained unchanged; same dataset, source bytes, model coefficients, predictions and metrics.</x:v>
      </x:c>
    </x:row>
    <x:row r="273" ht="21" customHeight="1">
      <x:c r="A273" s="14" t="str">
        <x:v>predeclared_recipe.json</x:v>
      </x:c>
      <x:c r="B273" s="14" t="str">
        <x:v>declared_before_model_execution</x:v>
      </x:c>
      <x:c r="C273" s="14" t="str">
        <x:v>boolean</x:v>
      </x:c>
      <x:c r="D273" s="31" t="b">
        <x:v>1</x:v>
      </x:c>
    </x:row>
    <x:row r="274" ht="36" customHeight="1">
      <x:c r="A274" s="9" t="str">
        <x:v>predeclared_recipe.json</x:v>
      </x:c>
      <x:c r="B274" s="9" t="str">
        <x:v>cohort</x:v>
      </x:c>
      <x:c r="C274" s="9" t="str">
        <x:v>string</x:v>
      </x:c>
      <x:c r="D274" s="11" t="str">
        <x:v>CHEMBL3855278 only; exact original source-reported experimental pKi; no predicted labels</x:v>
      </x:c>
    </x:row>
    <x:row r="275" ht="21" customHeight="1">
      <x:c r="A275" s="14" t="str">
        <x:v>predeclared_recipe.json</x:v>
      </x:c>
      <x:c r="B275" s="14" t="str">
        <x:v>descriptors.0</x:v>
      </x:c>
      <x:c r="C275" s="14" t="str">
        <x:v>string</x:v>
      </x:c>
      <x:c r="D275" s="15" t="str">
        <x:v>MolWt</x:v>
      </x:c>
    </x:row>
    <x:row r="276" ht="21" customHeight="1">
      <x:c r="A276" s="9" t="str">
        <x:v>predeclared_recipe.json</x:v>
      </x:c>
      <x:c r="B276" s="9" t="str">
        <x:v>descriptors.1</x:v>
      </x:c>
      <x:c r="C276" s="9" t="str">
        <x:v>string</x:v>
      </x:c>
      <x:c r="D276" s="11" t="str">
        <x:v>MolLogP</x:v>
      </x:c>
    </x:row>
    <x:row r="277" ht="21" customHeight="1">
      <x:c r="A277" s="14" t="str">
        <x:v>predeclared_recipe.json</x:v>
      </x:c>
      <x:c r="B277" s="14" t="str">
        <x:v>descriptors.2</x:v>
      </x:c>
      <x:c r="C277" s="14" t="str">
        <x:v>string</x:v>
      </x:c>
      <x:c r="D277" s="15" t="str">
        <x:v>TPSA</x:v>
      </x:c>
    </x:row>
    <x:row r="278" ht="21" customHeight="1">
      <x:c r="A278" s="9" t="str">
        <x:v>predeclared_recipe.json</x:v>
      </x:c>
      <x:c r="B278" s="9" t="str">
        <x:v>descriptors.3</x:v>
      </x:c>
      <x:c r="C278" s="9" t="str">
        <x:v>string</x:v>
      </x:c>
      <x:c r="D278" s="11" t="str">
        <x:v>NumHDonors</x:v>
      </x:c>
    </x:row>
    <x:row r="279" ht="21" customHeight="1">
      <x:c r="A279" s="14" t="str">
        <x:v>predeclared_recipe.json</x:v>
      </x:c>
      <x:c r="B279" s="14" t="str">
        <x:v>descriptors.4</x:v>
      </x:c>
      <x:c r="C279" s="14" t="str">
        <x:v>string</x:v>
      </x:c>
      <x:c r="D279" s="15" t="str">
        <x:v>NumHAcceptors</x:v>
      </x:c>
    </x:row>
    <x:row r="280" ht="81" customHeight="1">
      <x:c r="A280" s="9" t="str">
        <x:v>predeclared_recipe.json</x:v>
      </x:c>
      <x:c r="B280" s="9" t="str">
        <x:v>split</x:v>
      </x:c>
      <x:c r="C280" s="9" t="str">
        <x:v>string</x:v>
      </x:c>
      <x:c r="D280" s="11" t="str">
        <x:v>Murcko scaffolds (nonchiral) grouped, deterministic hash order seed assay-pilot-v1, target 20% holdout. At least 10 train and 5 test; scaffold holdout preferred. If fewer than 2 usable groups or cannot meet sizes, connectivity-group holdout with explicit congeneric-only limitation. Never select split from outcomes.</x:v>
      </x:c>
    </x:row>
    <x:row r="281" ht="21" customHeight="1">
      <x:c r="A281" s="14" t="str">
        <x:v>predeclared_recipe.json</x:v>
      </x:c>
      <x:c r="B281" s="14" t="str">
        <x:v>models.0</x:v>
      </x:c>
      <x:c r="C281" s="14" t="str">
        <x:v>string</x:v>
      </x:c>
      <x:c r="D281" s="15" t="str">
        <x:v>training mean DummyRegressor</x:v>
      </x:c>
    </x:row>
    <x:row r="282" ht="21" customHeight="1">
      <x:c r="A282" s="9" t="str">
        <x:v>predeclared_recipe.json</x:v>
      </x:c>
      <x:c r="B282" s="9" t="str">
        <x:v>models.1</x:v>
      </x:c>
      <x:c r="C282" s="9" t="str">
        <x:v>string</x:v>
      </x:c>
      <x:c r="D282" s="11" t="str">
        <x:v>StandardScaler fitted on train + Ridge alpha=1.0</x:v>
      </x:c>
    </x:row>
    <x:row r="283" ht="21" customHeight="1">
      <x:c r="A283" s="14" t="str">
        <x:v>predeclared_recipe.json</x:v>
      </x:c>
      <x:c r="B283" s="14" t="str">
        <x:v>metrics.0</x:v>
      </x:c>
      <x:c r="C283" s="14" t="str">
        <x:v>string</x:v>
      </x:c>
      <x:c r="D283" s="15" t="str">
        <x:v>MAE</x:v>
      </x:c>
    </x:row>
    <x:row r="284" ht="21" customHeight="1">
      <x:c r="A284" s="9" t="str">
        <x:v>predeclared_recipe.json</x:v>
      </x:c>
      <x:c r="B284" s="9" t="str">
        <x:v>metrics.1</x:v>
      </x:c>
      <x:c r="C284" s="9" t="str">
        <x:v>string</x:v>
      </x:c>
      <x:c r="D284" s="11" t="str">
        <x:v>RMSE</x:v>
      </x:c>
    </x:row>
    <x:row r="285" ht="21" customHeight="1">
      <x:c r="A285" s="14" t="str">
        <x:v>predeclared_recipe.json</x:v>
      </x:c>
      <x:c r="B285" s="14" t="str">
        <x:v>metrics.2</x:v>
      </x:c>
      <x:c r="C285" s="14" t="str">
        <x:v>string</x:v>
      </x:c>
      <x:c r="D285" s="15" t="str">
        <x:v>R2</x:v>
      </x:c>
    </x:row>
    <x:row r="286" ht="21" customHeight="1">
      <x:c r="A286" s="9" t="str">
        <x:v>predeclared_recipe.json</x:v>
      </x:c>
      <x:c r="B286" s="9" t="str">
        <x:v>tuning</x:v>
      </x:c>
      <x:c r="C286" s="9" t="str">
        <x:v>string</x:v>
      </x:c>
      <x:c r="D286" s="11" t="str">
        <x:v>none; no fit on holdout, no refit on all data</x:v>
      </x:c>
    </x:row>
    <x:row r="287" ht="36" customHeight="1">
      <x:c r="A287" s="14" t="str">
        <x:v>predeclared_recipe.json</x:v>
      </x:c>
      <x:c r="B287" s="14" t="str">
        <x:v>domain</x:v>
      </x:c>
      <x:c r="C287" s="14" t="str">
        <x:v>string</x:v>
      </x:c>
      <x:c r="D287" s="15" t="str">
        <x:v>training descriptor min/max and maximum train Morgan similarity (radius 2, 2048 bits, nonchiral); descriptive only, not calibrated confidence</x:v>
      </x:c>
    </x:row>
    <x:row r="288" ht="51" customHeight="1">
      <x:c r="A288" s="9" t="str">
        <x:v>predeclared_recipe.json</x:v>
      </x:c>
      <x:c r="B288" s="9" t="str">
        <x:v>primary_label</x:v>
      </x:c>
      <x:c r="C288" s="9" t="str">
        <x:v>string</x:v>
      </x:c>
      <x:c r="D288" s="11" t="str">
        <x:v>Exact source-reported experimental pKi from ChEMBL original value; standard Ki nM and roundtrip pKi retained only as conversion checks, not new measurements.</x:v>
      </x:c>
    </x:row>
    <x:row r="289" ht="36" customHeight="1">
      <x:c r="A289" s="14" t="str">
        <x:v>predeclared_recipe.json</x:v>
      </x:c>
      <x:c r="B289" s="14" t="str">
        <x:v>scope</x:v>
      </x:c>
      <x:c r="C289" s="14" t="str">
        <x:v>string</x:v>
      </x:c>
      <x:c r="D289" s="15" t="str">
        <x:v>single-assay exploratory pilot, not external validation, not the old frozen 250-compound model</x:v>
      </x:c>
    </x:row>
    <x:row r="290" ht="36" customHeight="1">
      <x:c r="A290" s="9" t="str">
        <x:v>predeclared_recipe.json</x:v>
      </x:c>
      <x:c r="B290" s="9" t="str">
        <x:v>label_provenance</x:v>
      </x:c>
      <x:c r="C290" s="9" t="str">
        <x:v>string</x:v>
      </x:c>
      <x:c r="D290" s="11" t="str">
        <x:v>Source-reported pKi is experimental; ChEMBL standard Ki nM and recomputed pKi are transformations of that same observation.</x:v>
      </x:c>
    </x:row>
    <x:row r="291" ht="51" customHeight="1">
      <x:c r="A291" s="14" t="str">
        <x:v>predeclared_recipe.json</x:v>
      </x:c>
      <x:c r="B291" s="14" t="str">
        <x:v>duplicate_policy</x:v>
      </x:c>
      <x:c r="C291" s="14" t="str">
        <x:v>string</x:v>
      </x:c>
      <x:c r="D291" s="15" t="str">
        <x:v>Before label inspection, cohort curator excludes every full-isomeric parent identity with multiple source records regardless of values; unresolved replicate mapping is not averaged. All records retained in ledger.</x:v>
      </x:c>
    </x:row>
    <x:row r="292" ht="36" customHeight="1">
      <x:c r="A292" s="9" t="str">
        <x:v>predeclared_recipe.json</x:v>
      </x:c>
      <x:c r="B292" s="9" t="str">
        <x:v>endpoint_decision</x:v>
      </x:c>
      <x:c r="C292" s="9" t="str">
        <x:v>string</x:v>
      </x:c>
      <x:c r="D292" s="11" t="str">
        <x:v>Parent clarified original source pKi preferred before any fit or metric inspection.</x:v>
      </x:c>
    </x:row>
    <x:row r="293" ht="36" customHeight="1">
      <x:c r="A293" s="14" t="str">
        <x:v>predeclared_recipe.json</x:v>
      </x:c>
      <x:c r="B293" s="14" t="str">
        <x:v>structure_policy</x:v>
      </x:c>
      <x:c r="C293" s="14" t="str">
        <x:v>string</x:v>
      </x:c>
      <x:c r="D293" s="15" t="str">
        <x:v>Use cohort-curated parent_smiles, preserving source_canonical_smiles and ledger; no additional model-side neutralization/tautomerization.</x:v>
      </x:c>
    </x:row>
  </x:sheetData>
  <x:pageMargins left="0.7" right="0.7" top="0.75" bottom="0.75" header="0.3" footer="0.3"/>
  <x:tableParts count="1">
    <x:tablePart xmlns:r="http://schemas.openxmlformats.org/officeDocument/2006/relationships" r:id="R7546833b4a4d44e2"/>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4" hidden="0" customWidth="1"/>
    <x:col min="2" max="2" width="20" hidden="0" customWidth="1"/>
    <x:col min="3" max="3" width="66" hidden="0" customWidth="1"/>
    <x:col min="4" max="4" width="66" hidden="0" customWidth="1"/>
    <x:col min="5" max="5" width="24" hidden="0" customWidth="1"/>
  </x:cols>
  <x:sheetData>
    <x:row r="1" ht="48" customHeight="1">
      <x:c r="A1" s="6" t="str">
        <x:v>File</x:v>
      </x:c>
      <x:c r="B1" s="6" t="str">
        <x:v>Bytes</x:v>
      </x:c>
      <x:c r="C1" s="6" t="str">
        <x:v>SHA-256 independently computed</x:v>
      </x:c>
      <x:c r="D1" s="6" t="str">
        <x:v>Recorded prior SHA-256</x:v>
      </x:c>
      <x:c r="E1" s="6" t="str">
        <x:v>Matches prior manifest</x:v>
      </x:c>
    </x:row>
    <x:row r="2" ht="36" customHeight="1">
      <x:c r="A2" s="9" t="str">
        <x:v>DATA_LICENSE.md</x:v>
      </x:c>
      <x:c r="B2" s="13" t="n">
        <x:v>525</x:v>
      </x:c>
      <x:c r="C2" s="9" t="str">
        <x:v>1dfa667fcf6281770ace20fd0e4b44cdb011d39cd84730c4688093005660dcd5</x:v>
      </x:c>
      <x:c r="D2" s="9" t="str"/>
      <x:c r="E2" s="9" t="str">
        <x:v>Not listed</x:v>
      </x:c>
    </x:row>
    <x:row r="3" ht="36" customHeight="1">
      <x:c r="A3" s="14" t="str">
        <x:v>FINAL_MANIFEST.json</x:v>
      </x:c>
      <x:c r="B3" s="17" t="n">
        <x:v>4621</x:v>
      </x:c>
      <x:c r="C3" s="14" t="str">
        <x:v>cfb8b096f3c00c2be092993bbbfd90f1a15d8cbdcda6fb3f910dc508360f2cf9</x:v>
      </x:c>
      <x:c r="D3" s="14" t="str"/>
      <x:c r="E3" s="14" t="str">
        <x:v>Not listed</x:v>
      </x:c>
    </x:row>
    <x:row r="4" ht="36" customHeight="1">
      <x:c r="A4" s="9" t="str">
        <x:v>PACKAGING_CHANGES.json</x:v>
      </x:c>
      <x:c r="B4" s="13" t="n">
        <x:v>1178</x:v>
      </x:c>
      <x:c r="C4" s="9" t="str">
        <x:v>32b929fd15b958708a3ede639689485e811e41a4919063155dfa9bb5a702686b</x:v>
      </x:c>
      <x:c r="D4" s="9" t="str"/>
      <x:c r="E4" s="9" t="str">
        <x:v>Not listed</x:v>
      </x:c>
    </x:row>
    <x:row r="5" ht="36" customHeight="1">
      <x:c r="A5" s="14" t="str">
        <x:v>frozen/all_activity_rows.csv</x:v>
      </x:c>
      <x:c r="B5" s="17" t="n">
        <x:v>70246</x:v>
      </x:c>
      <x:c r="C5" s="14" t="str">
        <x:v>58970bf15d19d29673fc5c45ba631118f507fc8870391796aa7f7617936de678</x:v>
      </x:c>
      <x:c r="D5" s="14" t="str">
        <x:v>58970bf15d19d29673fc5c45ba631118f507fc8870391796aa7f7617936de678</x:v>
      </x:c>
      <x:c r="E5" s="34" t="b">
        <x:v>1</x:v>
      </x:c>
    </x:row>
    <x:row r="6" ht="36" customHeight="1">
      <x:c r="A6" s="9" t="str">
        <x:v>frozen/censoring_and_missing_ledger.csv</x:v>
      </x:c>
      <x:c r="B6" s="13" t="n">
        <x:v>3519</x:v>
      </x:c>
      <x:c r="C6" s="9" t="str">
        <x:v>e657a7504572d215a943b22cc65e48cfe49cee266dfc55f0e36174e9201334d7</x:v>
      </x:c>
      <x:c r="D6" s="9" t="str">
        <x:v>e657a7504572d215a943b22cc65e48cfe49cee266dfc55f0e36174e9201334d7</x:v>
      </x:c>
      <x:c r="E6" s="33" t="b">
        <x:v>1</x:v>
      </x:c>
    </x:row>
    <x:row r="7" ht="36" customHeight="1">
      <x:c r="A7" s="14" t="str">
        <x:v>frozen/cohort_rules.json</x:v>
      </x:c>
      <x:c r="B7" s="17" t="n">
        <x:v>3015</x:v>
      </x:c>
      <x:c r="C7" s="14" t="str">
        <x:v>487c5f9a8f41f01cb953a3c39b8b6bd7cc4db0d61e299e7788d2e6c847224253</x:v>
      </x:c>
      <x:c r="D7" s="14" t="str">
        <x:v>487c5f9a8f41f01cb953a3c39b8b6bd7cc4db0d61e299e7788d2e6c847224253</x:v>
      </x:c>
      <x:c r="E7" s="34" t="b">
        <x:v>1</x:v>
      </x:c>
    </x:row>
    <x:row r="8" ht="36" customHeight="1">
      <x:c r="A8" s="9" t="str">
        <x:v>frozen/cohort_summary.json</x:v>
      </x:c>
      <x:c r="B8" s="13" t="n">
        <x:v>2247</x:v>
      </x:c>
      <x:c r="C8" s="9" t="str">
        <x:v>e7595c93fb723fd2a015769ec192fa6ef949a3880043e835070290c9ea0f59fd</x:v>
      </x:c>
      <x:c r="D8" s="9" t="str">
        <x:v>e7595c93fb723fd2a015769ec192fa6ef949a3880043e835070290c9ea0f59fd</x:v>
      </x:c>
      <x:c r="E8" s="33" t="b">
        <x:v>1</x:v>
      </x:c>
    </x:row>
    <x:row r="9" ht="36" customHeight="1">
      <x:c r="A9" s="14" t="str">
        <x:v>frozen/curate_assay.py</x:v>
      </x:c>
      <x:c r="B9" s="17" t="n">
        <x:v>9868</x:v>
      </x:c>
      <x:c r="C9" s="14" t="str">
        <x:v>494ddb0e0d2b5c7bd48c71e4ca8476d1ef232c93b13027e07cc139a6e14599a5</x:v>
      </x:c>
      <x:c r="D9" s="14" t="str">
        <x:v>494ddb0e0d2b5c7bd48c71e4ca8476d1ef232c93b13027e07cc139a6e14599a5</x:v>
      </x:c>
      <x:c r="E9" s="34" t="b">
        <x:v>1</x:v>
      </x:c>
    </x:row>
    <x:row r="10" ht="36" customHeight="1">
      <x:c r="A10" s="9" t="str">
        <x:v>frozen/decision_ledger.csv</x:v>
      </x:c>
      <x:c r="B10" s="13" t="n">
        <x:v>121530</x:v>
      </x:c>
      <x:c r="C10" s="9" t="str">
        <x:v>e3692dcff32de631790a0f56afbd7967caf68e09c6b10440055d9640ccfc44a0</x:v>
      </x:c>
      <x:c r="D10" s="9" t="str">
        <x:v>e3692dcff32de631790a0f56afbd7967caf68e09c6b10440055d9640ccfc44a0</x:v>
      </x:c>
      <x:c r="E10" s="33" t="b">
        <x:v>1</x:v>
      </x:c>
    </x:row>
    <x:row r="11" ht="36" customHeight="1">
      <x:c r="A11" s="14" t="str">
        <x:v>frozen/duplicate_ledger.csv</x:v>
      </x:c>
      <x:c r="B11" s="17" t="n">
        <x:v>30991</x:v>
      </x:c>
      <x:c r="C11" s="14" t="str">
        <x:v>c7caab9caa65f4b74dc836cc8838627ea99c35168c56c29298a5788a3b179cdd</x:v>
      </x:c>
      <x:c r="D11" s="14" t="str">
        <x:v>c7caab9caa65f4b74dc836cc8838627ea99c35168c56c29298a5788a3b179cdd</x:v>
      </x:c>
      <x:c r="E11" s="34" t="b">
        <x:v>1</x:v>
      </x:c>
    </x:row>
    <x:row r="12" ht="36" customHeight="1">
      <x:c r="A12" s="9" t="str">
        <x:v>frozen/eligible_compounds.csv</x:v>
      </x:c>
      <x:c r="B12" s="13" t="n">
        <x:v>65950</x:v>
      </x:c>
      <x:c r="C12" s="9" t="str">
        <x:v>39ddd83e407bda3800f3cc0b6c220574417ea859fa85b3875ba7475600b6db61</x:v>
      </x:c>
      <x:c r="D12" s="9" t="str">
        <x:v>39ddd83e407bda3800f3cc0b6c220574417ea859fa85b3875ba7475600b6db61</x:v>
      </x:c>
      <x:c r="E12" s="33" t="b">
        <x:v>1</x:v>
      </x:c>
    </x:row>
    <x:row r="13" ht="36" customHeight="1">
      <x:c r="A13" s="14" t="str">
        <x:v>frozen/exclusion_ledger.csv</x:v>
      </x:c>
      <x:c r="B13" s="17" t="n">
        <x:v>32146</x:v>
      </x:c>
      <x:c r="C13" s="14" t="str">
        <x:v>0c1d715ee5dccecb2073641520deebc92210fc417d6f732c1ad0a41a38350501</x:v>
      </x:c>
      <x:c r="D13" s="14" t="str">
        <x:v>0c1d715ee5dccecb2073641520deebc92210fc417d6f732c1ad0a41a38350501</x:v>
      </x:c>
      <x:c r="E13" s="34" t="b">
        <x:v>1</x:v>
      </x:c>
    </x:row>
    <x:row r="14" ht="36" customHeight="1">
      <x:c r="A14" s="9" t="str">
        <x:v>frozen/fetch_assay.py</x:v>
      </x:c>
      <x:c r="B14" s="13" t="n">
        <x:v>2793</x:v>
      </x:c>
      <x:c r="C14" s="9" t="str">
        <x:v>5e4ed69917be50e5abc55b48a756d1c95336135e24eb1f560f7d67284277c8c7</x:v>
      </x:c>
      <x:c r="D14" s="9" t="str">
        <x:v>5e4ed69917be50e5abc55b48a756d1c95336135e24eb1f560f7d67284277c8c7</x:v>
      </x:c>
      <x:c r="E14" s="33" t="b">
        <x:v>1</x:v>
      </x:c>
    </x:row>
    <x:row r="15" ht="36" customHeight="1">
      <x:c r="A15" s="14" t="str">
        <x:v>frozen/raw/activities_page_000.json</x:v>
      </x:c>
      <x:c r="B15" s="17" t="n">
        <x:v>168840</x:v>
      </x:c>
      <x:c r="C15" s="14" t="str">
        <x:v>1c1d0bc534a15752059afd2009f3547265906794202a2fbe31e251ded31ad884</x:v>
      </x:c>
      <x:c r="D15" s="14" t="str">
        <x:v>1c1d0bc534a15752059afd2009f3547265906794202a2fbe31e251ded31ad884</x:v>
      </x:c>
      <x:c r="E15" s="34" t="b">
        <x:v>1</x:v>
      </x:c>
    </x:row>
    <x:row r="16" ht="36" customHeight="1">
      <x:c r="A16" s="9" t="str">
        <x:v>frozen/raw/assay.json</x:v>
      </x:c>
      <x:c r="B16" s="13" t="n">
        <x:v>1019</x:v>
      </x:c>
      <x:c r="C16" s="9" t="str">
        <x:v>fe4db420ef4b2316de0f2e58cd34f51a836023aad88a833b9bd1e75175369856</x:v>
      </x:c>
      <x:c r="D16" s="9" t="str">
        <x:v>fe4db420ef4b2316de0f2e58cd34f51a836023aad88a833b9bd1e75175369856</x:v>
      </x:c>
      <x:c r="E16" s="33" t="b">
        <x:v>1</x:v>
      </x:c>
    </x:row>
    <x:row r="17" ht="36" customHeight="1">
      <x:c r="A17" s="14" t="str">
        <x:v>frozen/raw/document.json</x:v>
      </x:c>
      <x:c r="B17" s="17" t="n">
        <x:v>1433</x:v>
      </x:c>
      <x:c r="C17" s="14" t="str">
        <x:v>2f73fd0f820092da42fd6522012ed162adcd9f412304d7781afa7c39f731e572</x:v>
      </x:c>
      <x:c r="D17" s="14" t="str">
        <x:v>2f73fd0f820092da42fd6522012ed162adcd9f412304d7781afa7c39f731e572</x:v>
      </x:c>
      <x:c r="E17" s="34" t="b">
        <x:v>1</x:v>
      </x:c>
    </x:row>
    <x:row r="18" ht="36" customHeight="1">
      <x:c r="A18" s="9" t="str">
        <x:v>frozen/raw/target.json</x:v>
      </x:c>
      <x:c r="B18" s="13" t="n">
        <x:v>16803</x:v>
      </x:c>
      <x:c r="C18" s="9" t="str">
        <x:v>a776f57c123398b048370f76c58dbab794dd60c74748c3a54bf78942d04033c7</x:v>
      </x:c>
      <x:c r="D18" s="9" t="str">
        <x:v>a776f57c123398b048370f76c58dbab794dd60c74748c3a54bf78942d04033c7</x:v>
      </x:c>
      <x:c r="E18" s="33" t="b">
        <x:v>1</x:v>
      </x:c>
    </x:row>
    <x:row r="19" ht="36" customHeight="1">
      <x:c r="A19" s="14" t="str">
        <x:v>frozen/source_manifest.json</x:v>
      </x:c>
      <x:c r="B19" s="17" t="n">
        <x:v>1996</x:v>
      </x:c>
      <x:c r="C19" s="14" t="str">
        <x:v>6ea36af76e928c1198802f2e867c1a2a1eb8629f8b8e197a36b984fd06439e95</x:v>
      </x:c>
      <x:c r="D19" s="14" t="str">
        <x:v>6ea36af76e928c1198802f2e867c1a2a1eb8629f8b8e197a36b984fd06439e95</x:v>
      </x:c>
      <x:c r="E19" s="34" t="b">
        <x:v>1</x:v>
      </x:c>
    </x:row>
    <x:row r="20" ht="36" customHeight="1">
      <x:c r="A20" s="9" t="str">
        <x:v>input_hashes.json</x:v>
      </x:c>
      <x:c r="B20" s="13" t="n">
        <x:v>1689</x:v>
      </x:c>
      <x:c r="C20" s="9" t="str">
        <x:v>9f20e8f09cd0c126913ab7f6e92d9e48d1062e811c1209dd8f53866f80ac26df</x:v>
      </x:c>
      <x:c r="D20" s="9" t="str"/>
      <x:c r="E20" s="9" t="str">
        <x:v>Not listed</x:v>
      </x:c>
    </x:row>
    <x:row r="21" ht="36" customHeight="1">
      <x:c r="A21" s="14" t="str">
        <x:v>pilot.py</x:v>
      </x:c>
      <x:c r="B21" s="17" t="n">
        <x:v>10334</x:v>
      </x:c>
      <x:c r="C21" s="14" t="str">
        <x:v>14dc625b61b1058dc44f4138944ddc2d8d46ff66f3e2604fe8afd3820e23ba99</x:v>
      </x:c>
      <x:c r="D21" s="14" t="str">
        <x:v>14dc625b61b1058dc44f4138944ddc2d8d46ff66f3e2604fe8afd3820e23ba99</x:v>
      </x:c>
      <x:c r="E21" s="34" t="b">
        <x:v>1</x:v>
      </x:c>
    </x:row>
    <x:row r="22" ht="36" customHeight="1">
      <x:c r="A22" s="9" t="str">
        <x:v>predeclared_recipe.json</x:v>
      </x:c>
      <x:c r="B22" s="13" t="n">
        <x:v>1912</x:v>
      </x:c>
      <x:c r="C22" s="9" t="str">
        <x:v>78fbca589bb204605e81438ae5660bd764077b4b4e5475f9c9958e76d3054b3f</x:v>
      </x:c>
      <x:c r="D22" s="9" t="str">
        <x:v>78fbca589bb204605e81438ae5660bd764077b4b4e5475f9c9958e76d3054b3f</x:v>
      </x:c>
      <x:c r="E22" s="33" t="b">
        <x:v>1</x:v>
      </x:c>
    </x:row>
    <x:row r="23" ht="36" customHeight="1">
      <x:c r="A23" s="14" t="str">
        <x:v>provenance-supplement/CHECK_HISTORY.md</x:v>
      </x:c>
      <x:c r="B23" s="17" t="n">
        <x:v>985</x:v>
      </x:c>
      <x:c r="C23" s="14" t="str">
        <x:v>9b7ac8d1fba8eb4c08442dcc968c359d15de6d5295187a63dc2f9fc77a0ce56c</x:v>
      </x:c>
      <x:c r="D23" s="14" t="str"/>
      <x:c r="E23" s="14" t="str">
        <x:v>Not listed</x:v>
      </x:c>
    </x:row>
    <x:row r="24" ht="36" customHeight="1">
      <x:c r="A24" s="9" t="str">
        <x:v>provenance-supplement/comparator_identity_check.json</x:v>
      </x:c>
      <x:c r="B24" s="13" t="n">
        <x:v>967</x:v>
      </x:c>
      <x:c r="C24" s="9" t="str">
        <x:v>8d057b9dc3517817f15a8d95251d962bfe579547a0400dac7279d0accc6e9fc6</x:v>
      </x:c>
      <x:c r="D24" s="9" t="str"/>
      <x:c r="E24" s="9" t="str">
        <x:v>Not listed</x:v>
      </x:c>
    </x:row>
    <x:row r="25" ht="36" customHeight="1">
      <x:c r="A25" s="14" t="str">
        <x:v>results/model_dataset.csv</x:v>
      </x:c>
      <x:c r="B25" s="17" t="n">
        <x:v>78495</x:v>
      </x:c>
      <x:c r="C25" s="14" t="str">
        <x:v>b82d468ee9cbfd7ae5621e459e8408f597c8430198f5fdbd9be1f9e09cce32d3</x:v>
      </x:c>
      <x:c r="D25" s="14" t="str"/>
      <x:c r="E25" s="14" t="str">
        <x:v>Not listed</x:v>
      </x:c>
    </x:row>
    <x:row r="26" ht="36" customHeight="1">
      <x:c r="A26" s="9" t="str">
        <x:v>results/model_parameters.json</x:v>
      </x:c>
      <x:c r="B26" s="13" t="n">
        <x:v>615</x:v>
      </x:c>
      <x:c r="C26" s="9" t="str">
        <x:v>298c4d7e5a9d036ffd811476be7ce47f34ca61697d3483c56ce66b01c9079289</x:v>
      </x:c>
      <x:c r="D26" s="9" t="str"/>
      <x:c r="E26" s="9" t="str">
        <x:v>Not listed</x:v>
      </x:c>
    </x:row>
    <x:row r="27" ht="36" customHeight="1">
      <x:c r="A27" s="14" t="str">
        <x:v>results/predictions.csv</x:v>
      </x:c>
      <x:c r="B27" s="17" t="n">
        <x:v>87392</x:v>
      </x:c>
      <x:c r="C27" s="14" t="str">
        <x:v>18668f5a5999794f9253b2db33dfcddc32492ee36d28c1bb62359eda5da5559a</x:v>
      </x:c>
      <x:c r="D27" s="14" t="str"/>
      <x:c r="E27" s="14" t="str">
        <x:v>Not listed</x:v>
      </x:c>
    </x:row>
    <x:row r="28" ht="36" customHeight="1">
      <x:c r="A28" s="9" t="str">
        <x:v>results/report.json</x:v>
      </x:c>
      <x:c r="B28" s="13" t="n">
        <x:v>1520</x:v>
      </x:c>
      <x:c r="C28" s="9" t="str">
        <x:v>bbe475f1dae24b8106ea3582cb4bc8723c731bed521c1720bc208810561a5eff</x:v>
      </x:c>
      <x:c r="D28" s="9" t="str"/>
      <x:c r="E28" s="9" t="str">
        <x:v>Not listed</x:v>
      </x:c>
    </x:row>
    <x:row r="29" ht="36" customHeight="1">
      <x:c r="A29" s="14" t="str">
        <x:v>results/split_manifest.csv</x:v>
      </x:c>
      <x:c r="B29" s="17" t="n">
        <x:v>10046</x:v>
      </x:c>
      <x:c r="C29" s="14" t="str">
        <x:v>c22f5a6425202543714b8bb2071ee295dbdf54800cbbe1abc680519ef05b68ad</x:v>
      </x:c>
      <x:c r="D29" s="14" t="str"/>
      <x:c r="E29" s="14" t="str">
        <x:v>Not listed</x:v>
      </x:c>
    </x:row>
  </x:sheetData>
  <x:pageMargins left="0.7" right="0.7" top="0.75" bottom="0.75" header="0.3" footer="0.3"/>
  <x:tableParts count="1">
    <x:tablePart xmlns:r="http://schemas.openxmlformats.org/officeDocument/2006/relationships" r:id="Rb9ef502c9b1f4519"/>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3" hidden="0" customWidth="1"/>
    <x:col min="2" max="2" width="12" hidden="0" customWidth="1"/>
    <x:col min="3" max="3" width="15" hidden="0" customWidth="1"/>
    <x:col min="4" max="4" width="145" hidden="0" customWidth="1"/>
  </x:cols>
  <x:sheetData>
    <x:row r="1" ht="48" customHeight="1">
      <x:c r="A1" s="6" t="str">
        <x:v>Source file</x:v>
      </x:c>
      <x:c r="B1" s="6" t="str">
        <x:v>Part index</x:v>
      </x:c>
      <x:c r="C1" s="6" t="str">
        <x:v>Total parts</x:v>
      </x:c>
      <x:c r="D1" s="6" t="str">
        <x:v>Exact UTF-8 text chunk</x:v>
      </x:c>
    </x:row>
    <x:row r="2" ht="201" customHeight="1">
      <x:c r="A2" s="9" t="str">
        <x:v>results/report.json</x:v>
      </x:c>
      <x:c r="B2" s="13" t="n">
        <x:v>1</x:v>
      </x:c>
      <x:c r="C2" s="13" t="n">
        <x:v>7</x:v>
      </x:c>
      <x:c r="D2" s="9" t="str">
        <x:v>{
  "cohort_n": 80,
  "train_n": 57,
  "test_n": 23,
  "split": {
    "method": "scaffold_and_parent_grouped",
    "groups": 32,
    "group_sizes": [
      18,
      14,
      7,
      2,
</x:v>
      </x:c>
    </x:row>
    <x:row r="3" ht="201" customHeight="1">
      <x:c r="A3" s="14" t="str">
        <x:v>results/report.json</x:v>
      </x:c>
      <x:c r="B3" s="17" t="n">
        <x:v>2</x:v>
      </x:c>
      <x:c r="C3" s="17" t="n">
        <x:v>7</x:v>
      </x:c>
      <x:c r="D3" s="14" t="str">
        <x:v>      2,
      2,
      2,
      2,
      2,
      2,
      2,
      2,
      2,
      2,
      2,
      1,
</x:v>
      </x:c>
    </x:row>
    <x:row r="4" ht="201" customHeight="1">
      <x:c r="A4" s="9" t="str">
        <x:v>results/report.json</x:v>
      </x:c>
      <x:c r="B4" s="13" t="n">
        <x:v>3</x:v>
      </x:c>
      <x:c r="C4" s="13" t="n">
        <x:v>7</x:v>
      </x:c>
      <x:c r="D4" s="9" t="str">
        <x:v>      1,
      1,
      1,
      1,
      1,
      1,
      1,
      1,
      1,
      1,
      1,
      1,
</x:v>
      </x:c>
    </x:row>
    <x:row r="5" ht="201" customHeight="1">
      <x:c r="A5" s="14" t="str">
        <x:v>results/report.json</x:v>
      </x:c>
      <x:c r="B5" s="17" t="n">
        <x:v>4</x:v>
      </x:c>
      <x:c r="C5" s="17" t="n">
        <x:v>7</x:v>
      </x:c>
      <x:c r="D5" s="14" t="str">
        <x:v>      1,
      1,
      1,
      1
    ],
    "target_test_count": 16,
    "achieved_test_fraction": 0.2875,
    "seed": "assay-pilot-v1"
  },
  "holdout_metrics": {
    "training_mean": {
      "test_n": 23,
</x:v>
      </x:c>
    </x:row>
    <x:row r="6" ht="201" customHeight="1">
      <x:c r="A6" s="9" t="str">
        <x:v>results/report.json</x:v>
      </x:c>
      <x:c r="B6" s="13" t="n">
        <x:v>5</x:v>
      </x:c>
      <x:c r="C6" s="13" t="n">
        <x:v>7</x:v>
      </x:c>
      <x:c r="D6" s="9" t="str">
        <x:v>      "MAE": 0.37567505720823824,
      "RMSE": 0.49685998251590124,
      "R2": -0.07680935610672401
    },
    "ridge_alpha_1": {
      "test_n": 23,
      "MAE": 0.3698930238683352,
      "RMSE": 0.49120500680238127,
      "R2": -0.05243758807300014
    }
  },
  "versions": {
</x:v>
      </x:c>
    </x:row>
    <x:row r="7" ht="171" customHeight="1">
      <x:c r="A7" s="14" t="str">
        <x:v>results/report.json</x:v>
      </x:c>
      <x:c r="B7" s="17" t="n">
        <x:v>6</x:v>
      </x:c>
      <x:c r="C7" s="17" t="n">
        <x:v>7</x:v>
      </x:c>
      <x:c r="D7" s="14" t="str">
        <x:v>    "numpy": "2.5.4",
    "pandas": "3.1.0",
    "rdkit": "2026.9.1",
    "useful_rdkit_utils": "2.0.1",
    "scikit-learn": "1.9.1"
  },
  "python": "3.12.14",
  "limitations": [
    "Single assay/document; no external validation.",
    "Very small holdout: metrics are uncertain; no model selection or tuning was performed.",
    "Scaffold grouping does not guarantee unrelated chemistry; nearest t</x:v>
      </x:c>
    </x:row>
    <x:row r="8" ht="81" customHeight="1">
      <x:c r="A8" s="9" t="str">
        <x:v>results/report.json</x:v>
      </x:c>
      <x:c r="B8" s="13" t="n">
        <x:v>7</x:v>
      </x:c>
      <x:c r="C8" s="13" t="n">
        <x:v>7</x:v>
      </x:c>
      <x:c r="D8" s="9" t="str">
        <x:v>raining similarity is descriptive.",
    "Descriptors and predictions are calculated; only source Ki/pKi observations are experimental evidence.",
    "No claim of improvement over the separate frozen 250-compound model."
  ]
}</x:v>
      </x:c>
    </x:row>
    <x:row r="9" ht="201" customHeight="1">
      <x:c r="A9" s="14" t="str">
        <x:v>results/model_parameters.json</x:v>
      </x:c>
      <x:c r="B9" s="17" t="n">
        <x:v>1</x:v>
      </x:c>
      <x:c r="C9" s="17" t="n">
        <x:v>3</x:v>
      </x:c>
      <x:c r="D9" s="14" t="str">
        <x:v>{
  "features": [
    "MolWt",
    "MolLogP",
    "TPSA",
    "NumHDonors",
    "NumHAcceptors"
  ],
  "scaler_mean": [
    488.55110526315804,
    5.068951929824566,
    57.57157894736843,
</x:v>
      </x:c>
    </x:row>
    <x:row r="10" ht="201" customHeight="1">
      <x:c r="A10" s="9" t="str">
        <x:v>results/model_parameters.json</x:v>
      </x:c>
      <x:c r="B10" s="13" t="n">
        <x:v>2</x:v>
      </x:c>
      <x:c r="C10" s="13" t="n">
        <x:v>3</x:v>
      </x:c>
      <x:c r="D10" s="9" t="str">
        <x:v>    0.19298245614035087,
    5.43859649122807
  ],
  "scaler_scale": [
    27.77313057595275,
    0.5393282288162109,
    13.005812167585079,
    0.39463936418252626,
    0.6217559700585741
  ],
  "ridge_coef": [
    -0.040538153531254124,
</x:v>
      </x:c>
    </x:row>
    <x:row r="11" ht="126" customHeight="1">
      <x:c r="A11" s="14" t="str">
        <x:v>results/model_parameters.json</x:v>
      </x:c>
      <x:c r="B11" s="17" t="n">
        <x:v>3</x:v>
      </x:c>
      <x:c r="C11" s="17" t="n">
        <x:v>3</x:v>
      </x:c>
      <x:c r="D11" s="14" t="str">
        <x:v>    0.0781945631359612,
    -0.00041988311765514037,
    0.09901758723822247,
    0.06096674212986461
  ],
  "ridge_intercept": 6.149473684210526,
  "baseline_mean": 6.149473684210526
}</x:v>
      </x:c>
    </x:row>
    <x:row r="12" ht="126" customHeight="1">
      <x:c r="A12" s="9" t="str">
        <x:v>frozen/cohort_rules.json</x:v>
      </x:c>
      <x:c r="B12" s="13" t="n">
        <x:v>1</x:v>
      </x:c>
      <x:c r="C12" s="13" t="n">
        <x:v>8</x:v>
      </x:c>
      <x:c r="D12" s="9" t="str">
        <x:v>{
  "declared_utc": "2026-10-23T03:31:07.592947+00:00",
  "purpose": "Provisional local-domain single-assay experimental binding pKi pilot, not regulatory validation.",
  "assay": "CHEMBL3855278",
  "target": "CHEMBL217",
  "document": "CHEMBL3853329",
  "population": "All officially returned activity records, not old pilot intersection.",
  "source_response": "Prefer original source pKi exactly; </x:v>
      </x:c>
    </x:row>
    <x:row r="13" ht="96" customHeight="1">
      <x:c r="A13" s="14" t="str">
        <x:v>frozen/cohort_rules.json</x:v>
      </x:c>
      <x:c r="B13" s="17" t="n">
        <x:v>2</x:v>
      </x:c>
      <x:c r="C13" s="17" t="n">
        <x:v>8</x:v>
      </x:c>
      <x:c r="D13" s="14" t="str">
        <x:v>source Ki only when explicit convertible molar unit. Do not round-trip standardized nM to replace original pKi.",
  "row_rules": [
    "Exact assay/target/document; human; binding B; official single protein P14416 with confidence9/direct target mapping.",
    "Original and standardized relations must both equal =. Missing/nonexact/censored values retained as exclusions, not imputed.",
    "Origina</x:v>
      </x:c>
    </x:row>
    <x:row r="14" ht="66" customHeight="1">
      <x:c r="A14" s="9" t="str">
        <x:v>frozen/cohort_rules.json</x:v>
      </x:c>
      <x:c r="B14" s="13" t="n">
        <x:v>3</x:v>
      </x:c>
      <x:c r="C14" s="13" t="n">
        <x:v>8</x:v>
      </x:c>
      <x:c r="D14" s="9" t="str">
        <x:v>l endpoint pKi with null/dimensionless unit or Ki with explicit M/mM/uM/nM/pM; finite numeric value. Standardized endpoint Ki, nM, finite positive value.",
    "No activity comment, data-validity comment or potential_duplicate flag; otherwise retain for review outside pilot.",
    "Standardized Ki must agree with original scale transformation to max(0.00501 nM, 1e-6 relative) tolerance; source-ori</x:v>
      </x:c>
    </x:row>
    <x:row r="15" ht="81" customHeight="1">
      <x:c r="A15" s="14" t="str">
        <x:v>frozen/cohort_rules.json</x:v>
      </x:c>
      <x:c r="B15" s="17" t="n">
        <x:v>4</x:v>
      </x:c>
      <x:c r="C15" s="17" t="n">
        <x:v>8</x:v>
      </x:c>
      <x:c r="D15" s="14" t="str">
        <x:v>ginal value retained as label.",
    "RDKit-parseable source SMILES; parent cleanup/fragment parent/uncharging only; preserve stereochemistry, no tautomer enumeration.",
    "Exclude every full-isomeric standardized parent identity with more than one activity record in this full assay snapshot, regardless of numeric agreement/range. No median, selective replicate choice or response-dependent disag</x:v>
      </x:c>
    </x:row>
    <x:row r="16" ht="156" customHeight="1">
      <x:c r="A16" s="9" t="str">
        <x:v>frozen/cohort_rules.json</x:v>
      </x:c>
      <x:c r="B16" s="13" t="n">
        <x:v>5</x:v>
      </x:c>
      <x:c r="C16" s="13" t="n">
        <x:v>8</x:v>
      </x:c>
      <x:c r="D16" s="9" t="str">
        <x:v>reement cutoff."
  ],
  "duplicate_rationale": "Paired source-record provenance is unresolved; table statistics are not proof that ChEMBL rows are independent raw replicates. One-record-per-full-identity conservative pilot avoids unsupported averaging.",
  "identity_policy": {
    "rdkit_cleanup": true,
    "fragment_parent": true,
    "uncharger": true,
    "tautomer_canonicalization": false,
   </x:v>
      </x:c>
    </x:row>
    <x:row r="17" ht="81" customHeight="1">
      <x:c r="A17" s="14" t="str">
        <x:v>frozen/cohort_rules.json</x:v>
      </x:c>
      <x:c r="B17" s="17" t="n">
        <x:v>6</x:v>
      </x:c>
      <x:c r="C17" s="17" t="n">
        <x:v>8</x:v>
      </x:c>
      <x:c r="D17" s="14" t="str">
        <x:v> "isomeric_identity": "canonical isomeric standardized parent SMILES + full InChIKey",
    "split_connectivity_key": "canonical nonisomeric standardized parent SMILES, with hash"
  },
  "split_plan": "Builder predeclared recipe at predeclared_recipe.json: deterministic SHA256 group order seed assay-pilot-v1; scaffold/parent/connectivity grouping; approximately20%holdout; fallback connectivity grou</x:v>
      </x:c>
    </x:row>
    <x:row r="18" ht="81" customHeight="1">
      <x:c r="A18" s="9" t="str">
        <x:v>frozen/cohort_rules.json</x:v>
      </x:c>
      <x:c r="B18" s="13" t="n">
        <x:v>7</x:v>
      </x:c>
      <x:c r="C18" s="13" t="n">
        <x:v>8</x:v>
      </x:c>
      <x:c r="D18" s="9" t="str">
        <x:v>ping only if structural feasibility demands; minimum10train/5test. No response used to choose split.",
  "acknowledged_limits": [
    "Primary source binding Ki derivation/Kd not rederived; missing method details do not convert source-reported experimental pKi into predicted labels.",
    "Preprint evidence supports binding vs functional endpoint distinction but final publication table mapping inc</x:v>
      </x:c>
    </x:row>
    <x:row r="19" ht="96" customHeight="1">
      <x:c r="A19" s="14" t="str">
        <x:v>frozen/cohort_rules.json</x:v>
      </x:c>
      <x:c r="B19" s="17" t="n">
        <x:v>8</x:v>
      </x:c>
      <x:c r="C19" s="17" t="n">
        <x:v>8</x:v>
      </x:c>
      <x:c r="D19" s="14" t="str">
        <x:v>omplete.",
    "Source selection based on coherence/access/sample feasibility before model performance, not outcome search.",
    "Conservative exclusions can bias representativeness; report loss explicitly."
  ]
}
</x:v>
      </x:c>
    </x:row>
    <x:row r="20" ht="201" customHeight="1">
      <x:c r="A20" s="9" t="str">
        <x:v>frozen/cohort_summary.json</x:v>
      </x:c>
      <x:c r="B20" s="13" t="n">
        <x:v>1</x:v>
      </x:c>
      <x:c r="C20" s="13" t="n">
        <x:v>6</x:v>
      </x:c>
      <x:c r="D20" s="9" t="str">
        <x:v>{
  "created_utc": "2026-10-23T03:33:31.665722+00:00",
  "api_total": 107,
  "api_complete": true,
  "unique_source_molecule_ids": 94,
  "exact_measured_rows_before_identity_exclusion": 105,
  "included_compounds": 80,
  "excluded_rows": 27,
  "duplicate_full_identities": 13,
  "duplicate_rows_excluded": 26,
  "missing_or_nonexact_rows": 2,
  "censored_nonexact_nonmissing_rows": 0,
</x:v>
      </x:c>
    </x:row>
    <x:row r="21" ht="156" customHeight="1">
      <x:c r="A21" s="14" t="str">
        <x:v>frozen/cohort_summary.json</x:v>
      </x:c>
      <x:c r="B21" s="17" t="n">
        <x:v>2</x:v>
      </x:c>
      <x:c r="C21" s="17" t="n">
        <x:v>6</x:v>
      </x:c>
      <x:c r="D21" s="14" t="str">
        <x:v>  "exclusion_reason_counts": {
    "multiple_source_records_for_full_parent_identity": 26,
    "nonexact_or_missing_original_relation": 2,
    "nonexact_or_missing_standard_relation": 2,
    "standard_endpoint_or_unit_not_Ki_nM": 2,
    "activity_comment_requires_review": 2,
    "missing_or_nonfinite_original_value": 2,
    "missing_or_nonpositive_standard_value": 2
  },
  "eligible_label_origins"</x:v>
      </x:c>
    </x:row>
    <x:row r="22" ht="171" customHeight="1">
      <x:c r="A22" s="9" t="str">
        <x:v>frozen/cohort_summary.json</x:v>
      </x:c>
      <x:c r="B22" s="13" t="n">
        <x:v>3</x:v>
      </x:c>
      <x:c r="C22" s="13" t="n">
        <x:v>6</x:v>
      </x:c>
      <x:c r="D22" s="9" t="str">
        <x:v>: {
    "source_reported_pKi": 80
  },
  "structure_changes": 0,
  "eligible_connectivity_groups": 60,
  "eligible_scaffolds": 32,
  "rdkit_version": "2026.09.1",
  "python_version": "3.12.14",
  "rules_sha256": "487c5f9a8f41f01cb953a3c39b8b6bd7cc4db0d61e299e7788d2e6c847224253",
  "source_manifest_sha256": "6ea36af76e928c1198802f2e867c1a2a1eb8629f8b8e197a36b984fd06439e95",
  "curation_script_sha25</x:v>
      </x:c>
    </x:row>
    <x:row r="23" ht="96" customHeight="1">
      <x:c r="A23" s="14" t="str">
        <x:v>frozen/cohort_summary.json</x:v>
      </x:c>
      <x:c r="B23" s="17" t="n">
        <x:v>4</x:v>
      </x:c>
      <x:c r="C23" s="17" t="n">
        <x:v>6</x:v>
      </x:c>
      <x:c r="D23" s="14" t="str">
        <x:v>6": "494ddb0e0d2b5c7bd48c71e4ca8476d1ef232c93b13027e07cc139a6e14599a5",
  "eligible_sha256": "39ddd83e407bda3800f3cc0b6c220574417ea859fa85b3875ba7475600b6db61",
  "raw_snapshot_sha256": {
    "raw/assay.json": "fe4db420ef4b2316de0f2e58cd34f51a836023aad88a833b9bd1e75175369856",
    "raw/target.json": "a776f57c123398b048370f76c58dbab794dd60c74748c3a54bf78942d04033c7",
    "raw/document.json": "2f73f</x:v>
      </x:c>
    </x:row>
    <x:row r="24" ht="96" customHeight="1">
      <x:c r="A24" s="9" t="str">
        <x:v>frozen/cohort_summary.json</x:v>
      </x:c>
      <x:c r="B24" s="13" t="n">
        <x:v>5</x:v>
      </x:c>
      <x:c r="C24" s="13" t="n">
        <x:v>6</x:v>
      </x:c>
      <x:c r="D24" s="9" t="str">
        <x:v>d0f820092da42fd6522012ed162adcd9f412304d7781afa7c39f731e572",
    "raw/activities_page_000.json": "1c1d0bc534a15752059afd2009f3547265906794202a2fbe31e251ded31ad884"
  },
  "modeling_response": "pKi: source-original reported pKi; standardized nM and reverse-log pKi are cross-checks only.",
  "remaining_limits": [
    "Source table-to-record repeat mapping unresolved; all multi-record identities exc</x:v>
      </x:c>
    </x:row>
    <x:row r="25" ht="111" customHeight="1">
      <x:c r="A25" s="14" t="str">
        <x:v>frozen/cohort_summary.json</x:v>
      </x:c>
      <x:c r="B25" s="17" t="n">
        <x:v>6</x:v>
      </x:c>
      <x:c r="C25" s="17" t="n">
        <x:v>6</x:v>
      </x:c>
      <x:c r="D25" s="14" t="str">
        <x:v>luded conservatively.",
    "Binding Ki derivation/Kd/buffer/isoform not fully independently reconstructed.",
    "Not a regulatory-valid or independent-laboratory validated dataset.",
    "No labels/outcomes used to choose duplicate exclusions or split."
  ]
}
</x:v>
      </x:c>
    </x:row>
    <x:row r="26" ht="141" customHeight="1">
      <x:c r="A26" s="9" t="str">
        <x:v>frozen/source_manifest.json</x:v>
      </x:c>
      <x:c r="B26" s="13" t="n">
        <x:v>1</x:v>
      </x:c>
      <x:c r="C26" s="13" t="n">
        <x:v>6</x:v>
      </x:c>
      <x:c r="D26" s="9" t="str">
        <x:v>{
  "retrieved_utc": "2026-10-23T03:27:45.726092+00:00",
  "assay_id": "CHEMBL3855278",
  "scope": "Complete official activities for this one assay; no endpoint filter at retrieval.",
  "requests": [
    {
      "url": "https://www.ebi.ac.uk/chembl/api/data/assay/CHEMBL3855278.json",
      "final_url": "https://www.ebi.ac.uk/chembl/api/data/assay/CHEMBL3855278.json",
      "retrieved_utc": "2026-1</x:v>
      </x:c>
    </x:row>
    <x:row r="27" ht="156" customHeight="1">
      <x:c r="A27" s="14" t="str">
        <x:v>frozen/source_manifest.json</x:v>
      </x:c>
      <x:c r="B27" s="17" t="n">
        <x:v>2</x:v>
      </x:c>
      <x:c r="C27" s="17" t="n">
        <x:v>6</x:v>
      </x:c>
      <x:c r="D27" s="14" t="str">
        <x:v>0-23T03:27:45.726257+00:00",
      "status": 200,
      "bytes": 1019,
      "sha256": "fe4db420ef4b2316de0f2e58cd34f51a836023aad88a833b9bd1e75175369856",
      "file": "raw/assay.json"
    },
    {
      "url": "https://www.ebi.ac.uk/chembl/api/data/target/CHEMBL217.json",
      "final_url": "https://www.ebi.ac.uk/chembl/api/data/target/CHEMBL217.json",
      "retrieved_utc": "2026-10-23T03:27:51</x:v>
      </x:c>
    </x:row>
    <x:row r="28" ht="156" customHeight="1">
      <x:c r="A28" s="9" t="str">
        <x:v>frozen/source_manifest.json</x:v>
      </x:c>
      <x:c r="B28" s="13" t="n">
        <x:v>3</x:v>
      </x:c>
      <x:c r="C28" s="13" t="n">
        <x:v>6</x:v>
      </x:c>
      <x:c r="D28" s="9" t="str">
        <x:v>.844357+00:00",
      "status": 200,
      "bytes": 16803,
      "sha256": "a776f57c123398b048370f76c58dbab794dd60c74748c3a54bf78942d04033c7",
      "file": "raw/target.json"
    },
    {
      "url": "https://www.ebi.ac.uk/chembl/api/data/document/CHEMBL3853329.json",
      "final_url": "https://www.ebi.ac.uk/chembl/api/data/document/CHEMBL3853329.json",
      "retrieved_utc": "2026-10-23T03:27:5</x:v>
      </x:c>
    </x:row>
    <x:row r="29" ht="141" customHeight="1">
      <x:c r="A29" s="14" t="str">
        <x:v>frozen/source_manifest.json</x:v>
      </x:c>
      <x:c r="B29" s="17" t="n">
        <x:v>4</x:v>
      </x:c>
      <x:c r="C29" s="17" t="n">
        <x:v>6</x:v>
      </x:c>
      <x:c r="D29" s="14" t="str">
        <x:v>4.322791+00:00",
      "status": 200,
      "bytes": 1433,
      "sha256": "2f73fd0f820092da42fd6522012ed162adcd9f412304d7781afa7c39f731e572",
      "file": "raw/document.json"
    },
    {
      "url": "https://www.ebi.ac.uk/chembl/api/data/activity.json?assay_chembl_id=CHEMBL3855278&amp;limit=1000&amp;offset=0",
      "final_url": "https://www.ebi.ac.uk/chembl/api/data/activity.json?assay_chembl_id=CHEM</x:v>
      </x:c>
    </x:row>
    <x:row r="30" ht="201" customHeight="1">
      <x:c r="A30" s="9" t="str">
        <x:v>frozen/source_manifest.json</x:v>
      </x:c>
      <x:c r="B30" s="13" t="n">
        <x:v>5</x:v>
      </x:c>
      <x:c r="C30" s="13" t="n">
        <x:v>6</x:v>
      </x:c>
      <x:c r="D30" s="9" t="str">
        <x:v>BL3855278&amp;limit=1000&amp;offset=0",
      "retrieved_utc": "2026-10-23T03:27:58.254688+00:00",
      "status": 200,
      "bytes": 168840,
      "sha256": "1c1d0bc534a15752059afd2009f3547265906794202a2fbe31e251ded31ad884",
      "file": "raw/activities_page_000.json"
    }
  ],
  "api_total_count": 107,
  "retrieved_rows": 107,
  "unique_activity_ids": 107,
  "complete_for_assay_snapshot": true
</x:v>
      </x:c>
    </x:row>
    <x:row r="31" ht="36" customHeight="1">
      <x:c r="A31" s="14" t="str">
        <x:v>frozen/source_manifest.json</x:v>
      </x:c>
      <x:c r="B31" s="17" t="n">
        <x:v>6</x:v>
      </x:c>
      <x:c r="C31" s="17" t="n">
        <x:v>6</x:v>
      </x:c>
      <x:c r="D31" s="14" t="str">
        <x:v>}
</x:v>
      </x:c>
    </x:row>
    <x:row r="32" ht="81" customHeight="1">
      <x:c r="A32" s="9" t="str">
        <x:v>input_hashes.json</x:v>
      </x:c>
      <x:c r="B32" s="13" t="n">
        <x:v>1</x:v>
      </x:c>
      <x:c r="C32" s="13" t="n">
        <x:v>5</x:v>
      </x:c>
      <x:c r="D32" s="9" t="str">
        <x:v>{
  "frozen/all_activity_rows.csv": "58970bf15d19d29673fc5c45ba631118f507fc8870391796aa7f7617936de678",
  "frozen/censoring_and_missing_ledger.csv": "e657a7504572d215a943b22cc65e48cfe49cee266dfc55f0e36174e9201334d7",
  "frozen/cohort_rules.json": "487c5f9a8f41f01cb953a3c39b8b6bd7cc4db0d61e299e7788d2e6c847224253",
  "frozen/cohort_summary.json": "e7595c93fb723fd2a015769ec192fa6ef949a3880043e8350702</x:v>
      </x:c>
    </x:row>
    <x:row r="33" ht="81" customHeight="1">
      <x:c r="A33" s="14" t="str">
        <x:v>input_hashes.json</x:v>
      </x:c>
      <x:c r="B33" s="17" t="n">
        <x:v>2</x:v>
      </x:c>
      <x:c r="C33" s="17" t="n">
        <x:v>5</x:v>
      </x:c>
      <x:c r="D33" s="14" t="str">
        <x:v>90c9ea0f59fd",
  "frozen/curate_assay.py": "494ddb0e0d2b5c7bd48c71e4ca8476d1ef232c93b13027e07cc139a6e14599a5",
  "frozen/decision_ledger.csv": "e3692dcff32de631790a0f56afbd7967caf68e09c6b10440055d9640ccfc44a0",
  "frozen/duplicate_ledger.csv": "c7caab9caa65f4b74dc836cc8838627ea99c35168c56c29298a5788a3b179cdd",
  "frozen/eligible_compounds.csv": "39ddd83e407bda3800f3cc0b6c220574417ea859fa85b3875ba7</x:v>
      </x:c>
    </x:row>
    <x:row r="34" ht="81" customHeight="1">
      <x:c r="A34" s="9" t="str">
        <x:v>input_hashes.json</x:v>
      </x:c>
      <x:c r="B34" s="13" t="n">
        <x:v>3</x:v>
      </x:c>
      <x:c r="C34" s="13" t="n">
        <x:v>5</x:v>
      </x:c>
      <x:c r="D34" s="9" t="str">
        <x:v>475600b6db61",
  "frozen/exclusion_ledger.csv": "0c1d715ee5dccecb2073641520deebc92210fc417d6f732c1ad0a41a38350501",
  "frozen/fetch_assay.py": "5e4ed69917be50e5abc55b48a756d1c95336135e24eb1f560f7d67284277c8c7",
  "frozen/raw/activities_page_000.json": "1c1d0bc534a15752059afd2009f3547265906794202a2fbe31e251ded31ad884",
  "frozen/raw/assay.json": "fe4db420ef4b2316de0f2e58cd34f51a836023aad88a833b9bd1</x:v>
      </x:c>
    </x:row>
    <x:row r="35" ht="96" customHeight="1">
      <x:c r="A35" s="14" t="str">
        <x:v>input_hashes.json</x:v>
      </x:c>
      <x:c r="B35" s="17" t="n">
        <x:v>4</x:v>
      </x:c>
      <x:c r="C35" s="17" t="n">
        <x:v>5</x:v>
      </x:c>
      <x:c r="D35" s="14" t="str">
        <x:v>e75175369856",
  "frozen/raw/document.json": "2f73fd0f820092da42fd6522012ed162adcd9f412304d7781afa7c39f731e572",
  "frozen/raw/target.json": "a776f57c123398b048370f76c58dbab794dd60c74748c3a54bf78942d04033c7",
  "frozen/source_manifest.json": "6ea36af76e928c1198802f2e867c1a2a1eb8629f8b8e197a36b984fd06439e95",
  "pilot.py": "14dc625b61b1058dc44f4138944ddc2d8d46ff66f3e2604fe8afd3820e23ba99",
  "prede</x:v>
      </x:c>
    </x:row>
    <x:row r="36" ht="36" customHeight="1">
      <x:c r="A36" s="9" t="str">
        <x:v>input_hashes.json</x:v>
      </x:c>
      <x:c r="B36" s="13" t="n">
        <x:v>5</x:v>
      </x:c>
      <x:c r="C36" s="13" t="n">
        <x:v>5</x:v>
      </x:c>
      <x:c r="D36" s="9" t="str">
        <x:v>clared_recipe.json": "78fbca589bb204605e81438ae5660bd764077b4b4e5475f9c9958e76d3054b3f"
}</x:v>
      </x:c>
    </x:row>
    <x:row r="37" ht="126" customHeight="1">
      <x:c r="A37" s="14" t="str">
        <x:v>provenance-supplement/comparator_identity_check.json</x:v>
      </x:c>
      <x:c r="B37" s="17" t="n">
        <x:v>1</x:v>
      </x:c>
      <x:c r="C37" s="17" t="n">
        <x:v>3</x:v>
      </x:c>
      <x:c r="D37" s="14" t="str">
        <x:v>{
  "created_utc": "2026-10-23T03:38:20.173671+00:00",
  "identity_source": "PubChem name GSK598809; corroborating ChEMBL molecule search",
  "pubchem_cid": 11784937,
  "comparator_full_inchikey": "ZKRWPAYTJMRKLJ-BTYIYWSLSA-N",
  "comparator_nonisomeric_parent_smiles": "Cc1ncoc1-c1nnc(SCCCN2CC3CC3(c3ccc(C(F)(F)F)cc3F)C2)n1C",
  "matching_activity_ids_full_inchikey": [],
  "matching_activity_ids_co</x:v>
      </x:c>
    </x:row>
    <x:row r="38" ht="141" customHeight="1">
      <x:c r="A38" s="9" t="str">
        <x:v>provenance-supplement/comparator_identity_check.json</x:v>
      </x:c>
      <x:c r="B38" s="13" t="n">
        <x:v>2</x:v>
      </x:c>
      <x:c r="C38" s="13" t="n">
        <x:v>3</x:v>
      </x:c>
      <x:c r="D38" s="9" t="str">
        <x:v>nnectivity_ignoring_stereo": [],
  "full_assay_rows_checked": 107,
  "cohort_changed": false,
  "decision": "No matching comparator graph among the full107 activity structures; no exclusion or refit justified by this identity check.",
  "limitation": "Manuscript uses GSK598809A name; source figure was not visually verified. Name-suffix resolution checked separately.",
  "exact_A_name_lookup": {
  </x:v>
      </x:c>
    </x:row>
    <x:row r="39" ht="81" customHeight="1">
      <x:c r="A39" s="14" t="str">
        <x:v>provenance-supplement/comparator_identity_check.json</x:v>
      </x:c>
      <x:c r="B39" s="17" t="n">
        <x:v>3</x:v>
      </x:c>
      <x:c r="C39" s="17" t="n">
        <x:v>3</x:v>
      </x:c>
      <x:c r="D39" s="14" t="str">
        <x:v>  "url": "https://pubchem.ncbi.nlm.nih.gov/rest/pug/compound/name/GSK598809A/property/InChIKey,IsomericSMILES/JSON",
    "error": "&lt;HTTPError 404: 'Not Found'&gt;"
  }
}
</x:v>
      </x:c>
    </x:row>
    <x:row r="40" ht="96" customHeight="1">
      <x:c r="A40" s="9" t="str">
        <x:v>FINAL_MANIFEST.json</x:v>
      </x:c>
      <x:c r="B40" s="13" t="n">
        <x:v>1</x:v>
      </x:c>
      <x:c r="C40" s="13" t="n">
        <x:v>12</x:v>
      </x:c>
      <x:c r="D40" s="9" t="str">
        <x:v>{
  "DATA_LICENSE.md": "1dfa667fcf6281770ace20fd0e4b44cdb011d39cd84730c4688093005660dcd5",
  "PACKAGING_CHANGES.json": "32b929fd15b958708a3ede639689485e811e41a4919063155dfa9bb5a702686b",
  "README.md": "b10449bee53ea2b81579fe2e54604ef4bab01ffac3d74dbf75e61a830769ef26",
  "assay_qsar_pilot.executed.ipynb": "0259809c19ffb7cd495cd07da0a40891ddede5d10c34f934f4f12957a2a06824",
  "assay_qsar_pilot.ipynb</x:v>
      </x:c>
    </x:row>
    <x:row r="41" ht="81" customHeight="1">
      <x:c r="A41" s="14" t="str">
        <x:v>FINAL_MANIFEST.json</x:v>
      </x:c>
      <x:c r="B41" s="17" t="n">
        <x:v>2</x:v>
      </x:c>
      <x:c r="C41" s="17" t="n">
        <x:v>12</x:v>
      </x:c>
      <x:c r="D41" s="14" t="str">
        <x:v>": "bb14243992b03e863cc8cd6952f7135e1d4afe40c6cb4298dd887be65d5e54ae",
  "final_code_cells_sha256.txt": "24fc07dc105339e3160e6895da7356360237213e4abb0f6b03e6a22ebbd452e5",
  "frozen/all_activity_rows.csv": "58970bf15d19d29673fc5c45ba631118f507fc8870391796aa7f7617936de678",
  "frozen/censoring_and_missing_ledger.csv": "e657a7504572d215a943b22cc65e48cfe49cee266dfc55f0e36174e9201334d7",
  "frozen/coh</x:v>
      </x:c>
    </x:row>
    <x:row r="42" ht="81" customHeight="1">
      <x:c r="A42" s="9" t="str">
        <x:v>FINAL_MANIFEST.json</x:v>
      </x:c>
      <x:c r="B42" s="13" t="n">
        <x:v>3</x:v>
      </x:c>
      <x:c r="C42" s="13" t="n">
        <x:v>12</x:v>
      </x:c>
      <x:c r="D42" s="9" t="str">
        <x:v>ort_rules.json": "487c5f9a8f41f01cb953a3c39b8b6bd7cc4db0d61e299e7788d2e6c847224253",
  "frozen/cohort_summary.json": "e7595c93fb723fd2a015769ec192fa6ef949a3880043e835070290c9ea0f59fd",
  "frozen/curate_assay.py": "494ddb0e0d2b5c7bd48c71e4ca8476d1ef232c93b13027e07cc139a6e14599a5",
  "frozen/decision_ledger.csv": "e3692dcff32de631790a0f56afbd7967caf68e09c6b10440055d9640ccfc44a0",
  "frozen/duplicate</x:v>
      </x:c>
    </x:row>
    <x:row r="43" ht="81" customHeight="1">
      <x:c r="A43" s="14" t="str">
        <x:v>FINAL_MANIFEST.json</x:v>
      </x:c>
      <x:c r="B43" s="17" t="n">
        <x:v>4</x:v>
      </x:c>
      <x:c r="C43" s="17" t="n">
        <x:v>12</x:v>
      </x:c>
      <x:c r="D43" s="14" t="str">
        <x:v>_ledger.csv": "c7caab9caa65f4b74dc836cc8838627ea99c35168c56c29298a5788a3b179cdd",
  "frozen/eligible_compounds.csv": "39ddd83e407bda3800f3cc0b6c220574417ea859fa85b3875ba7475600b6db61",
  "frozen/exclusion_ledger.csv": "0c1d715ee5dccecb2073641520deebc92210fc417d6f732c1ad0a41a38350501",
  "frozen/fetch_assay.py": "5e4ed69917be50e5abc55b48a756d1c95336135e24eb1f560f7d67284277c8c7",
  "frozen/raw/activ</x:v>
      </x:c>
    </x:row>
    <x:row r="44" ht="81" customHeight="1">
      <x:c r="A44" s="9" t="str">
        <x:v>FINAL_MANIFEST.json</x:v>
      </x:c>
      <x:c r="B44" s="13" t="n">
        <x:v>5</x:v>
      </x:c>
      <x:c r="C44" s="13" t="n">
        <x:v>12</x:v>
      </x:c>
      <x:c r="D44" s="9" t="str">
        <x:v>ities_page_000.json": "1c1d0bc534a15752059afd2009f3547265906794202a2fbe31e251ded31ad884",
  "frozen/raw/assay.json": "fe4db420ef4b2316de0f2e58cd34f51a836023aad88a833b9bd1e75175369856",
  "frozen/raw/document.json": "2f73fd0f820092da42fd6522012ed162adcd9f412304d7781afa7c39f731e572",
  "frozen/raw/target.json": "a776f57c123398b048370f76c58dbab794dd60c74748c3a54bf78942d04033c7",
  "frozen/source_mani</x:v>
      </x:c>
    </x:row>
    <x:row r="45" ht="81" customHeight="1">
      <x:c r="A45" s="14" t="str">
        <x:v>FINAL_MANIFEST.json</x:v>
      </x:c>
      <x:c r="B45" s="17" t="n">
        <x:v>6</x:v>
      </x:c>
      <x:c r="C45" s="17" t="n">
        <x:v>12</x:v>
      </x:c>
      <x:c r="D45" s="14" t="str">
        <x:v>fest.json": "6ea36af76e928c1198802f2e867c1a2a1eb8629f8b8e197a36b984fd06439e95",
  "input_hashes.json": "9f20e8f09cd0c126913ab7f6e92d9e48d1062e811c1209dd8f53866f80ac26df",
  "integrity_tests.json": "b997e7219f2b305d7c1ab60914f908bd78d65df224f6d4e89a67865766b55de8",
  "pilot.py": "14dc625b61b1058dc44f4138944ddc2d8d46ff66f3e2604fe8afd3820e23ba99",
  "predeclared_recipe.json": "78fbca589bb204605e81438</x:v>
      </x:c>
    </x:row>
    <x:row r="46" ht="81" customHeight="1">
      <x:c r="A46" s="9" t="str">
        <x:v>FINAL_MANIFEST.json</x:v>
      </x:c>
      <x:c r="B46" s="13" t="n">
        <x:v>7</x:v>
      </x:c>
      <x:c r="C46" s="13" t="n">
        <x:v>12</x:v>
      </x:c>
      <x:c r="D46" s="9" t="str">
        <x:v>ae5660bd764077b4b4e5475f9c9958e76d3054b3f",
  "prefit_split_info.json": "99c5234a6f462bce22643a72d004ba611d22fa17fc230b54c759f60b1b8e03f9",
  "prefit_split_manifest.csv": "c22f5a6425202543714b8bb2071ee295dbdf54800cbbe1abc680519ef05b68ad",
  "provenance-supplement/CHECK_HISTORY.md": "9b7ac8d1fba8eb4c08442dcc968c359d15de6d5295187a63dc2f9fc77a0ce56c",
  "provenance-supplement/comparator_identity_GSK5</x:v>
      </x:c>
    </x:row>
    <x:row r="47" ht="81" customHeight="1">
      <x:c r="A47" s="14" t="str">
        <x:v>FINAL_MANIFEST.json</x:v>
      </x:c>
      <x:c r="B47" s="17" t="n">
        <x:v>8</x:v>
      </x:c>
      <x:c r="C47" s="17" t="n">
        <x:v>12</x:v>
      </x:c>
      <x:c r="D47" s="14" t="str">
        <x:v>98809.json": "c4e2727ca3ac5b893c5bd5ea8d918848a8174a41d53b6eafa4621fe5bcbe968c",
  "provenance-supplement/comparator_identity_GSK598809_search.json": "07d8bad9aa7f6eb7b47e2cc0cd55bbf1b4b9e0477d2522620f3768d4596d5bd5",
  "provenance-supplement/comparator_identity_check.json": "8d057b9dc3517817f15a8d95251d962bfe579547a0400dac7279d0accc6e9fc6",
  "provenance-supplement/comparator_identity_request.jso</x:v>
      </x:c>
    </x:row>
    <x:row r="48" ht="96" customHeight="1">
      <x:c r="A48" s="9" t="str">
        <x:v>FINAL_MANIFEST.json</x:v>
      </x:c>
      <x:c r="B48" s="13" t="n">
        <x:v>9</x:v>
      </x:c>
      <x:c r="C48" s="13" t="n">
        <x:v>12</x:v>
      </x:c>
      <x:c r="D48" s="9" t="str">
        <x:v>n": "bb27b733bba22e11d8eab09649b9117466f68fd4546a3d6b3aef4e338ea68b90",
  "provenance-supplement/comparator_identity_search_request.json": "3e532facde6834a14090223b86ea990074a57cf3d5eac24ec77830fa9a288e0a",
  "provenance-supplement/comparator_pubchem_GSK598809.json": "5df18e09d240945f71dc3edda48bae3a4524d2459e949977f5e43de69ed0a9a8",
  "provenance-supplement/comparator_pubchem_request.json": "8d8a</x:v>
      </x:c>
    </x:row>
    <x:row r="49" ht="81" customHeight="1">
      <x:c r="A49" s="14" t="str">
        <x:v>FINAL_MANIFEST.json</x:v>
      </x:c>
      <x:c r="B49" s="17" t="n">
        <x:v>10</x:v>
      </x:c>
      <x:c r="C49" s="17" t="n">
        <x:v>12</x:v>
      </x:c>
      <x:c r="D49" s="14" t="str">
        <x:v>aea2b048545b231ff807b8850e7e301e88ada55cd99aba6a3228e815dd70",
  "replay_notebook.py": "ba0a99dba42a5d7027d1a77d8c676d6e813fa8ec5f93a7ec1237022b1d86780c",
  "replay_receipt.json": "43935968240f1d0e6433045c68508504ce83cbc509c5807ed5785cc4befbe911",
  "requirements-tested.txt": "902bffe026a066cbb18b813e8a735f9c816bffd38b2d3aeacf19d0403e9c7337",
  "results/holdout.png": "ecf393f49e60afa4f405ca420e62c</x:v>
      </x:c>
    </x:row>
    <x:row r="50" ht="81" customHeight="1">
      <x:c r="A50" s="9" t="str">
        <x:v>FINAL_MANIFEST.json</x:v>
      </x:c>
      <x:c r="B50" s="13" t="n">
        <x:v>11</x:v>
      </x:c>
      <x:c r="C50" s="13" t="n">
        <x:v>12</x:v>
      </x:c>
      <x:c r="D50" s="9" t="str">
        <x:v>102ac42257d2fa31b61865f3d94f4571e91",
  "results/model_dataset.csv": "b82d468ee9cbfd7ae5621e459e8408f597c8430198f5fdbd9be1f9e09cce32d3",
  "results/model_parameters.json": "298c4d7e5a9d036ffd811476be7ce47f34ca61697d3483c56ce66b01c9079289",
  "results/predictions.csv": "18668f5a5999794f9253b2db33dfcddc32492ee36d28c1bb62359eda5da5559a",
  "results/report.json": "bbe475f1dae24b8106ea3582cb4bc8723c731</x:v>
      </x:c>
    </x:row>
    <x:row r="51" ht="66" customHeight="1">
      <x:c r="A51" s="14" t="str">
        <x:v>FINAL_MANIFEST.json</x:v>
      </x:c>
      <x:c r="B51" s="17" t="n">
        <x:v>12</x:v>
      </x:c>
      <x:c r="C51" s="17" t="n">
        <x:v>12</x:v>
      </x:c>
      <x:c r="D51" s="14" t="str">
        <x:v>bed521c1720bc208810561a5eff",
  "results/split_manifest.csv": "c22f5a6425202543714b8bb2071ee295dbdf54800cbbe1abc680519ef05b68ad",
  "test_integrity.py": "7e19556b4b4007d7887f923434c04e6759d1038ead367589ede4145f639b7a68"
}</x:v>
      </x:c>
    </x:row>
    <x:row r="52" ht="126" customHeight="1">
      <x:c r="A52" s="9" t="str">
        <x:v>PACKAGING_CHANGES.json</x:v>
      </x:c>
      <x:c r="B52" s="13" t="n">
        <x:v>1</x:v>
      </x:c>
      <x:c r="C52" s="13" t="n">
        <x:v>3</x:v>
      </x:c>
      <x:c r="D52" s="9" t="str">
        <x:v>{
  "purpose": "Portable local deliverable; no public publication",
  "changes": [
    {
      "file": "frozen/cohort_rules.json",
      "change": "Absolute local split recipe path replaced by relative filename only",
      "original_sha256": "445494bb0496aec9edae79a2bc7724cc873c0fcfcf8cc6665a886abc657e3e6b",
      "packaged_sha256": "487c5f9a8f41f01cb953a3c39b8b6bd7cc4db0d61e299e7788d2e6c84722425</x:v>
      </x:c>
    </x:row>
    <x:row r="53" ht="171" customHeight="1">
      <x:c r="A53" s="14" t="str">
        <x:v>PACKAGING_CHANGES.json</x:v>
      </x:c>
      <x:c r="B53" s="17" t="n">
        <x:v>2</x:v>
      </x:c>
      <x:c r="C53" s="17" t="n">
        <x:v>3</x:v>
      </x:c>
      <x:c r="D53" s="14" t="str">
        <x:v>3"
    },
    {
      "file": "frozen/curate_assay.py",
      "change": "Expected rule hash updated for that path-only redaction",
      "original_sha256": "af58b108697aecff880581f967f44d3cf12ca97791f2326068c7471d6fbb7be8",
      "packaged_sha256": "494ddb0e0d2b5c7bd48c71e4ca8476d1ef232c93b13027e07cc139a6e14599a5"
    },
    {
      "file": "frozen/cohort_summary.json",
      "change": "Rule/scrip</x:v>
      </x:c>
    </x:row>
    <x:row r="54" ht="171" customHeight="1">
      <x:c r="A54" s="9" t="str">
        <x:v>PACKAGING_CHANGES.json</x:v>
      </x:c>
      <x:c r="B54" s="13" t="n">
        <x:v>3</x:v>
      </x:c>
      <x:c r="C54" s="13" t="n">
        <x:v>3</x:v>
      </x:c>
      <x:c r="D54" s="9" t="str">
        <x:v>t hash references updated only"
    }
  ],
  "cohort_changed": false,
  "split_changed": false,
  "model_changed": false,
  "model_refit": false,
  "eligible_sha256": "39ddd83e407bda3800f3cc0b6c220574417ea859fa85b3875ba7475600b6db61",
  "note": "Original prefit/firstfit local files retained unchanged; same dataset, source bytes, model coefficients, predictions and metrics."
}</x:v>
      </x:c>
    </x:row>
    <x:row r="55" ht="186" customHeight="1">
      <x:c r="A55" s="14" t="str">
        <x:v>predeclared_recipe.json</x:v>
      </x:c>
      <x:c r="B55" s="17" t="n">
        <x:v>1</x:v>
      </x:c>
      <x:c r="C55" s="17" t="n">
        <x:v>5</x:v>
      </x:c>
      <x:c r="D55" s="14" t="str">
        <x:v>{
  "declared_before_model_execution": true,
  "cohort": "CHEMBL3855278 only; exact original source-reported experimental pKi; no predicted labels",
  "descriptors": [
    "MolWt",
    "MolLogP",
    "TPSA",
    "NumHDonors",
    "NumHAcceptors"
  ],
  "split": "Murcko scaffolds (nonchiral) grouped, deterministic hash order seed assay-pilot-v1, target 20% holdout. At least 10 train and 5 test; sca</x:v>
      </x:c>
    </x:row>
    <x:row r="56" ht="186" customHeight="1">
      <x:c r="A56" s="9" t="str">
        <x:v>predeclared_recipe.json</x:v>
      </x:c>
      <x:c r="B56" s="13" t="n">
        <x:v>2</x:v>
      </x:c>
      <x:c r="C56" s="13" t="n">
        <x:v>5</x:v>
      </x:c>
      <x:c r="D56" s="9" t="str">
        <x:v>ffold holdout preferred. If fewer than 2 usable groups or cannot meet sizes, connectivity-group holdout with explicit congeneric-only limitation. Never select split from outcomes.",
  "models": [
    "training mean DummyRegressor",
    "StandardScaler fitted on train + Ridge alpha=1.0"
  ],
  "metrics": [
    "MAE",
    "RMSE",
    "R2"
  ],
  "tuning": "none; no fit on holdout, no refit on all da</x:v>
      </x:c>
    </x:row>
    <x:row r="57" ht="96" customHeight="1">
      <x:c r="A57" s="14" t="str">
        <x:v>predeclared_recipe.json</x:v>
      </x:c>
      <x:c r="B57" s="17" t="n">
        <x:v>3</x:v>
      </x:c>
      <x:c r="C57" s="17" t="n">
        <x:v>5</x:v>
      </x:c>
      <x:c r="D57" s="14" t="str">
        <x:v>ta",
  "domain": "training descriptor min/max and maximum train Morgan similarity (radius 2, 2048 bits, nonchiral); descriptive only, not calibrated confidence",
  "primary_label": "Exact source-reported experimental pKi from ChEMBL original value; standard Ki nM and roundtrip pKi retained only as conversion checks, not new measurements.",
  "scope": "single-assay exploratory pilot, not external v</x:v>
      </x:c>
    </x:row>
    <x:row r="58" ht="81" customHeight="1">
      <x:c r="A58" s="9" t="str">
        <x:v>predeclared_recipe.json</x:v>
      </x:c>
      <x:c r="B58" s="13" t="n">
        <x:v>4</x:v>
      </x:c>
      <x:c r="C58" s="13" t="n">
        <x:v>5</x:v>
      </x:c>
      <x:c r="D58" s="9" t="str">
        <x:v>alidation, not the old frozen 250-compound model",
  "label_provenance": "Source-reported pKi is experimental; ChEMBL standard Ki nM and recomputed pKi are transformations of that same observation.",
  "duplicate_policy": "Before label inspection, cohort curator excludes every full-isomeric parent identity with multiple source records regardless of values; unresolved replicate mapping is not avera</x:v>
      </x:c>
    </x:row>
    <x:row r="59" ht="81" customHeight="1">
      <x:c r="A59" s="14" t="str">
        <x:v>predeclared_recipe.json</x:v>
      </x:c>
      <x:c r="B59" s="17" t="n">
        <x:v>5</x:v>
      </x:c>
      <x:c r="C59" s="17" t="n">
        <x:v>5</x:v>
      </x:c>
      <x:c r="D59" s="14" t="str">
        <x:v>ged. All records retained in ledger.",
  "endpoint_decision": "Parent clarified original source pKi preferred before any fit or metric inspection.",
  "structure_policy": "Use cohort-curated parent_smiles, preserving source_canonical_smiles and ledger; no additional model-side neutralization/tautomerization."
}</x:v>
      </x:c>
    </x:row>
    <x:row r="60" ht="81" customHeight="1">
      <x:c r="A60" s="9" t="str">
        <x:v>provenance-supplement/CHECK_HISTORY.md</x:v>
      </x:c>
      <x:c r="B60" s="13" t="n">
        <x:v>1</x:v>
      </x:c>
      <x:c r="C60" s="13" t="n">
        <x:v>3</x:v>
      </x:c>
      <x:c r="D60" s="9" t="str">
        <x:v>## Source-provenance check after the first fit
The first model was fitted after the complete cohort was handed off as ready. A later source check identified a possible literature comparator, named GSK598809A in the manuscript, so final release was paused. The registered GSK598809 identity (PubChem CID 11784937) was checked against all 107 source structures: no exact full-identity or stereo-ignore</x:v>
      </x:c>
    </x:row>
    <x:row r="61" ht="81" customHeight="1">
      <x:c r="A61" s="14" t="str">
        <x:v>provenance-supplement/CHECK_HISTORY.md</x:v>
      </x:c>
      <x:c r="B61" s="17" t="n">
        <x:v>2</x:v>
      </x:c>
      <x:c r="C61" s="17" t="n">
        <x:v>3</x:v>
      </x:c>
      <x:c r="D61" s="14" t="str">
        <x:v>d parent-graph match was found. Independent audit confirmed that absence. No exclusion, split change, parameter change or corrective refit was justified or performed.
The suffix “A” and source figure were not visually confirmed, and complete source-table-to-record mapping remains unresolved. This is a **database-attributed, single-assay experimental-label pilot**, not independently verified origi</x:v>
      </x:c>
    </x:row>
    <x:row r="62" ht="51" customHeight="1">
      <x:c r="A62" s="9" t="str">
        <x:v>provenance-supplement/CHECK_HISTORY.md</x:v>
      </x:c>
      <x:c r="B62" s="13" t="n">
        <x:v>3</x:v>
      </x:c>
      <x:c r="C62" s="13" t="n">
        <x:v>3</x:v>
      </x:c>
      <x:c r="D62" s="9" t="str">
        <x:v>nal laboratory measurements. The original 80-compound cohort and first-fit results remain unchanged. Machine-readable identity checks and source response bytes accompany this note.
</x:v>
      </x:c>
    </x:row>
    <x:row r="63" ht="66" customHeight="1">
      <x:c r="A63" s="14" t="str">
        <x:v>DATA_LICENSE.md</x:v>
      </x:c>
      <x:c r="B63" s="17" t="n">
        <x:v>1</x:v>
      </x:c>
      <x:c r="C63" s="17" t="n">
        <x:v>2</x:v>
      </x:c>
      <x:c r="D63" s="14" t="str">
        <x:v>ChEMBL source data: EMBL-EBI, CC BY-SA 3.0, https://www.ebi.ac.uk/chembl/ and https://creativecommons.org/licenses/by-sa/3.0/. Source URLs and timestamps are retained in frozen/source_manifest.json. Derived tables retain CC BY-SA 3.0. Changes: eligibility filtering, explicit structure normalization, added descriptors, split assignments and fitted predictions, all labeled separately from source dat</x:v>
      </x:c>
    </x:row>
    <x:row r="64" ht="36" customHeight="1">
      <x:c r="A64" s="9" t="str">
        <x:v>DATA_LICENSE.md</x:v>
      </x:c>
      <x:c r="B64" s="13" t="n">
        <x:v>2</x:v>
      </x:c>
      <x:c r="C64" s="13" t="n">
        <x:v>2</x:v>
      </x:c>
      <x:c r="D64" s="9" t="str">
        <x:v>a. No original full paper is redistributed. Workflow code is newly authored; descriptor library attribution is in README.md.
</x:v>
      </x:c>
    </x:row>
    <x:row r="65" ht="66" customHeight="1">
      <x:c r="A65" s="14" t="str">
        <x:v>frozen/raw/activities_page_000.json</x:v>
      </x:c>
      <x:c r="B65" s="17" t="n">
        <x:v>1</x:v>
      </x:c>
      <x:c r="C65" s="17" t="n">
        <x:v>423</x:v>
      </x:c>
      <x:c r="D65" s="14" t="str">
        <x:v>{"activities": [{"action_type": null, "activity_comment": null, "activity_id": 16670133, "activity_properties": [], "assay_chembl_id": "CHEMBL3855278", "assay_description": "Displacement of [3H]-spiperone from human dopamine D2 receptor expressed in CHO-K1 cell membranes coexpressing Galpha16 after 120 mins by liquid scintillation counting", "assay_type": "B", "assay_variant_accession": null, "ass</x:v>
      </x:c>
    </x:row>
    <x:row r="66" ht="66" customHeight="1">
      <x:c r="A66" s="9" t="str">
        <x:v>frozen/raw/activities_page_000.json</x:v>
      </x:c>
      <x:c r="B66" s="13" t="n">
        <x:v>2</x:v>
      </x:c>
      <x:c r="C66" s="13" t="n">
        <x:v>423</x:v>
      </x:c>
      <x:c r="D66" s="9" t="str">
        <x:v>ay_variant_mutation": null, "bao_endpoint": "BAO_0000192", "bao_format": "BAO_0000219", "bao_label": "cell-based format", "canonical_smiles": "N#Cc1ccc2c(c1)CCN(CC[C@H]1CC[C@H](NC(=O)c3ccnc4ccccc34)CC1)C2", "data_validity_comment": null, "data_validity_description": null, "document_chembl_id": "CHEMBL3853329", "document_journal": "J Med Chem", "document_year": 2016, "ligand_efficiency": {"bei": "1</x:v>
      </x:c>
    </x:row>
    <x:row r="67" ht="66" customHeight="1">
      <x:c r="A67" s="14" t="str">
        <x:v>frozen/raw/activities_page_000.json</x:v>
      </x:c>
      <x:c r="B67" s="17" t="n">
        <x:v>3</x:v>
      </x:c>
      <x:c r="C67" s="17" t="n">
        <x:v>423</x:v>
      </x:c>
      <x:c r="D67" s="14" t="str">
        <x:v>4.39", "le": "0.26", "lle": "1.47", "sei": "9.14"}, "modality": null, "molecule_chembl_id": "CHEMBL85606", "molecule_pref_name": null, "parent_molecule_chembl_id": "CHEMBL85606", "pchembl_value": "6.31", "potential_duplicate": 0, "qudt_units": "http://www.openphacts.org/units/Nanomolar", "record_id": 2796773, "relation": "=", "src_id": 1, "standard_flag": 1, "standard_relation": "=", "standard_tex</x:v>
      </x:c>
    </x:row>
    <x:row r="68" ht="66" customHeight="1">
      <x:c r="A68" s="9" t="str">
        <x:v>frozen/raw/activities_page_000.json</x:v>
      </x:c>
      <x:c r="B68" s="13" t="n">
        <x:v>4</x:v>
      </x:c>
      <x:c r="C68" s="13" t="n">
        <x:v>423</x:v>
      </x:c>
      <x:c r="D68" s="9" t="str">
        <x:v>t_value": null, "standard_type": "Ki", "standard_units": "nM", "standard_upper_value": null, "standard_value": "489.78", "target_chembl_id": "CHEMBL217", "target_organism": "Homo sapiens", "target_pref_name": "D(2) dopamine receptor", "target_tax_id": "9606", "text_value": null, "toid": null, "type": "pKi", "units": null, "uo_units": "UO_0000065", "upper_value": null, "value": "6.31"}, {"action_ty</x:v>
      </x:c>
    </x:row>
    <x:row r="69" ht="66" customHeight="1">
      <x:c r="A69" s="14" t="str">
        <x:v>frozen/raw/activities_page_000.json</x:v>
      </x:c>
      <x:c r="B69" s="17" t="n">
        <x:v>5</x:v>
      </x:c>
      <x:c r="C69" s="17" t="n">
        <x:v>423</x:v>
      </x:c>
      <x:c r="D69" s="14" t="str">
        <x:v>pe": null, "activity_comment": null, "activity_id": 16670134,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x:v>
      </x:c>
    </x:row>
    <x:row r="70" ht="66" customHeight="1">
      <x:c r="A70" s="9" t="str">
        <x:v>frozen/raw/activities_page_000.json</x:v>
      </x:c>
      <x:c r="B70" s="13" t="n">
        <x:v>6</x:v>
      </x:c>
      <x:c r="C70" s="13" t="n">
        <x:v>423</x:v>
      </x:c>
      <x:c r="D70" s="9" t="str">
        <x:v> "bao_endpoint": "BAO_0000192", "bao_format": "BAO_0000219", "bao_label": "cell-based format", "canonical_smiles": "Cc1ncoc1-c1nnc(SCCCN2CC[C@]3(C[C@H]3c3ccccc3)C2)n1C", "data_validity_comment": null, "data_validity_description": null, "document_chembl_id": "CHEMBL3853329", "document_journal": "J Med Chem", "document_year": 2016, "ligand_efficiency": {"bei": "14.65", "le": "0.28", "lle": "1.86", "</x:v>
      </x:c>
    </x:row>
    <x:row r="71" ht="66" customHeight="1">
      <x:c r="A71" s="14" t="str">
        <x:v>frozen/raw/activities_page_000.json</x:v>
      </x:c>
      <x:c r="B71" s="17" t="n">
        <x:v>7</x:v>
      </x:c>
      <x:c r="C71" s="17" t="n">
        <x:v>423</x:v>
      </x:c>
      <x:c r="D71" s="14" t="str">
        <x:v>sei": "10.00"}, "modality": null, "molecule_chembl_id": "CHEMBL3958494", "molecule_pref_name": null, "parent_molecule_chembl_id": "CHEMBL3958494", "pchembl_value": "6.00", "potential_duplicate": 0, "qudt_units": "http://www.openphacts.org/units/Nanomolar", "record_id": 2796774, "relation": "=", "src_id": 1, "standard_flag": 1, "standard_relation": "=", "standard_text_value": null, "standard_type":</x:v>
      </x:c>
    </x:row>
    <x:row r="72" ht="66" customHeight="1">
      <x:c r="A72" s="9" t="str">
        <x:v>frozen/raw/activities_page_000.json</x:v>
      </x:c>
      <x:c r="B72" s="13" t="n">
        <x:v>8</x:v>
      </x:c>
      <x:c r="C72" s="13" t="n">
        <x:v>423</x:v>
      </x:c>
      <x:c r="D72" s="9" t="str">
        <x:v> "Ki", "standard_units": "nM", "standard_upper_value": null, "standard_value": "1000.0", "target_chembl_id": "CHEMBL217", "target_organism": "Homo sapiens", "target_pref_name": "D(2) dopamine receptor", "target_tax_id": "9606", "text_value": null, "toid": null, "type": "pKi", "units": null, "uo_units": "UO_0000065", "upper_value": null, "value": "6.0"}, {"action_type": null, "activity_comment": nu</x:v>
      </x:c>
    </x:row>
    <x:row r="73" ht="66" customHeight="1">
      <x:c r="A73" s="14" t="str">
        <x:v>frozen/raw/activities_page_000.json</x:v>
      </x:c>
      <x:c r="B73" s="17" t="n">
        <x:v>9</x:v>
      </x:c>
      <x:c r="C73" s="17" t="n">
        <x:v>423</x:v>
      </x:c>
      <x:c r="D73" s="14" t="str">
        <x:v>ll, "activity_id": 16670135,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x:v>
      </x:c>
    </x:row>
    <x:row r="74" ht="66" customHeight="1">
      <x:c r="A74" s="9" t="str">
        <x:v>frozen/raw/activities_page_000.json</x:v>
      </x:c>
      <x:c r="B74" s="13" t="n">
        <x:v>10</x:v>
      </x:c>
      <x:c r="C74" s="13" t="n">
        <x:v>423</x:v>
      </x:c>
      <x:c r="D74" s="9" t="str">
        <x:v>bao_format": "BAO_0000219", "bao_label": "cell-based format", "canonical_smiles": "Cc1ncoc1-c1nnc(SCCCN2CC[C@]3(C[C@H]3c3ccccc3)C2)n1C", "data_validity_comment": null, "data_validity_description": null, "document_chembl_id": "CHEMBL3853329", "document_journal": "J Med Chem", "document_year": 2016, "ligand_efficiency": {"bei": "15.36", "le": "0.30", "lle": "2.15", "sei": "10.49"}, "modality": null,</x:v>
      </x:c>
    </x:row>
    <x:row r="75" ht="66" customHeight="1">
      <x:c r="A75" s="14" t="str">
        <x:v>frozen/raw/activities_page_000.json</x:v>
      </x:c>
      <x:c r="B75" s="17" t="n">
        <x:v>11</x:v>
      </x:c>
      <x:c r="C75" s="17" t="n">
        <x:v>423</x:v>
      </x:c>
      <x:c r="D75" s="14" t="str">
        <x:v> "molecule_chembl_id": "CHEMBL3958494", "molecule_pref_name": null, "parent_molecule_chembl_id": "CHEMBL3958494", "pchembl_value": "6.29", "potential_duplicate": 0, "qudt_units": "http://www.openphacts.org/units/Nanomolar", "record_id": 2796775, "relation": "=", "src_id": 1, "standard_flag": 1, "standard_relation": "=", "standard_text_value": null, "standard_type": "Ki", "standard_units": "nM", "s</x:v>
      </x:c>
    </x:row>
    <x:row r="76" ht="66" customHeight="1">
      <x:c r="A76" s="9" t="str">
        <x:v>frozen/raw/activities_page_000.json</x:v>
      </x:c>
      <x:c r="B76" s="13" t="n">
        <x:v>12</x:v>
      </x:c>
      <x:c r="C76" s="13" t="n">
        <x:v>423</x:v>
      </x:c>
      <x:c r="D76" s="9" t="str">
        <x:v>tandard_upper_value": null, "standard_value": "512.86", "target_chembl_id": "CHEMBL217", "target_organism": "Homo sapiens", "target_pref_name": "D(2) dopamine receptor", "target_tax_id": "9606", "text_value": null, "toid": null, "type": "pKi", "units": null, "uo_units": "UO_0000065", "upper_value": null, "value": "6.29"}, {"action_type": null, "activity_comment": null, "activity_id": 16670136, "ac</x:v>
      </x:c>
    </x:row>
    <x:row r="77" ht="66" customHeight="1">
      <x:c r="A77" s="14" t="str">
        <x:v>frozen/raw/activities_page_000.json</x:v>
      </x:c>
      <x:c r="B77" s="17" t="n">
        <x:v>13</x:v>
      </x:c>
      <x:c r="C77" s="17" t="n">
        <x:v>423</x:v>
      </x:c>
      <x:c r="D77" s="14" t="str">
        <x:v>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x:v>
      </x:c>
    </x:row>
    <x:row r="78" ht="66" customHeight="1">
      <x:c r="A78" s="9" t="str">
        <x:v>frozen/raw/activities_page_000.json</x:v>
      </x:c>
      <x:c r="B78" s="13" t="n">
        <x:v>14</x:v>
      </x:c>
      <x:c r="C78" s="13" t="n">
        <x:v>423</x:v>
      </x:c>
      <x:c r="D78" s="9" t="str">
        <x:v>_label": "cell-based format", "canonical_smiles": "Cc1ncoc1-c1nnc(SCCCN2CC[C@@]3(C[C@@H]3c3ccccc3)C2)n1C", "data_validity_comment": null, "data_validity_description": null, "document_chembl_id": "CHEMBL3853329", "document_journal": "J Med Chem", "document_year": 2016, "ligand_efficiency": {"bei": "15.02", "le": "0.29", "lle": "2.01", "sei": "10.25"}, "modality": null, "molecule_chembl_id": "CHEMBL</x:v>
      </x:c>
    </x:row>
    <x:row r="79" ht="66" customHeight="1">
      <x:c r="A79" s="14" t="str">
        <x:v>frozen/raw/activities_page_000.json</x:v>
      </x:c>
      <x:c r="B79" s="17" t="n">
        <x:v>15</x:v>
      </x:c>
      <x:c r="C79" s="17" t="n">
        <x:v>423</x:v>
      </x:c>
      <x:c r="D79" s="14" t="str">
        <x:v>3901211", "molecule_pref_name": null, "parent_molecule_chembl_id": "CHEMBL3901211", "pchembl_value": "6.15", "potential_duplicate": 0, "qudt_units": "http://www.openphacts.org/units/Nanomolar", "record_id": 2796776, "relation": "=", "src_id": 1, "standard_flag": 1, "standard_relation": "=", "standard_text_value": null, "standard_type": "Ki", "standard_units": "nM", "standard_upper_value": null, "s</x:v>
      </x:c>
    </x:row>
    <x:row r="80" ht="66" customHeight="1">
      <x:c r="A80" s="9" t="str">
        <x:v>frozen/raw/activities_page_000.json</x:v>
      </x:c>
      <x:c r="B80" s="13" t="n">
        <x:v>16</x:v>
      </x:c>
      <x:c r="C80" s="13" t="n">
        <x:v>423</x:v>
      </x:c>
      <x:c r="D80" s="9" t="str">
        <x:v>tandard_value": "707.95", "target_chembl_id": "CHEMBL217", "target_organism": "Homo sapiens", "target_pref_name": "D(2) dopamine receptor", "target_tax_id": "9606", "text_value": null, "toid": null, "type": "pKi", "units": null, "uo_units": "UO_0000065", "upper_value": null, "value": "6.15"}, {"action_type": null, "activity_comment": null, "activity_id": 16670137, "activity_properties": [], "assay</x:v>
      </x:c>
    </x:row>
    <x:row r="81" ht="66" customHeight="1">
      <x:c r="A81" s="14" t="str">
        <x:v>frozen/raw/activities_page_000.json</x:v>
      </x:c>
      <x:c r="B81" s="17" t="n">
        <x:v>17</x:v>
      </x:c>
      <x:c r="C81" s="17" t="n">
        <x:v>423</x:v>
      </x:c>
      <x:c r="D81" s="14" t="str">
        <x:v>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x:v>
      </x:c>
    </x:row>
    <x:row r="82" ht="66" customHeight="1">
      <x:c r="A82" s="9" t="str">
        <x:v>frozen/raw/activities_page_000.json</x:v>
      </x:c>
      <x:c r="B82" s="13" t="n">
        <x:v>18</x:v>
      </x:c>
      <x:c r="C82" s="13" t="n">
        <x:v>423</x:v>
      </x:c>
      <x:c r="D82" s="9" t="str">
        <x:v>"canonical_smiles": "Cc1ncoc1-c1nnc(SCCCN2CC[C@]3(C[C@@H]3c3ccccc3)C2)n1C", "data_validity_comment": null, "data_validity_description": null, "document_chembl_id": "CHEMBL3853329", "document_journal": "J Med Chem", "document_year": 2016, "ligand_efficiency": {"bei": "14.72", "le": "0.28", "lle": "1.89", "sei": "10.05"}, "modality": null, "molecule_chembl_id": "CHEMBL3913062", "molecule_pref_name":</x:v>
      </x:c>
    </x:row>
    <x:row r="83" ht="66" customHeight="1">
      <x:c r="A83" s="14" t="str">
        <x:v>frozen/raw/activities_page_000.json</x:v>
      </x:c>
      <x:c r="B83" s="17" t="n">
        <x:v>19</x:v>
      </x:c>
      <x:c r="C83" s="17" t="n">
        <x:v>423</x:v>
      </x:c>
      <x:c r="D83" s="14" t="str">
        <x:v> null, "parent_molecule_chembl_id": "CHEMBL3913062", "pchembl_value": "6.03", "potential_duplicate": 0, "qudt_units": "http://www.openphacts.org/units/Nanomolar", "record_id": 2796777, "relation": "=", "src_id": 1, "standard_flag": 1, "standard_relation": "=", "standard_text_value": null, "standard_type": "Ki", "standard_units": "nM", "standard_upper_value": null, "standard_value": "933.25", "targ</x:v>
      </x:c>
    </x:row>
    <x:row r="84" ht="66" customHeight="1">
      <x:c r="A84" s="9" t="str">
        <x:v>frozen/raw/activities_page_000.json</x:v>
      </x:c>
      <x:c r="B84" s="13" t="n">
        <x:v>20</x:v>
      </x:c>
      <x:c r="C84" s="13" t="n">
        <x:v>423</x:v>
      </x:c>
      <x:c r="D84" s="9" t="str">
        <x:v>et_chembl_id": "CHEMBL217", "target_organism": "Homo sapiens", "target_pref_name": "D(2) dopamine receptor", "target_tax_id": "9606", "text_value": null, "toid": null, "type": "pKi", "units": null, "uo_units": "UO_0000065", "upper_value": null, "value": "6.03"}, {"action_type": null, "activity_comment": null, "activity_id": 16670138, "activity_properties": [], "assay_chembl_id": "CHEMBL3855278", "</x:v>
      </x:c>
    </x:row>
    <x:row r="85" ht="66" customHeight="1">
      <x:c r="A85" s="14" t="str">
        <x:v>frozen/raw/activities_page_000.json</x:v>
      </x:c>
      <x:c r="B85" s="17" t="n">
        <x:v>21</x:v>
      </x:c>
      <x:c r="C85" s="17" t="n">
        <x:v>423</x:v>
      </x:c>
      <x:c r="D85" s="14" t="str">
        <x:v>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x:v>
      </x:c>
    </x:row>
    <x:row r="86" ht="66" customHeight="1">
      <x:c r="A86" s="9" t="str">
        <x:v>frozen/raw/activities_page_000.json</x:v>
      </x:c>
      <x:c r="B86" s="13" t="n">
        <x:v>22</x:v>
      </x:c>
      <x:c r="C86" s="13" t="n">
        <x:v>423</x:v>
      </x:c>
      <x:c r="D86" s="9" t="str">
        <x:v>1nnc(SCCCN2CC[C@]3(C[C@@H]3c3ccccc3)C2)n1C", "data_validity_comment": null, "data_validity_description": null, "document_chembl_id": "CHEMBL3853329", "document_journal": "J Med Chem", "document_year": 2016, "ligand_efficiency": {"bei": "11.65", "le": "0.22", "lle": "0.63", "sei": "7.95"}, "modality": null, "molecule_chembl_id": "CHEMBL3913062", "molecule_pref_name": null, "parent_molecule_chembl_i</x:v>
      </x:c>
    </x:row>
    <x:row r="87" ht="66" customHeight="1">
      <x:c r="A87" s="14" t="str">
        <x:v>frozen/raw/activities_page_000.json</x:v>
      </x:c>
      <x:c r="B87" s="17" t="n">
        <x:v>23</x:v>
      </x:c>
      <x:c r="C87" s="17" t="n">
        <x:v>423</x:v>
      </x:c>
      <x:c r="D87" s="14" t="str">
        <x:v>d": "CHEMBL3913062", "pchembl_value": "4.77", "potential_duplicate": 0, "qudt_units": "http://www.openphacts.org/units/Nanomolar", "record_id": 2796778, "relation": "=", "src_id": 1, "standard_flag": 1, "standard_relation": "=", "standard_text_value": null, "standard_type": "Ki", "standard_units": "nM", "standard_upper_value": null, "standard_value": "16982.44", "target_chembl_id": "CHEMBL217", "t</x:v>
      </x:c>
    </x:row>
    <x:row r="88" ht="66" customHeight="1">
      <x:c r="A88" s="9" t="str">
        <x:v>frozen/raw/activities_page_000.json</x:v>
      </x:c>
      <x:c r="B88" s="13" t="n">
        <x:v>24</x:v>
      </x:c>
      <x:c r="C88" s="13" t="n">
        <x:v>423</x:v>
      </x:c>
      <x:c r="D88" s="9" t="str">
        <x:v>arget_organism": "Homo sapiens", "target_pref_name": "D(2) dopamine receptor", "target_tax_id": "9606", "text_value": null, "toid": null, "type": "pKi", "units": null, "uo_units": "UO_0000065", "upper_value": null, "value": "4.77"}, {"action_type": null, "activity_comment": null, "activity_id": 16670139, "activity_properties": [], "assay_chembl_id": "CHEMBL3855278", "assay_description": "Displacem</x:v>
      </x:c>
    </x:row>
    <x:row r="89" ht="66" customHeight="1">
      <x:c r="A89" s="14" t="str">
        <x:v>frozen/raw/activities_page_000.json</x:v>
      </x:c>
      <x:c r="B89" s="17" t="n">
        <x:v>25</x:v>
      </x:c>
      <x:c r="C89" s="17" t="n">
        <x:v>423</x:v>
      </x:c>
      <x:c r="D89" s="14" t="str">
        <x:v>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x:v>
      </x:c>
    </x:row>
    <x:row r="90" ht="66" customHeight="1">
      <x:c r="A90" s="9" t="str">
        <x:v>frozen/raw/activities_page_000.json</x:v>
      </x:c>
      <x:c r="B90" s="13" t="n">
        <x:v>26</x:v>
      </x:c>
      <x:c r="C90" s="13" t="n">
        <x:v>423</x:v>
      </x:c>
      <x:c r="D90" s="9" t="str">
        <x:v>cccc3)C2)n1C", "data_validity_comment": null, "data_validity_description": null, "document_chembl_id": "CHEMBL3853329", "document_journal": "J Med Chem", "document_year": 2016, "ligand_efficiency": {"bei": "14.89", "le": "0.29", "lle": "1.96", "sei": "10.17"}, "modality": null, "molecule_chembl_id": "CHEMBL3983937", "molecule_pref_name": null, "parent_molecule_chembl_id": "CHEMBL3983937", "pchembl</x:v>
      </x:c>
    </x:row>
    <x:row r="91" ht="66" customHeight="1">
      <x:c r="A91" s="14" t="str">
        <x:v>frozen/raw/activities_page_000.json</x:v>
      </x:c>
      <x:c r="B91" s="17" t="n">
        <x:v>27</x:v>
      </x:c>
      <x:c r="C91" s="17" t="n">
        <x:v>423</x:v>
      </x:c>
      <x:c r="D91" s="14" t="str">
        <x:v>_value": "6.10", "potential_duplicate": 0, "qudt_units": "http://www.openphacts.org/units/Nanomolar", "record_id": 2796779, "relation": "=", "src_id": 1, "standard_flag": 1, "standard_relation": "=", "standard_text_value": null, "standard_type": "Ki", "standard_units": "nM", "standard_upper_value": null, "standard_value": "794.33", "target_chembl_id": "CHEMBL217", "target_organism": "Homo sapiens"</x:v>
      </x:c>
    </x:row>
    <x:row r="92" ht="66" customHeight="1">
      <x:c r="A92" s="9" t="str">
        <x:v>frozen/raw/activities_page_000.json</x:v>
      </x:c>
      <x:c r="B92" s="13" t="n">
        <x:v>28</x:v>
      </x:c>
      <x:c r="C92" s="13" t="n">
        <x:v>423</x:v>
      </x:c>
      <x:c r="D92" s="9" t="str">
        <x:v>, "target_pref_name": "D(2) dopamine receptor", "target_tax_id": "9606", "text_value": null, "toid": null, "type": "pKi", "units": null, "uo_units": "UO_0000065", "upper_value": null, "value": "6.1"}, {"action_type": null, "activity_comment": null, "activity_id": 16670140, "activity_properties": [], "assay_chembl_id": "CHEMBL3855278", "assay_description": "Displacement of [3H]-spiperone from human</x:v>
      </x:c>
    </x:row>
    <x:row r="93" ht="66" customHeight="1">
      <x:c r="A93" s="14" t="str">
        <x:v>frozen/raw/activities_page_000.json</x:v>
      </x:c>
      <x:c r="B93" s="17" t="n">
        <x:v>29</x:v>
      </x:c>
      <x:c r="C93" s="17" t="n">
        <x:v>423</x:v>
      </x:c>
      <x:c r="D93" s="14" t="str">
        <x:v>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"Cc1ncoc1-c1nnc(SCCCN2CC[C@]3(C[C@H]3c3ccc(C(F)(F)F)cc3)C2)n1C", "data_va</x:v>
      </x:c>
    </x:row>
    <x:row r="94" ht="66" customHeight="1">
      <x:c r="A94" s="9" t="str">
        <x:v>frozen/raw/activities_page_000.json</x:v>
      </x:c>
      <x:c r="B94" s="13" t="n">
        <x:v>30</x:v>
      </x:c>
      <x:c r="C94" s="13" t="n">
        <x:v>423</x:v>
      </x:c>
      <x:c r="D94" s="9" t="str">
        <x:v>lidity_comment": null, "data_validity_description": null, "document_chembl_id": "CHEMBL3853329", "document_journal": "J Med Chem", "document_year": 2016, "ligand_efficiency": {"bei": "12.94", "le": "0.26", "lle": "1.02", "sei": "10.30"}, "modality": null, "molecule_chembl_id": "CHEMBL3913607", "molecule_pref_name": null, "parent_molecule_chembl_id": "CHEMBL3913607", "pchembl_value": "6.18", "poten</x:v>
      </x:c>
    </x:row>
    <x:row r="95" ht="66" customHeight="1">
      <x:c r="A95" s="14" t="str">
        <x:v>frozen/raw/activities_page_000.json</x:v>
      </x:c>
      <x:c r="B95" s="17" t="n">
        <x:v>31</x:v>
      </x:c>
      <x:c r="C95" s="17" t="n">
        <x:v>423</x:v>
      </x:c>
      <x:c r="D95" s="14" t="str">
        <x:v>tial_duplicate": 0, "qudt_units": "http://www.openphacts.org/units/Nanomolar", "record_id": 2796780, "relation": "=", "src_id": 1, "standard_flag": 1, "standard_relation": "=", "standard_text_value": null, "standard_type": "Ki", "standard_units": "nM", "standard_upper_value": null, "standard_value": "660.69", "target_chembl_id": "CHEMBL217", "target_organism": "Homo sapiens", "target_pref_name": "</x:v>
      </x:c>
    </x:row>
    <x:row r="96" ht="66" customHeight="1">
      <x:c r="A96" s="9" t="str">
        <x:v>frozen/raw/activities_page_000.json</x:v>
      </x:c>
      <x:c r="B96" s="13" t="n">
        <x:v>32</x:v>
      </x:c>
      <x:c r="C96" s="13" t="n">
        <x:v>423</x:v>
      </x:c>
      <x:c r="D96" s="9" t="str">
        <x:v>D(2) dopamine receptor", "target_tax_id": "9606", "text_value": null, "toid": null, "type": "pKi", "units": null, "uo_units": "UO_0000065", "upper_value": null, "value": "6.18"}, {"action_type": null, "activity_comment": null, "activity_id": 16670141, "activity_properties": [], "assay_chembl_id": "CHEMBL3855278", "assay_description": "Displacement of [3H]-spiperone from human dopamine D2 receptor </x:v>
      </x:c>
    </x:row>
    <x:row r="97" ht="66" customHeight="1">
      <x:c r="A97" s="14" t="str">
        <x:v>frozen/raw/activities_page_000.json</x:v>
      </x:c>
      <x:c r="B97" s="17" t="n">
        <x:v>33</x:v>
      </x:c>
      <x:c r="C97" s="17" t="n">
        <x:v>423</x:v>
      </x:c>
      <x:c r="D97" s="14" t="str">
        <x:v>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"Cc1ncoc1-c1nnc(SCCCN2CC[C@]3(C[C@H]3c3ccc(C(F)(F)F)cc3)C2)n1C", "data_validity_comment": null,</x:v>
      </x:c>
    </x:row>
    <x:row r="98" ht="66" customHeight="1">
      <x:c r="A98" s="9" t="str">
        <x:v>frozen/raw/activities_page_000.json</x:v>
      </x:c>
      <x:c r="B98" s="13" t="n">
        <x:v>34</x:v>
      </x:c>
      <x:c r="C98" s="13" t="n">
        <x:v>423</x:v>
      </x:c>
      <x:c r="D98" s="9" t="str">
        <x:v> "data_validity_description": null, "document_chembl_id": "CHEMBL3853329", "document_journal": "J Med Chem", "document_year": 2016, "ligand_efficiency": {"bei": "12.67", "le": "0.25", "lle": "0.89", "sei": "10.09"}, "modality": null, "molecule_chembl_id": "CHEMBL3913607", "molecule_pref_name": null, "parent_molecule_chembl_id": "CHEMBL3913607", "pchembl_value": "6.05", "potential_duplicate": 0, "q</x:v>
      </x:c>
    </x:row>
    <x:row r="99" ht="66" customHeight="1">
      <x:c r="A99" s="14" t="str">
        <x:v>frozen/raw/activities_page_000.json</x:v>
      </x:c>
      <x:c r="B99" s="17" t="n">
        <x:v>35</x:v>
      </x:c>
      <x:c r="C99" s="17" t="n">
        <x:v>423</x:v>
      </x:c>
      <x:c r="D99" s="14" t="str">
        <x:v>udt_units": "http://www.openphacts.org/units/Nanomolar", "record_id": 2796781, "relation": "=", "src_id": 1, "standard_flag": 1, "standard_relation": "=", "standard_text_value": null, "standard_type": "Ki", "standard_units": "nM", "standard_upper_value": null, "standard_value": "891.25", "target_chembl_id": "CHEMBL217", "target_organism": "Homo sapiens", "target_pref_name": "D(2) dopamine receptor</x:v>
      </x:c>
    </x:row>
    <x:row r="100" ht="66" customHeight="1">
      <x:c r="A100" s="9" t="str">
        <x:v>frozen/raw/activities_page_000.json</x:v>
      </x:c>
      <x:c r="B100" s="13" t="n">
        <x:v>36</x:v>
      </x:c>
      <x:c r="C100" s="13" t="n">
        <x:v>423</x:v>
      </x:c>
      <x:c r="D100" s="9" t="str">
        <x:v>", "target_tax_id": "9606", "text_value": null, "toid": null, "type": "pKi", "units": null, "uo_units": "UO_0000065", "upper_value": null, "value": "6.05"}, {"action_type": null, "activity_comment": null, "activity_id": 16670142, "activity_properties": [], "assay_chembl_id": "CHEMBL3855278", "assay_description": "Displacement of [3H]-spiperone from human dopamine D2 receptor expressed in CHO-K1 ce</x:v>
      </x:c>
    </x:row>
    <x:row r="101" ht="66" customHeight="1">
      <x:c r="A101" s="14" t="str">
        <x:v>frozen/raw/activities_page_000.json</x:v>
      </x:c>
      <x:c r="B101" s="17" t="n">
        <x:v>37</x:v>
      </x:c>
      <x:c r="C101" s="17" t="n">
        <x:v>423</x:v>
      </x:c>
      <x:c r="D101" s="14" t="str">
        <x:v>ll membranes coexpressing Galpha16 after 120 mins by liquid scintillation counting", "assay_type": "B", "assay_variant_accession": null, "assay_variant_mutation": null, "bao_endpoint": "BAO_0000192", "bao_format": "BAO_0000219", "bao_label": "cell-based format", "canonical_smiles": "Cc1ncoc1-c1nnc(SCCCN2CC[C@@]3(C[C@@H]3c3ccc(C(F)(F)F)cc3)C2)n1C", "data_validity_comment": null, "data_validity_desc</x:v>
      </x:c>
    </x:row>
    <x:row r="102" ht="66" customHeight="1">
      <x:c r="A102" s="9" t="str">
        <x:v>frozen/raw/activities_page_000.json</x:v>
      </x:c>
      <x:c r="B102" s="13" t="n">
        <x:v>38</x:v>
      </x:c>
      <x:c r="C102" s="13" t="n">
        <x:v>423</x:v>
      </x:c>
      <x:c r="D102" s="9" t="str">
        <x:v>ription": null, "document_chembl_id": "CHEMBL3853329", "document_journal": "J Med Chem", "document_year": 2016, "ligand_efficiency": {"bei": "12.98", "le": "0.26", "lle": "1.04", "sei": "10.34"}, "modality": null, "molecule_chembl_id": "CHEMBL3944642", "molecule_pref_name": null, "parent_molecule_chembl_id": "CHEMBL3944642", "pchembl_value": "6.20", "potential_duplicate": 0, "qudt_units": "http://</x:v>
      </x:c>
    </x:row>
    <x:row r="103" ht="66" customHeight="1">
      <x:c r="A103" s="14" t="str">
        <x:v>frozen/raw/activities_page_000.json</x:v>
      </x:c>
      <x:c r="B103" s="17" t="n">
        <x:v>39</x:v>
      </x:c>
      <x:c r="C103" s="17" t="n">
        <x:v>423</x:v>
      </x:c>
      <x:c r="D103" s="14" t="str">
        <x:v>www.openphacts.org/units/Nanomolar", "record_id": 2796782, "relation": "=", "src_id": 1, "standard_flag": 1, "standard_relation": "=", "standard_text_value": null, "standard_type": "Ki", "standard_units": "nM", "standard_upper_value": null, "standard_value": "630.96", "target_chembl_id": "CHEMBL217", "target_organism": "Homo sapiens", "target_pref_name": "D(2) dopamine receptor", "target_tax_id": </x:v>
      </x:c>
    </x:row>
    <x:row r="104" ht="66" customHeight="1">
      <x:c r="A104" s="9" t="str">
        <x:v>frozen/raw/activities_page_000.json</x:v>
      </x:c>
      <x:c r="B104" s="13" t="n">
        <x:v>40</x:v>
      </x:c>
      <x:c r="C104" s="13" t="n">
        <x:v>423</x:v>
      </x:c>
      <x:c r="D104" s="9" t="str">
        <x:v>"9606", "text_value": null, "toid": null, "type": "pKi", "units": null, "uo_units": "UO_0000065", "upper_value": null, "value": "6.2"}, {"action_type": null, "activity_comment": null, "activity_id": 16670143, "activity_properties": [], "assay_chembl_id": "CHEMBL3855278", "assay_description": "Displacement of [3H]-spiperone from human dopamine D2 receptor expressed in CHO-K1 cell membranes coexpres</x:v>
      </x:c>
    </x:row>
    <x:row r="105" ht="66" customHeight="1">
      <x:c r="A105" s="14" t="str">
        <x:v>frozen/raw/activities_page_000.json</x:v>
      </x:c>
      <x:c r="B105" s="17" t="n">
        <x:v>41</x:v>
      </x:c>
      <x:c r="C105" s="17" t="n">
        <x:v>423</x:v>
      </x:c>
      <x:c r="D105" s="14" t="str">
        <x:v>sing Galpha16 after 120 mins by liquid scintillation counting", "assay_type": "B", "assay_variant_accession": null, "assay_variant_mutation": null, "bao_endpoint": "BAO_0000192", "bao_format": "BAO_0000219", "bao_label": "cell-based format", "canonical_smiles": "Cc1ncoc1-c1nnc(SCCCN2CC[C@]3(C[C@@H]3c3ccc(C(F)(F)F)cc3)C2)n1C", "data_validity_comment": null, "data_validity_description": null, "docum</x:v>
      </x:c>
    </x:row>
    <x:row r="106" ht="66" customHeight="1">
      <x:c r="A106" s="9" t="str">
        <x:v>frozen/raw/activities_page_000.json</x:v>
      </x:c>
      <x:c r="B106" s="13" t="n">
        <x:v>42</x:v>
      </x:c>
      <x:c r="C106" s="13" t="n">
        <x:v>423</x:v>
      </x:c>
      <x:c r="D106" s="9" t="str">
        <x:v>ent_chembl_id": "CHEMBL3853329", "document_journal": "J Med Chem", "document_year": 2016, "ligand_efficiency": {"bei": "13.67", "le": "0.27", "lle": "1.37", "sei": "10.89"}, "modality": null, "molecule_chembl_id": "CHEMBL3935692", "molecule_pref_name": null, "parent_molecule_chembl_id": "CHEMBL3935692", "pchembl_value": "6.53", "potential_duplicate": 0, "qudt_units": "http://www.openphacts.org/uni</x:v>
      </x:c>
    </x:row>
    <x:row r="107" ht="66" customHeight="1">
      <x:c r="A107" s="14" t="str">
        <x:v>frozen/raw/activities_page_000.json</x:v>
      </x:c>
      <x:c r="B107" s="17" t="n">
        <x:v>43</x:v>
      </x:c>
      <x:c r="C107" s="17" t="n">
        <x:v>423</x:v>
      </x:c>
      <x:c r="D107" s="14" t="str">
        <x:v>ts/Nanomolar", "record_id": 2796783, "relation": "=", "src_id": 1, "standard_flag": 1, "standard_relation": "=", "standard_text_value": null, "standard_type": "Ki", "standard_units": "nM", "standard_upper_value": null, "standard_value": "295.12", "target_chembl_id": "CHEMBL217", "target_organism": "Homo sapiens", "target_pref_name": "D(2) dopamine receptor", "target_tax_id": "9606", "text_value": </x:v>
      </x:c>
    </x:row>
    <x:row r="108" ht="66" customHeight="1">
      <x:c r="A108" s="9" t="str">
        <x:v>frozen/raw/activities_page_000.json</x:v>
      </x:c>
      <x:c r="B108" s="13" t="n">
        <x:v>44</x:v>
      </x:c>
      <x:c r="C108" s="13" t="n">
        <x:v>423</x:v>
      </x:c>
      <x:c r="D108" s="9" t="str">
        <x:v>null, "toid": null, "type": "pKi", "units": null, "uo_units": "UO_0000065", "upper_value": null, "value": "6.53"}, {"action_type": null, "activity_comment": null, "activity_id": 16670144, "activity_properties": [], "assay_chembl_id": "CHEMBL3855278", "assay_description": "Displacement of [3H]-spiperone from human dopamine D2 receptor expressed in CHO-K1 cell membranes coexpressing Galpha16 after 1</x:v>
      </x:c>
    </x:row>
    <x:row r="109" ht="66" customHeight="1">
      <x:c r="A109" s="14" t="str">
        <x:v>frozen/raw/activities_page_000.json</x:v>
      </x:c>
      <x:c r="B109" s="17" t="n">
        <x:v>45</x:v>
      </x:c>
      <x:c r="C109" s="17" t="n">
        <x:v>423</x:v>
      </x:c>
      <x:c r="D109" s="14" t="str">
        <x:v>20 mins by liquid scintillation counting", "assay_type": "B", "assay_variant_accession": null, "assay_variant_mutation": null, "bao_endpoint": "BAO_0000192", "bao_format": "BAO_0000219", "bao_label": "cell-based format", "canonical_smiles": "Cc1ncoc1-c1nnc(SCCCN2CC[C@]3(C[C@@H]3c3ccc(C(F)(F)F)cc3)C2)n1C", "data_validity_comment": null, "data_validity_description": null, "document_chembl_id": "CHEM</x:v>
      </x:c>
    </x:row>
    <x:row r="110" ht="66" customHeight="1">
      <x:c r="A110" s="9" t="str">
        <x:v>frozen/raw/activities_page_000.json</x:v>
      </x:c>
      <x:c r="B110" s="13" t="n">
        <x:v>46</x:v>
      </x:c>
      <x:c r="C110" s="13" t="n">
        <x:v>423</x:v>
      </x:c>
      <x:c r="D110" s="9" t="str">
        <x:v>BL3853329", "document_journal": "J Med Chem", "document_year": 2016, "ligand_efficiency": {"bei": "13.97", "le": "0.28", "lle": "1.51", "sei": "11.12"}, "modality": null, "molecule_chembl_id": "CHEMBL3935692", "molecule_pref_name": null, "parent_molecule_chembl_id": "CHEMBL3935692", "pchembl_value": "6.67", "potential_duplicate": 0, "qudt_units": "http://www.openphacts.org/units/Nanomolar", "recor</x:v>
      </x:c>
    </x:row>
    <x:row r="111" ht="66" customHeight="1">
      <x:c r="A111" s="14" t="str">
        <x:v>frozen/raw/activities_page_000.json</x:v>
      </x:c>
      <x:c r="B111" s="17" t="n">
        <x:v>47</x:v>
      </x:c>
      <x:c r="C111" s="17" t="n">
        <x:v>423</x:v>
      </x:c>
      <x:c r="D111" s="14" t="str">
        <x:v>d_id": 2796784, "relation": "=", "src_id": 1, "standard_flag": 1, "standard_relation": "=", "standard_text_value": null, "standard_type": "Ki", "standard_units": "nM", "standard_upper_value": null, "standard_value": "213.8", "target_chembl_id": "CHEMBL217", "target_organism": "Homo sapiens", "target_pref_name": "D(2) dopamine receptor", "target_tax_id": "9606", "text_value": null, "toid": null, "t</x:v>
      </x:c>
    </x:row>
    <x:row r="112" ht="66" customHeight="1">
      <x:c r="A112" s="9" t="str">
        <x:v>frozen/raw/activities_page_000.json</x:v>
      </x:c>
      <x:c r="B112" s="13" t="n">
        <x:v>48</x:v>
      </x:c>
      <x:c r="C112" s="13" t="n">
        <x:v>423</x:v>
      </x:c>
      <x:c r="D112" s="9" t="str">
        <x:v>ype": "pKi", "units": null, "uo_units": "UO_0000065", "upper_value": null, "value": "6.67"}, {"action_type": null, "activity_comment": "Not Determined", "activity_id": 16670145, "activity_properties": [], "assay_chembl_id": "CHEMBL3855278", "assay_description": "Displacement of [3H]-spiperone from human dopamine D2 receptor expressed in CHO-K1 cell membranes coexpressing Galpha16 after 120 mins by</x:v>
      </x:c>
    </x:row>
    <x:row r="113" ht="66" customHeight="1">
      <x:c r="A113" s="14" t="str">
        <x:v>frozen/raw/activities_page_000.json</x:v>
      </x:c>
      <x:c r="B113" s="17" t="n">
        <x:v>49</x:v>
      </x:c>
      <x:c r="C113" s="17" t="n">
        <x:v>423</x:v>
      </x:c>
      <x:c r="D113" s="14" t="str">
        <x:v> liquid scintillation counting", "assay_type": "B", "assay_variant_accession": null, "assay_variant_mutation": null, "bao_endpoint": "BAO_0000179", "bao_format": "BAO_0000219", "bao_label": "cell-based format", "canonical_smiles": "Cc1ncoc1-c1nnc(SCCCN2CC[C@@]3(C[C@H]3c3ccc(C(F)(F)F)cc3)C2)n1C", "data_validity_comment": null, "data_validity_description": null, "document_chembl_id": "CHEMBL3853329"</x:v>
      </x:c>
    </x:row>
    <x:row r="114" ht="66" customHeight="1">
      <x:c r="A114" s="9" t="str">
        <x:v>frozen/raw/activities_page_000.json</x:v>
      </x:c>
      <x:c r="B114" s="13" t="n">
        <x:v>50</x:v>
      </x:c>
      <x:c r="C114" s="13" t="n">
        <x:v>423</x:v>
      </x:c>
      <x:c r="D114" s="9" t="str">
        <x:v>, "document_journal": "J Med Chem", "document_year": 2016, "ligand_efficiency": null, "modality": null, "molecule_chembl_id": "CHEMBL3911264", "molecule_pref_name": null, "parent_molecule_chembl_id": "CHEMBL3911264", "pchembl_value": null, "potential_duplicate": 0, "qudt_units": null, "record_id": 2796785, "relation": null, "src_id": 1, "standard_flag": 0, "standard_relation": null, "standard_text</x:v>
      </x:c>
    </x:row>
    <x:row r="115" ht="66" customHeight="1">
      <x:c r="A115" s="14" t="str">
        <x:v>frozen/raw/activities_page_000.json</x:v>
      </x:c>
      <x:c r="B115" s="17" t="n">
        <x:v>51</x:v>
      </x:c>
      <x:c r="C115" s="17" t="n">
        <x:v>423</x:v>
      </x:c>
      <x:c r="D115" s="14" t="str">
        <x:v>_value": null, "standard_type": "pKi", "standard_units": null, "standard_upper_value": null, "standard_value": null, "target_chembl_id": "CHEMBL217", "target_organism": "Homo sapiens", "target_pref_name": "D(2) dopamine receptor", "target_tax_id": "9606", "text_value": null, "toid": null, "type": "pKi", "units": null, "uo_units": null, "upper_value": null, "value": null}, {"action_type": null, "ac</x:v>
      </x:c>
    </x:row>
    <x:row r="116" ht="66" customHeight="1">
      <x:c r="A116" s="9" t="str">
        <x:v>frozen/raw/activities_page_000.json</x:v>
      </x:c>
      <x:c r="B116" s="13" t="n">
        <x:v>52</x:v>
      </x:c>
      <x:c r="C116" s="13" t="n">
        <x:v>423</x:v>
      </x:c>
      <x:c r="D116" s="9" t="str">
        <x:v>tivity_comment": null, "activity_id": 16670146,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x:v>
      </x:c>
    </x:row>
    <x:row r="117" ht="66" customHeight="1">
      <x:c r="A117" s="14" t="str">
        <x:v>frozen/raw/activities_page_000.json</x:v>
      </x:c>
      <x:c r="B117" s="17" t="n">
        <x:v>53</x:v>
      </x:c>
      <x:c r="C117" s="17" t="n">
        <x:v>423</x:v>
      </x:c>
      <x:c r="D117" s="14" t="str">
        <x:v>": "BAO_0000192", "bao_format": "BAO_0000219", "bao_label": "cell-based format", "canonical_smiles": "Cc1ncoc1-c1nnc(SCCN2CC[C@]3(C[C@H]3c3ccc(C(F)(F)F)cc3)C2)n1C", "data_validity_comment": null, "data_validity_description": null, "document_chembl_id": "CHEMBL3853329", "document_journal": "J Med Chem", "document_year": 2016, "ligand_efficiency": {"bei": "13.57", "le": "0.27", "lle": "1.52", "sei":</x:v>
      </x:c>
    </x:row>
    <x:row r="118" ht="66" customHeight="1">
      <x:c r="A118" s="9" t="str">
        <x:v>frozen/raw/activities_page_000.json</x:v>
      </x:c>
      <x:c r="B118" s="13" t="n">
        <x:v>54</x:v>
      </x:c>
      <x:c r="C118" s="13" t="n">
        <x:v>423</x:v>
      </x:c>
      <x:c r="D118" s="9" t="str">
        <x:v> "10.49"}, "modality": null, "molecule_chembl_id": "CHEMBL3954568", "molecule_pref_name": null, "parent_molecule_chembl_id": "CHEMBL3954568", "pchembl_value": "6.29", "potential_duplicate": 0, "qudt_units": "http://www.openphacts.org/units/Nanomolar", "record_id": 2796786, "relation": "=", "src_id": 1, "standard_flag": 1, "standard_relation": "=", "standard_text_value": null, "standard_type": "Ki"</x:v>
      </x:c>
    </x:row>
    <x:row r="119" ht="66" customHeight="1">
      <x:c r="A119" s="14" t="str">
        <x:v>frozen/raw/activities_page_000.json</x:v>
      </x:c>
      <x:c r="B119" s="17" t="n">
        <x:v>55</x:v>
      </x:c>
      <x:c r="C119" s="17" t="n">
        <x:v>423</x:v>
      </x:c>
      <x:c r="D119" s="14" t="str">
        <x:v>, "standard_units": "nM", "standard_upper_value": null, "standard_value": "512.86", "target_chembl_id": "CHEMBL217", "target_organism": "Homo sapiens", "target_pref_name": "D(2) dopamine receptor", "target_tax_id": "9606", "text_value": null, "toid": null, "type": "pKi", "units": null, "uo_units": "UO_0000065", "upper_value": null, "value": "6.29"}, {"action_type": null, "activity_comment": null, </x:v>
      </x:c>
    </x:row>
    <x:row r="120" ht="66" customHeight="1">
      <x:c r="A120" s="9" t="str">
        <x:v>frozen/raw/activities_page_000.json</x:v>
      </x:c>
      <x:c r="B120" s="13" t="n">
        <x:v>56</x:v>
      </x:c>
      <x:c r="C120" s="13" t="n">
        <x:v>423</x:v>
      </x:c>
      <x:c r="D120" s="9" t="str">
        <x:v>"activity_id": 16670147,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x:v>
      </x:c>
    </x:row>
    <x:row r="121" ht="66" customHeight="1">
      <x:c r="A121" s="14" t="str">
        <x:v>frozen/raw/activities_page_000.json</x:v>
      </x:c>
      <x:c r="B121" s="17" t="n">
        <x:v>57</x:v>
      </x:c>
      <x:c r="C121" s="17" t="n">
        <x:v>423</x:v>
      </x:c>
      <x:c r="D121" s="14" t="str">
        <x:v>format": "BAO_0000219", "bao_label": "cell-based format", "canonical_smiles": "Cc1ncoc1-c1nnc(SCCN2CC[C@]3(C[C@H]3c3ccc(C(F)(F)F)cc3)C2)n1C", "data_validity_comment": null, "data_validity_description": null, "document_chembl_id": "CHEMBL3853329", "document_journal": "J Med Chem", "document_year": 2016, "ligand_efficiency": {"bei": "12.97", "le": "0.26", "lle": "1.24", "sei": "10.02"}, "modality": </x:v>
      </x:c>
    </x:row>
    <x:row r="122" ht="66" customHeight="1">
      <x:c r="A122" s="9" t="str">
        <x:v>frozen/raw/activities_page_000.json</x:v>
      </x:c>
      <x:c r="B122" s="13" t="n">
        <x:v>58</x:v>
      </x:c>
      <x:c r="C122" s="13" t="n">
        <x:v>423</x:v>
      </x:c>
      <x:c r="D122" s="9" t="str">
        <x:v>null, "molecule_chembl_id": "CHEMBL3954568", "molecule_pref_name": null, "parent_molecule_chembl_id": "CHEMBL3954568", "pchembl_value": "6.01", "potential_duplicate": 0, "qudt_units": "http://www.openphacts.org/units/Nanomolar", "record_id": 2796787, "relation": "=", "src_id": 1, "standard_flag": 1, "standard_relation": "=", "standard_text_value": null, "standard_type": "Ki", "standard_units": "nM</x:v>
      </x:c>
    </x:row>
    <x:row r="123" ht="66" customHeight="1">
      <x:c r="A123" s="14" t="str">
        <x:v>frozen/raw/activities_page_000.json</x:v>
      </x:c>
      <x:c r="B123" s="17" t="n">
        <x:v>59</x:v>
      </x:c>
      <x:c r="C123" s="17" t="n">
        <x:v>423</x:v>
      </x:c>
      <x:c r="D123" s="14" t="str">
        <x:v>", "standard_upper_value": null, "standard_value": "977.24", "target_chembl_id": "CHEMBL217", "target_organism": "Homo sapiens", "target_pref_name": "D(2) dopamine receptor", "target_tax_id": "9606", "text_value": null, "toid": null, "type": "pKi", "units": null, "uo_units": "UO_0000065", "upper_value": null, "value": "6.01"}, {"action_type": null, "activity_comment": null, "activity_id": 16670148</x:v>
      </x:c>
    </x:row>
    <x:row r="124" ht="66" customHeight="1">
      <x:c r="A124" s="9" t="str">
        <x:v>frozen/raw/activities_page_000.json</x:v>
      </x:c>
      <x:c r="B124" s="13" t="n">
        <x:v>60</x:v>
      </x:c>
      <x:c r="C124" s="13" t="n">
        <x:v>423</x:v>
      </x:c>
      <x:c r="D124" s="9" t="str">
        <x:v>,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x:v>
      </x:c>
    </x:row>
    <x:row r="125" ht="66" customHeight="1">
      <x:c r="A125" s="14" t="str">
        <x:v>frozen/raw/activities_page_000.json</x:v>
      </x:c>
      <x:c r="B125" s="17" t="n">
        <x:v>61</x:v>
      </x:c>
      <x:c r="C125" s="17" t="n">
        <x:v>423</x:v>
      </x:c>
      <x:c r="D125" s="14" t="str">
        <x:v> "bao_label": "cell-based format", "canonical_smiles": "Cc1ncoc1-c1nnc(SCCN2CC[C@@]3(C[C@@H]3c3ccc(C(F)(F)F)cc3)C2)n1C", "data_validity_comment": null, "data_validity_description": null, "document_chembl_id": "CHEMBL3853329", "document_journal": "J Med Chem", "document_year": 2016, "ligand_efficiency": {"bei": "13.16", "le": "0.26", "lle": "1.33", "sei": "10.17"}, "modality": null, "molecule_chemb</x:v>
      </x:c>
    </x:row>
    <x:row r="126" ht="66" customHeight="1">
      <x:c r="A126" s="9" t="str">
        <x:v>frozen/raw/activities_page_000.json</x:v>
      </x:c>
      <x:c r="B126" s="13" t="n">
        <x:v>62</x:v>
      </x:c>
      <x:c r="C126" s="13" t="n">
        <x:v>423</x:v>
      </x:c>
      <x:c r="D126" s="9" t="str">
        <x:v>l_id": "CHEMBL3953365", "molecule_pref_name": null, "parent_molecule_chembl_id": "CHEMBL3953365", "pchembl_value": "6.10", "potential_duplicate": 0, "qudt_units": "http://www.openphacts.org/units/Nanomolar", "record_id": 2796788, "relation": "=", "src_id": 1, "standard_flag": 1, "standard_relation": "=", "standard_text_value": null, "standard_type": "Ki", "standard_units": "nM", "standard_upper_va</x:v>
      </x:c>
    </x:row>
    <x:row r="127" ht="66" customHeight="1">
      <x:c r="A127" s="14" t="str">
        <x:v>frozen/raw/activities_page_000.json</x:v>
      </x:c>
      <x:c r="B127" s="17" t="n">
        <x:v>63</x:v>
      </x:c>
      <x:c r="C127" s="17" t="n">
        <x:v>423</x:v>
      </x:c>
      <x:c r="D127" s="14" t="str">
        <x:v>lue": null, "standard_value": "794.33", "target_chembl_id": "CHEMBL217", "target_organism": "Homo sapiens", "target_pref_name": "D(2) dopamine receptor", "target_tax_id": "9606", "text_value": null, "toid": null, "type": "pKi", "units": null, "uo_units": "UO_0000065", "upper_value": null, "value": "6.1"}, {"action_type": null, "activity_comment": null, "activity_id": 16670149, "activity_properties</x:v>
      </x:c>
    </x:row>
    <x:row r="128" ht="66" customHeight="1">
      <x:c r="A128" s="9" t="str">
        <x:v>frozen/raw/activities_page_000.json</x:v>
      </x:c>
      <x:c r="B128" s="13" t="n">
        <x:v>64</x:v>
      </x:c>
      <x:c r="C128" s="13" t="n">
        <x:v>423</x:v>
      </x:c>
      <x:c r="D128" s="9" t="str">
        <x:v>":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x:v>
      </x:c>
    </x:row>
    <x:row r="129" ht="66" customHeight="1">
      <x:c r="A129" s="14" t="str">
        <x:v>frozen/raw/activities_page_000.json</x:v>
      </x:c>
      <x:c r="B129" s="17" t="n">
        <x:v>65</x:v>
      </x:c>
      <x:c r="C129" s="17" t="n">
        <x:v>423</x:v>
      </x:c>
      <x:c r="D129" s="14" t="str">
        <x:v>sed format", "canonical_smiles": "Cc1ncoc1-c1nnc(SCCN2CC[C@]3(C[C@@H]3c3ccc(C(F)(F)F)cc3)C2)n1C", "data_validity_comment": null, "data_validity_description": null, "document_chembl_id": "CHEMBL3853329", "document_journal": "J Med Chem", "document_year": 2016, "ligand_efficiency": {"bei": "13.55", "le": "0.27", "lle": "1.51", "sei": "10.47"}, "modality": null, "molecule_chembl_id": "CHEMBL3936812",</x:v>
      </x:c>
    </x:row>
    <x:row r="130" ht="66" customHeight="1">
      <x:c r="A130" s="9" t="str">
        <x:v>frozen/raw/activities_page_000.json</x:v>
      </x:c>
      <x:c r="B130" s="13" t="n">
        <x:v>66</x:v>
      </x:c>
      <x:c r="C130" s="13" t="n">
        <x:v>423</x:v>
      </x:c>
      <x:c r="D130" s="9" t="str">
        <x:v> "molecule_pref_name": null, "parent_molecule_chembl_id": "CHEMBL3936812", "pchembl_value": "6.28", "potential_duplicate": 0, "qudt_units": "http://www.openphacts.org/units/Nanomolar", "record_id": 2796789, "relation": "=", "src_id": 1, "standard_flag": 1, "standard_relation": "=", "standard_text_value": null, "standard_type": "Ki", "standard_units": "nM", "standard_upper_value": null, "standard_v</x:v>
      </x:c>
    </x:row>
    <x:row r="131" ht="66" customHeight="1">
      <x:c r="A131" s="14" t="str">
        <x:v>frozen/raw/activities_page_000.json</x:v>
      </x:c>
      <x:c r="B131" s="17" t="n">
        <x:v>67</x:v>
      </x:c>
      <x:c r="C131" s="17" t="n">
        <x:v>423</x:v>
      </x:c>
      <x:c r="D131" s="14" t="str">
        <x:v>alue": "524.81", "target_chembl_id": "CHEMBL217", "target_organism": "Homo sapiens", "target_pref_name": "D(2) dopamine receptor", "target_tax_id": "9606", "text_value": null, "toid": null, "type": "pKi", "units": null, "uo_units": "UO_0000065", "upper_value": null, "value": "6.28"}, {"action_type": null, "activity_comment": null, "activity_id": 16670150, "activity_properties": [], "assay_chembl_i</x:v>
      </x:c>
    </x:row>
    <x:row r="132" ht="66" customHeight="1">
      <x:c r="A132" s="9" t="str">
        <x:v>frozen/raw/activities_page_000.json</x:v>
      </x:c>
      <x:c r="B132" s="13" t="n">
        <x:v>68</x:v>
      </x:c>
      <x:c r="C132" s="13" t="n">
        <x:v>423</x:v>
      </x:c>
      <x:c r="D132" s="9" t="str">
        <x:v>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x:v>
      </x:c>
    </x:row>
    <x:row r="133" ht="66" customHeight="1">
      <x:c r="A133" s="14" t="str">
        <x:v>frozen/raw/activities_page_000.json</x:v>
      </x:c>
      <x:c r="B133" s="17" t="n">
        <x:v>69</x:v>
      </x:c>
      <x:c r="C133" s="17" t="n">
        <x:v>423</x:v>
      </x:c>
      <x:c r="D133" s="14" t="str">
        <x:v>l_smiles": "Cc1ncoc1-c1nnc(SCCCCN2CC[C@]3(C[C@@H]3c3ccc(C(F)(F)F)cc3)C2)n1C", "data_validity_comment": null, "data_validity_description": null, "document_chembl_id": "CHEMBL3853329", "document_journal": "J Med Chem", "document_year": 2016, "ligand_efficiency": {"bei": "12.23", "le": "0.24", "lle": "0.46", "sei": "10.02"}, "modality": null, "molecule_chembl_id": "CHEMBL3908862", "molecule_pref_name</x:v>
      </x:c>
    </x:row>
    <x:row r="134" ht="66" customHeight="1">
      <x:c r="A134" s="9" t="str">
        <x:v>frozen/raw/activities_page_000.json</x:v>
      </x:c>
      <x:c r="B134" s="13" t="n">
        <x:v>70</x:v>
      </x:c>
      <x:c r="C134" s="13" t="n">
        <x:v>423</x:v>
      </x:c>
      <x:c r="D134" s="9" t="str">
        <x:v>": null, "parent_molecule_chembl_id": "CHEMBL3908862", "pchembl_value": "6.01", "potential_duplicate": 0, "qudt_units": "http://www.openphacts.org/units/Nanomolar", "record_id": 2796790, "relation": "=", "src_id": 1, "standard_flag": 1, "standard_relation": "=", "standard_text_value": null, "standard_type": "Ki", "standard_units": "nM", "standard_upper_value": null, "standard_value": "977.24", "ta</x:v>
      </x:c>
    </x:row>
    <x:row r="135" ht="66" customHeight="1">
      <x:c r="A135" s="14" t="str">
        <x:v>frozen/raw/activities_page_000.json</x:v>
      </x:c>
      <x:c r="B135" s="17" t="n">
        <x:v>71</x:v>
      </x:c>
      <x:c r="C135" s="17" t="n">
        <x:v>423</x:v>
      </x:c>
      <x:c r="D135" s="14" t="str">
        <x:v>rget_chembl_id": "CHEMBL217", "target_organism": "Homo sapiens", "target_pref_name": "D(2) dopamine receptor", "target_tax_id": "9606", "text_value": null, "toid": null, "type": "pKi", "units": null, "uo_units": "UO_0000065", "upper_value": null, "value": "6.01"}, {"action_type": null, "activity_comment": null, "activity_id": 16670151, "activity_properties": [], "assay_chembl_id": "CHEMBL3855278",</x:v>
      </x:c>
    </x:row>
    <x:row r="136" ht="66" customHeight="1">
      <x:c r="A136" s="9" t="str">
        <x:v>frozen/raw/activities_page_000.json</x:v>
      </x:c>
      <x:c r="B136" s="13" t="n">
        <x:v>72</x:v>
      </x:c>
      <x:c r="C136" s="13" t="n">
        <x:v>423</x:v>
      </x:c>
      <x:c r="D136" s="9" t="str">
        <x:v>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x:v>
      </x:c>
    </x:row>
    <x:row r="137" ht="66" customHeight="1">
      <x:c r="A137" s="14" t="str">
        <x:v>frozen/raw/activities_page_000.json</x:v>
      </x:c>
      <x:c r="B137" s="17" t="n">
        <x:v>73</x:v>
      </x:c>
      <x:c r="C137" s="17" t="n">
        <x:v>423</x:v>
      </x:c>
      <x:c r="D137" s="14" t="str">
        <x:v>'-c1nnc(SCCCN2CC[C@]3(C[C@H]3c3ccccc3C(F)(F)F)C2)n1C", "data_validity_comment": null, "data_validity_description": null, "document_chembl_id": "CHEMBL3853329", "document_journal": "J Med Chem", "document_year": 2016, "ligand_efficiency": {"bei": "14.47", "le": "0.29", "lle": "1.75", "sei": "11.52"}, "modality": null, "molecule_chembl_id": "CHEMBL3914195", "molecule_pref_name": null, "parent_molecul</x:v>
      </x:c>
    </x:row>
    <x:row r="138" ht="66" customHeight="1">
      <x:c r="A138" s="9" t="str">
        <x:v>frozen/raw/activities_page_000.json</x:v>
      </x:c>
      <x:c r="B138" s="13" t="n">
        <x:v>74</x:v>
      </x:c>
      <x:c r="C138" s="13" t="n">
        <x:v>423</x:v>
      </x:c>
      <x:c r="D138" s="9" t="str">
        <x:v>e_chembl_id": "CHEMBL3914195", "pchembl_value": "6.91", "potential_duplicate": 0, "qudt_units": "http://www.openphacts.org/units/Nanomolar", "record_id": 2796791, "relation": "=", "src_id": 1, "standard_flag": 1, "standard_relation": "=", "standard_text_value": null, "standard_type": "Ki", "standard_units": "nM", "standard_upper_value": null, "standard_value": "123.03", "target_chembl_id": "CHEMBL</x:v>
      </x:c>
    </x:row>
    <x:row r="139" ht="66" customHeight="1">
      <x:c r="A139" s="14" t="str">
        <x:v>frozen/raw/activities_page_000.json</x:v>
      </x:c>
      <x:c r="B139" s="17" t="n">
        <x:v>75</x:v>
      </x:c>
      <x:c r="C139" s="17" t="n">
        <x:v>423</x:v>
      </x:c>
      <x:c r="D139" s="14" t="str">
        <x:v>217", "target_organism": "Homo sapiens", "target_pref_name": "D(2) dopamine receptor", "target_tax_id": "9606", "text_value": null, "toid": null, "type": "pKi", "units": null, "uo_units": "UO_0000065", "upper_value": null, "value": "6.91"}, {"action_type": null, "activity_comment": null, "activity_id": 16670152, "activity_properties": [], "assay_chembl_id": "CHEMBL3855278", "assay_description": "D</x:v>
      </x:c>
    </x:row>
    <x:row r="140" ht="66" customHeight="1">
      <x:c r="A140" s="9" t="str">
        <x:v>frozen/raw/activities_page_000.json</x:v>
      </x:c>
      <x:c r="B140" s="13" t="n">
        <x:v>76</x:v>
      </x:c>
      <x:c r="C140" s="13" t="n">
        <x:v>423</x:v>
      </x:c>
      <x:c r="D140" s="9" t="str">
        <x:v>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x:v>
      </x:c>
    </x:row>
    <x:row r="141" ht="66" customHeight="1">
      <x:c r="A141" s="14" t="str">
        <x:v>frozen/raw/activities_page_000.json</x:v>
      </x:c>
      <x:c r="B141" s="17" t="n">
        <x:v>77</x:v>
      </x:c>
      <x:c r="C141" s="17" t="n">
        <x:v>423</x:v>
      </x:c>
      <x:c r="D141" s="14" t="str">
        <x:v>'@H]3c3ccccc3C(F)(F)F)C2)n1C", "data_validity_comment": null, "data_validity_description": null, "document_chembl_id": "CHEMBL3853329", "document_journal": "J Med Chem", "document_year": 2016, "ligand_efficiency": {"bei": "12.86", "le": "0.25", "lle": "0.98", "sei": "10.24"}, "modality": null, "molecule_chembl_id": "CHEMBL3914195", "molecule_pref_name": null, "parent_molecule_chembl_id": "CHEMBL391</x:v>
      </x:c>
    </x:row>
    <x:row r="142" ht="66" customHeight="1">
      <x:c r="A142" s="9" t="str">
        <x:v>frozen/raw/activities_page_000.json</x:v>
      </x:c>
      <x:c r="B142" s="13" t="n">
        <x:v>78</x:v>
      </x:c>
      <x:c r="C142" s="13" t="n">
        <x:v>423</x:v>
      </x:c>
      <x:c r="D142" s="9" t="str">
        <x:v>4195", "pchembl_value": "6.14", "potential_duplicate": 0, "qudt_units": "http://www.openphacts.org/units/Nanomolar", "record_id": 2796792, "relation": "=", "src_id": 1, "standard_flag": 1, "standard_relation": "=", "standard_text_value": null, "standard_type": "Ki", "standard_units": "nM", "standard_upper_value": null, "standard_value": "724.44", "target_chembl_id": "CHEMBL217", "target_organism":</x:v>
      </x:c>
    </x:row>
    <x:row r="143" ht="66" customHeight="1">
      <x:c r="A143" s="14" t="str">
        <x:v>frozen/raw/activities_page_000.json</x:v>
      </x:c>
      <x:c r="B143" s="17" t="n">
        <x:v>79</x:v>
      </x:c>
      <x:c r="C143" s="17" t="n">
        <x:v>423</x:v>
      </x:c>
      <x:c r="D143" s="14" t="str">
        <x:v> "Homo sapiens", "target_pref_name": "D(2) dopamine receptor", "target_tax_id": "9606", "text_value": null, "toid": null, "type": "pKi", "units": null, "uo_units": "UO_0000065", "upper_value": null, "value": "6.14"}, {"action_type": null, "activity_comment": null, "activity_id": 16670153, "activity_properties": [], "assay_chembl_id": "CHEMBL3855278", "assay_description": "Displacement of [3H]-spip</x:v>
      </x:c>
    </x:row>
    <x:row r="144" ht="66" customHeight="1">
      <x:c r="A144" s="9" t="str">
        <x:v>frozen/raw/activities_page_000.json</x:v>
      </x:c>
      <x:c r="B144" s="13" t="n">
        <x:v>80</x:v>
      </x:c>
      <x:c r="C144" s="13" t="n">
        <x:v>423</x:v>
      </x:c>
      <x:c r="D144" s="9" t="str">
        <x:v>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"Cc1ncoc1-c1nnc(SCCCN2CC[C@@]3(C[C@@H]3c3ccccc3C(F)(F)F)C</x:v>
      </x:c>
    </x:row>
    <x:row r="145" ht="66" customHeight="1">
      <x:c r="A145" s="14" t="str">
        <x:v>frozen/raw/activities_page_000.json</x:v>
      </x:c>
      <x:c r="B145" s="17" t="n">
        <x:v>81</x:v>
      </x:c>
      <x:c r="C145" s="17" t="n">
        <x:v>423</x:v>
      </x:c>
      <x:c r="D145" s="14" t="str">
        <x:v>2)n1C", "data_validity_comment": null, "data_validity_description": null, "document_chembl_id": "CHEMBL3853329", "document_journal": "J Med Chem", "document_year": 2016, "ligand_efficiency": {"bei": "15.08", "le": "0.30", "lle": "2.04", "sei": "12.00"}, "modality": null, "molecule_chembl_id": "CHEMBL3975989", "molecule_pref_name": null, "parent_molecule_chembl_id": "CHEMBL3975989", "pchembl_value"</x:v>
      </x:c>
    </x:row>
    <x:row r="146" ht="66" customHeight="1">
      <x:c r="A146" s="9" t="str">
        <x:v>frozen/raw/activities_page_000.json</x:v>
      </x:c>
      <x:c r="B146" s="13" t="n">
        <x:v>82</x:v>
      </x:c>
      <x:c r="C146" s="13" t="n">
        <x:v>423</x:v>
      </x:c>
      <x:c r="D146" s="9" t="str">
        <x:v>: "7.20", "potential_duplicate": 0, "qudt_units": "http://www.openphacts.org/units/Nanomolar", "record_id": 2796793, "relation": "=", "src_id": 1, "standard_flag": 1, "standard_relation": "=", "standard_text_value": null, "standard_type": "Ki", "standard_units": "nM", "standard_upper_value": null, "standard_value": "63.1", "target_chembl_id": "CHEMBL217", "target_organism": "Homo sapiens", "target</x:v>
      </x:c>
    </x:row>
    <x:row r="147" ht="66" customHeight="1">
      <x:c r="A147" s="14" t="str">
        <x:v>frozen/raw/activities_page_000.json</x:v>
      </x:c>
      <x:c r="B147" s="17" t="n">
        <x:v>83</x:v>
      </x:c>
      <x:c r="C147" s="17" t="n">
        <x:v>423</x:v>
      </x:c>
      <x:c r="D147" s="14" t="str">
        <x:v>_pref_name": "D(2) dopamine receptor", "target_tax_id": "9606", "text_value": null, "toid": null, "type": "pKi", "units": null, "uo_units": "UO_0000065", "upper_value": null, "value": "7.2"}, {"action_type": null, "activity_comment": null, "activity_id": 16670154, "activity_properties": [], "assay_chembl_id": "CHEMBL3855278", "assay_description": "Displacement of [3H]-spiperone from human dopamine</x:v>
      </x:c>
    </x:row>
    <x:row r="148" ht="66" customHeight="1">
      <x:c r="A148" s="9" t="str">
        <x:v>frozen/raw/activities_page_000.json</x:v>
      </x:c>
      <x:c r="B148" s="13" t="n">
        <x:v>84</x:v>
      </x:c>
      <x:c r="C148" s="13" t="n">
        <x:v>423</x:v>
      </x:c>
      <x:c r="D148" s="9" t="str">
        <x:v>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"Cc1ncoc1-c1nnc(SCCCN2CC[C@]3(C[C@@H]3c3ccccc3C(F)(F)F)C2)n1C", "data_validity_com</x:v>
      </x:c>
    </x:row>
    <x:row r="149" ht="66" customHeight="1">
      <x:c r="A149" s="14" t="str">
        <x:v>frozen/raw/activities_page_000.json</x:v>
      </x:c>
      <x:c r="B149" s="17" t="n">
        <x:v>85</x:v>
      </x:c>
      <x:c r="C149" s="17" t="n">
        <x:v>423</x:v>
      </x:c>
      <x:c r="D149" s="14" t="str">
        <x:v>ment": null, "data_validity_description": null, "document_chembl_id": "CHEMBL3853329", "document_journal": "J Med Chem", "document_year": 2016, "ligand_efficiency": {"bei": "12.15", "le": "0.24", "lle": "0.64", "sei": "9.67"}, "modality": null, "molecule_chembl_id": "CHEMBL3905196", "molecule_pref_name": null, "parent_molecule_chembl_id": "CHEMBL3905196", "pchembl_value": "5.80", "potential_duplic</x:v>
      </x:c>
    </x:row>
    <x:row r="150" ht="66" customHeight="1">
      <x:c r="A150" s="9" t="str">
        <x:v>frozen/raw/activities_page_000.json</x:v>
      </x:c>
      <x:c r="B150" s="13" t="n">
        <x:v>86</x:v>
      </x:c>
      <x:c r="C150" s="13" t="n">
        <x:v>423</x:v>
      </x:c>
      <x:c r="D150" s="9" t="str">
        <x:v>ate": 0, "qudt_units": "http://www.openphacts.org/units/Nanomolar", "record_id": 2796794, "relation": "=", "src_id": 1, "standard_flag": 1, "standard_relation": "=", "standard_text_value": null, "standard_type": "Ki", "standard_units": "nM", "standard_upper_value": null, "standard_value": "1584.89", "target_chembl_id": "CHEMBL217", "target_organism": "Homo sapiens", "target_pref_name": "D(2) dopam</x:v>
      </x:c>
    </x:row>
    <x:row r="151" ht="66" customHeight="1">
      <x:c r="A151" s="14" t="str">
        <x:v>frozen/raw/activities_page_000.json</x:v>
      </x:c>
      <x:c r="B151" s="17" t="n">
        <x:v>87</x:v>
      </x:c>
      <x:c r="C151" s="17" t="n">
        <x:v>423</x:v>
      </x:c>
      <x:c r="D151" s="14" t="str">
        <x:v>ine receptor", "target_tax_id": "9606", "text_value": null, "toid": null, "type": "pKi", "units": null, "uo_units": "UO_0000065", "upper_value": null, "value": "5.8"}, {"action_type": null, "activity_comment": null, "activity_id": 16670155, "activity_properties": [], "assay_chembl_id": "CHEMBL3855278", "assay_description": "Displacement of [3H]-spiperone from human dopamine D2 receptor expressed i</x:v>
      </x:c>
    </x:row>
    <x:row r="152" ht="66" customHeight="1">
      <x:c r="A152" s="9" t="str">
        <x:v>frozen/raw/activities_page_000.json</x:v>
      </x:c>
      <x:c r="B152" s="13" t="n">
        <x:v>88</x:v>
      </x:c>
      <x:c r="C152" s="13" t="n">
        <x:v>423</x:v>
      </x:c>
      <x:c r="D152" s="9" t="str">
        <x:v>n CHO-K1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"Cc1ncoc1-c1nnc(SCCCN2CC[C@]3(C[C@H]3c3ccc(F)cc3)C2)n1C", "data_validity_comment": null, "data_validity_de</x:v>
      </x:c>
    </x:row>
    <x:row r="153" ht="66" customHeight="1">
      <x:c r="A153" s="14" t="str">
        <x:v>frozen/raw/activities_page_000.json</x:v>
      </x:c>
      <x:c r="B153" s="17" t="n">
        <x:v>89</x:v>
      </x:c>
      <x:c r="C153" s="17" t="n">
        <x:v>423</x:v>
      </x:c>
      <x:c r="D153" s="14" t="str">
        <x:v>scription": null, "document_chembl_id": "CHEMBL3853329", "document_journal": "J Med Chem", "document_year": 2016, "ligand_efficiency": {"bei": "14.06", "le": "0.27", "lle": "1.73", "sei": "10.02"}, "modality": null, "molecule_chembl_id": "CHEMBL3950264", "molecule_pref_name": null, "parent_molecule_chembl_id": "CHEMBL3950264", "pchembl_value": "6.01", "potential_duplicate": 0, "qudt_units": "http:</x:v>
      </x:c>
    </x:row>
    <x:row r="154" ht="66" customHeight="1">
      <x:c r="A154" s="9" t="str">
        <x:v>frozen/raw/activities_page_000.json</x:v>
      </x:c>
      <x:c r="B154" s="13" t="n">
        <x:v>90</x:v>
      </x:c>
      <x:c r="C154" s="13" t="n">
        <x:v>423</x:v>
      </x:c>
      <x:c r="D154" s="9" t="str">
        <x:v>//www.openphacts.org/units/Nanomolar", "record_id": 2796795, "relation": "=", "src_id": 1, "standard_flag": 1, "standard_relation": "=", "standard_text_value": null, "standard_type": "Ki", "standard_units": "nM", "standard_upper_value": null, "standard_value": "977.24", "target_chembl_id": "CHEMBL217", "target_organism": "Homo sapiens", "target_pref_name": "D(2) dopamine receptor", "target_tax_id"</x:v>
      </x:c>
    </x:row>
    <x:row r="155" ht="66" customHeight="1">
      <x:c r="A155" s="14" t="str">
        <x:v>frozen/raw/activities_page_000.json</x:v>
      </x:c>
      <x:c r="B155" s="17" t="n">
        <x:v>91</x:v>
      </x:c>
      <x:c r="C155" s="17" t="n">
        <x:v>423</x:v>
      </x:c>
      <x:c r="D155" s="14" t="str">
        <x:v>: "9606", "text_value": null, "toid": null, "type": "pKi", "units": null, "uo_units": "UO_0000065", "upper_value": null, "value": "6.01"}, {"action_type": null, "activity_comment": null, "activity_id": 16670156, "activity_properties": [], "assay_chembl_id": "CHEMBL3855278", "assay_description": "Displacement of [3H]-spiperone from human dopamine D2 receptor expressed in CHO-K1 cell membranes coexp</x:v>
      </x:c>
    </x:row>
    <x:row r="156" ht="66" customHeight="1">
      <x:c r="A156" s="9" t="str">
        <x:v>frozen/raw/activities_page_000.json</x:v>
      </x:c>
      <x:c r="B156" s="13" t="n">
        <x:v>92</x:v>
      </x:c>
      <x:c r="C156" s="13" t="n">
        <x:v>423</x:v>
      </x:c>
      <x:c r="D156" s="9" t="str">
        <x:v>ressing Galpha16 after 120 mins by liquid scintillation counting", "assay_type": "B", "assay_variant_accession": null, "assay_variant_mutation": null, "bao_endpoint": "BAO_0000192", "bao_format": "BAO_0000219", "bao_label": "cell-based format", "canonical_smiles": "Cc1ncoc1-c1nnc(SCCCN2CC[C@]3(C[C@H]3c3ccc(F)cc3)C2)n1C", "data_validity_comment": null, "data_validity_description": null, "document_c</x:v>
      </x:c>
    </x:row>
    <x:row r="157" ht="66" customHeight="1">
      <x:c r="A157" s="14" t="str">
        <x:v>frozen/raw/activities_page_000.json</x:v>
      </x:c>
      <x:c r="B157" s="17" t="n">
        <x:v>93</x:v>
      </x:c>
      <x:c r="C157" s="17" t="n">
        <x:v>423</x:v>
      </x:c>
      <x:c r="D157" s="14" t="str">
        <x:v>hembl_id": "CHEMBL3853329", "document_journal": "J Med Chem", "document_year": 2016, "ligand_efficiency": {"bei": "13.94", "le": "0.27", "lle": "1.68", "sei": "9.94"}, "modality": null, "molecule_chembl_id": "CHEMBL3950264", "molecule_pref_name": null, "parent_molecule_chembl_id": "CHEMBL3950264", "pchembl_value": "5.96", "potential_duplicate": 0, "qudt_units": "http://www.openphacts.org/units/Nan</x:v>
      </x:c>
    </x:row>
    <x:row r="158" ht="66" customHeight="1">
      <x:c r="A158" s="9" t="str">
        <x:v>frozen/raw/activities_page_000.json</x:v>
      </x:c>
      <x:c r="B158" s="13" t="n">
        <x:v>94</x:v>
      </x:c>
      <x:c r="C158" s="13" t="n">
        <x:v>423</x:v>
      </x:c>
      <x:c r="D158" s="9" t="str">
        <x:v>omolar", "record_id": 2796796, "relation": "=", "src_id": 1, "standard_flag": 1, "standard_relation": "=", "standard_text_value": null, "standard_type": "Ki", "standard_units": "nM", "standard_upper_value": null, "standard_value": "1096.48", "target_chembl_id": "CHEMBL217", "target_organism": "Homo sapiens", "target_pref_name": "D(2) dopamine receptor", "target_tax_id": "9606", "text_value": null,</x:v>
      </x:c>
    </x:row>
    <x:row r="159" ht="66" customHeight="1">
      <x:c r="A159" s="14" t="str">
        <x:v>frozen/raw/activities_page_000.json</x:v>
      </x:c>
      <x:c r="B159" s="17" t="n">
        <x:v>95</x:v>
      </x:c>
      <x:c r="C159" s="17" t="n">
        <x:v>423</x:v>
      </x:c>
      <x:c r="D159" s="14" t="str">
        <x:v> "toid": null, "type": "pKi", "units": null, "uo_units": "UO_0000065", "upper_value": null, "value": "5.96"}, {"action_type": null, "activity_comment": null, "activity_id": 16670157, "activity_properties": [], "assay_chembl_id": "CHEMBL3855278", "assay_description": "Displacement of [3H]-spiperone from human dopamine D2 receptor expressed in CHO-K1 cell membranes coexpressing Galpha16 after 120 mi</x:v>
      </x:c>
    </x:row>
    <x:row r="160" ht="66" customHeight="1">
      <x:c r="A160" s="9" t="str">
        <x:v>frozen/raw/activities_page_000.json</x:v>
      </x:c>
      <x:c r="B160" s="13" t="n">
        <x:v>96</x:v>
      </x:c>
      <x:c r="C160" s="13" t="n">
        <x:v>423</x:v>
      </x:c>
      <x:c r="D160" s="9" t="str">
        <x:v>ns by liquid scintillation counting", "assay_type": "B", "assay_variant_accession": null, "assay_variant_mutation": null, "bao_endpoint": "BAO_0000192", "bao_format": "BAO_0000219", "bao_label": "cell-based format", "canonical_smiles": "Cc1ncoc1-c1nnc(SCCCN2CC[C@@]3(C[C@@H]3c3ccc(F)cc3)C2)n1C", "data_validity_comment": null, "data_validity_description": null, "document_chembl_id": "CHEMBL3853329",</x:v>
      </x:c>
    </x:row>
    <x:row r="161" ht="66" customHeight="1">
      <x:c r="A161" s="14" t="str">
        <x:v>frozen/raw/activities_page_000.json</x:v>
      </x:c>
      <x:c r="B161" s="17" t="n">
        <x:v>97</x:v>
      </x:c>
      <x:c r="C161" s="17" t="n">
        <x:v>423</x:v>
      </x:c>
      <x:c r="D161" s="14" t="str">
        <x:v> "document_journal": "J Med Chem", "document_year": 2016, "ligand_efficiency": {"bei": "14.27", "le": "0.28", "lle": "1.82", "sei": "10.17"}, "modality": null, "molecule_chembl_id": "CHEMBL3912029", "molecule_pref_name": null, "parent_molecule_chembl_id": "CHEMBL3912029", "pchembl_value": "6.10", "potential_duplicate": 0, "qudt_units": "http://www.openphacts.org/units/Nanomolar", "record_id": 2796</x:v>
      </x:c>
    </x:row>
    <x:row r="162" ht="66" customHeight="1">
      <x:c r="A162" s="9" t="str">
        <x:v>frozen/raw/activities_page_000.json</x:v>
      </x:c>
      <x:c r="B162" s="13" t="n">
        <x:v>98</x:v>
      </x:c>
      <x:c r="C162" s="13" t="n">
        <x:v>423</x:v>
      </x:c>
      <x:c r="D162" s="9" t="str">
        <x:v>797, "relation": "=", "src_id": 1, "standard_flag": 1, "standard_relation": "=", "standard_text_value": null, "standard_type": "Ki", "standard_units": "nM", "standard_upper_value": null, "standard_value": "794.33", "target_chembl_id": "CHEMBL217", "target_organism": "Homo sapiens", "target_pref_name": "D(2) dopamine receptor", "target_tax_id": "9606", "text_value": null, "toid": null, "type": "pKi</x:v>
      </x:c>
    </x:row>
    <x:row r="163" ht="66" customHeight="1">
      <x:c r="A163" s="14" t="str">
        <x:v>frozen/raw/activities_page_000.json</x:v>
      </x:c>
      <x:c r="B163" s="17" t="n">
        <x:v>99</x:v>
      </x:c>
      <x:c r="C163" s="17" t="n">
        <x:v>423</x:v>
      </x:c>
      <x:c r="D163" s="14" t="str">
        <x:v>", "units": null, "uo_units": "UO_0000065", "upper_value": null, "value": "6.1"}, {"action_type": null, "activity_comment": null, "activity_id": 16670158, "activity_properties": [], "assay_chembl_id": "CHEMBL3855278", "assay_description": "Displacement of [3H]-spiperone from human dopamine D2 receptor expressed in CHO-K1 cell membranes coexpressing Galpha16 after 120 mins by liquid scintillation c</x:v>
      </x:c>
    </x:row>
    <x:row r="164" ht="66" customHeight="1">
      <x:c r="A164" s="9" t="str">
        <x:v>frozen/raw/activities_page_000.json</x:v>
      </x:c>
      <x:c r="B164" s="13" t="n">
        <x:v>100</x:v>
      </x:c>
      <x:c r="C164" s="13" t="n">
        <x:v>423</x:v>
      </x:c>
      <x:c r="D164" s="9" t="str">
        <x:v>ounting", "assay_type": "B", "assay_variant_accession": null, "assay_variant_mutation": null, "bao_endpoint": "BAO_0000192", "bao_format": "BAO_0000219", "bao_label": "cell-based format", "canonical_smiles": "Cc1ncoc1-c1nnc(SCCCN2CC[C@]3(C[C@@H]3c3ccc(F)cc3)C2)n1C", "data_validity_comment": null, "data_validity_description": null, "document_chembl_id": "CHEMBL3853329", "document_journal": "J Med C</x:v>
      </x:c>
    </x:row>
    <x:row r="165" ht="66" customHeight="1">
      <x:c r="A165" s="14" t="str">
        <x:v>frozen/raw/activities_page_000.json</x:v>
      </x:c>
      <x:c r="B165" s="17" t="n">
        <x:v>101</x:v>
      </x:c>
      <x:c r="C165" s="17" t="n">
        <x:v>423</x:v>
      </x:c>
      <x:c r="D165" s="14" t="str">
        <x:v>hem", "document_year": 2016, "ligand_efficiency": {"bei": "14.90", "le": "0.29", "lle": "2.09", "sei": "10.62"}, "modality": null, "molecule_chembl_id": "CHEMBL3922143", "molecule_pref_name": null, "parent_molecule_chembl_id": "CHEMBL3922143", "pchembl_value": "6.37", "potential_duplicate": 0, "qudt_units": "http://www.openphacts.org/units/Nanomolar", "record_id": 2796798, "relation": "=", "src_id</x:v>
      </x:c>
    </x:row>
    <x:row r="166" ht="66" customHeight="1">
      <x:c r="A166" s="9" t="str">
        <x:v>frozen/raw/activities_page_000.json</x:v>
      </x:c>
      <x:c r="B166" s="13" t="n">
        <x:v>102</x:v>
      </x:c>
      <x:c r="C166" s="13" t="n">
        <x:v>423</x:v>
      </x:c>
      <x:c r="D166" s="9" t="str">
        <x:v>": 1, "standard_flag": 1, "standard_relation": "=", "standard_text_value": null, "standard_type": "Ki", "standard_units": "nM", "standard_upper_value": null, "standard_value": "426.58", "target_chembl_id": "CHEMBL217", "target_organism": "Homo sapiens", "target_pref_name": "D(2) dopamine receptor", "target_tax_id": "9606", "text_value": null, "toid": null, "type": "pKi", "units": null, "uo_units":</x:v>
      </x:c>
    </x:row>
    <x:row r="167" ht="66" customHeight="1">
      <x:c r="A167" s="14" t="str">
        <x:v>frozen/raw/activities_page_000.json</x:v>
      </x:c>
      <x:c r="B167" s="17" t="n">
        <x:v>103</x:v>
      </x:c>
      <x:c r="C167" s="17" t="n">
        <x:v>423</x:v>
      </x:c>
      <x:c r="D167" s="14" t="str">
        <x:v> "UO_0000065", "upper_value": null, "value": "6.37"}, {"action_type": null, "activity_comment": null, "activity_id": 16670159, "activity_properties": [], "assay_chembl_id": "CHEMBL3855278", "assay_description": "Displacement of [3H]-spiperone from human dopamine D2 receptor expressed in CHO-K1 cell membranes coexpressing Galpha16 after 120 mins by liquid scintillation counting", "assay_type": "B",</x:v>
      </x:c>
    </x:row>
    <x:row r="168" ht="66" customHeight="1">
      <x:c r="A168" s="9" t="str">
        <x:v>frozen/raw/activities_page_000.json</x:v>
      </x:c>
      <x:c r="B168" s="13" t="n">
        <x:v>104</x:v>
      </x:c>
      <x:c r="C168" s="13" t="n">
        <x:v>423</x:v>
      </x:c>
      <x:c r="D168" s="9" t="str">
        <x:v> "assay_variant_accession": null, "assay_variant_mutation": null, "bao_endpoint": "BAO_0000192", "bao_format": "BAO_0000219", "bao_label": "cell-based format", "canonical_smiles": "Cc1ncoc1-c1nnc(SCCCN2CC[C@]3(C[C@@H]3c3ccc(F)cc3)C2)n1C", "data_validity_comment": null, "data_validity_description": null, "document_chembl_id": "CHEMBL3853329", "document_journal": "J Med Chem", "document_year": 2016,</x:v>
      </x:c>
    </x:row>
    <x:row r="169" ht="66" customHeight="1">
      <x:c r="A169" s="14" t="str">
        <x:v>frozen/raw/activities_page_000.json</x:v>
      </x:c>
      <x:c r="B169" s="17" t="n">
        <x:v>105</x:v>
      </x:c>
      <x:c r="C169" s="17" t="n">
        <x:v>423</x:v>
      </x:c>
      <x:c r="D169" s="14" t="str">
        <x:v> "ligand_efficiency": {"bei": "11.91", "le": "0.23", "lle": "0.81", "sei": "8.49"}, "modality": null, "molecule_chembl_id": "CHEMBL3922143", "molecule_pref_name": null, "parent_molecule_chembl_id": "CHEMBL3922143", "pchembl_value": "5.09", "potential_duplicate": 0, "qudt_units": "http://www.openphacts.org/units/Nanomolar", "record_id": 2796799, "relation": "=", "src_id": 1, "standard_flag": 1, "st</x:v>
      </x:c>
    </x:row>
    <x:row r="170" ht="66" customHeight="1">
      <x:c r="A170" s="9" t="str">
        <x:v>frozen/raw/activities_page_000.json</x:v>
      </x:c>
      <x:c r="B170" s="13" t="n">
        <x:v>106</x:v>
      </x:c>
      <x:c r="C170" s="13" t="n">
        <x:v>423</x:v>
      </x:c>
      <x:c r="D170" s="9" t="str">
        <x:v>andard_relation": "=", "standard_text_value": null, "standard_type": "Ki", "standard_units": "nM", "standard_upper_value": null, "standard_value": "8128.31", "target_chembl_id": "CHEMBL217", "target_organism": "Homo sapiens", "target_pref_name": "D(2) dopamine receptor", "target_tax_id": "9606", "text_value": null, "toid": null, "type": "pKi", "units": null, "uo_units": "UO_0000065", "upper_value"</x:v>
      </x:c>
    </x:row>
    <x:row r="171" ht="66" customHeight="1">
      <x:c r="A171" s="14" t="str">
        <x:v>frozen/raw/activities_page_000.json</x:v>
      </x:c>
      <x:c r="B171" s="17" t="n">
        <x:v>107</x:v>
      </x:c>
      <x:c r="C171" s="17" t="n">
        <x:v>423</x:v>
      </x:c>
      <x:c r="D171" s="14" t="str">
        <x:v>: null, "value": "5.09"}, {"action_type": null, "activity_comment": null, "activity_id": 16670160, "activity_properties": [], "assay_chembl_id": "CHEMBL3855278", "assay_description": "Displacement of [3H]-spiperone from human dopamine D2 receptor expressed in CHO-K1 cell membranes coexpressing Galpha16 after 120 mins by liquid scintillation counting", "assay_type": "B", "assay_variant_accession": </x:v>
      </x:c>
    </x:row>
    <x:row r="172" ht="66" customHeight="1">
      <x:c r="A172" s="9" t="str">
        <x:v>frozen/raw/activities_page_000.json</x:v>
      </x:c>
      <x:c r="B172" s="13" t="n">
        <x:v>108</x:v>
      </x:c>
      <x:c r="C172" s="13" t="n">
        <x:v>423</x:v>
      </x:c>
      <x:c r="D172" s="9" t="str">
        <x:v>null, "assay_variant_mutation": null, "bao_endpoint": "BAO_0000192", "bao_format": "BAO_0000219", "bao_label": "cell-based format", "canonical_smiles": "Cc1ncoc1-c1nnc(SCCCN2CC[C@@]3(C[C@H]3c3ccc(F)cc3)C2)n1C", "data_validity_comment": null, "data_validity_description": null, "document_chembl_id": "CHEMBL3853329", "document_journal": "J Med Chem", "document_year": 2016, "ligand_efficiency": {"bei"</x:v>
      </x:c>
    </x:row>
    <x:row r="173" ht="66" customHeight="1">
      <x:c r="A173" s="14" t="str">
        <x:v>frozen/raw/activities_page_000.json</x:v>
      </x:c>
      <x:c r="B173" s="17" t="n">
        <x:v>109</x:v>
      </x:c>
      <x:c r="C173" s="17" t="n">
        <x:v>423</x:v>
      </x:c>
      <x:c r="D173" s="14" t="str">
        <x:v>: "15.48", "le": "0.30", "lle": "2.34", "sei": "11.04"}, "modality": null, "molecule_chembl_id": "CHEMBL3963783", "molecule_pref_name": null, "parent_molecule_chembl_id": "CHEMBL3963783", "pchembl_value": "6.62", "potential_duplicate": 0, "qudt_units": "http://www.openphacts.org/units/Nanomolar", "record_id": 2796800, "relation": "=", "src_id": 1, "standard_flag": 1, "standard_relation": "=", "sta</x:v>
      </x:c>
    </x:row>
    <x:row r="174" ht="66" customHeight="1">
      <x:c r="A174" s="9" t="str">
        <x:v>frozen/raw/activities_page_000.json</x:v>
      </x:c>
      <x:c r="B174" s="13" t="n">
        <x:v>110</x:v>
      </x:c>
      <x:c r="C174" s="13" t="n">
        <x:v>423</x:v>
      </x:c>
      <x:c r="D174" s="9" t="str">
        <x:v>ndard_text_value": null, "standard_type": "Ki", "standard_units": "nM", "standard_upper_value": null, "standard_value": "239.88", "target_chembl_id": "CHEMBL217", "target_organism": "Homo sapiens", "target_pref_name": "D(2) dopamine receptor", "target_tax_id": "9606", "text_value": null, "toid": null, "type": "pKi", "units": null, "uo_units": "UO_0000065", "upper_value": null, "value": "6.62"}, {"</x:v>
      </x:c>
    </x:row>
    <x:row r="175" ht="66" customHeight="1">
      <x:c r="A175" s="14" t="str">
        <x:v>frozen/raw/activities_page_000.json</x:v>
      </x:c>
      <x:c r="B175" s="17" t="n">
        <x:v>111</x:v>
      </x:c>
      <x:c r="C175" s="17" t="n">
        <x:v>423</x:v>
      </x:c>
      <x:c r="D175" s="14" t="str">
        <x:v>action_type": null, "activity_comment": null, "activity_id": 16670161,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x:v>
      </x:c>
    </x:row>
    <x:row r="176" ht="66" customHeight="1">
      <x:c r="A176" s="9" t="str">
        <x:v>frozen/raw/activities_page_000.json</x:v>
      </x:c>
      <x:c r="B176" s="13" t="n">
        <x:v>112</x:v>
      </x:c>
      <x:c r="C176" s="13" t="n">
        <x:v>423</x:v>
      </x:c>
      <x:c r="D176" s="9" t="str">
        <x:v>n": null, "bao_endpoint": "BAO_0000192", "bao_format": "BAO_0000219", "bao_label": "cell-based format", "canonical_smiles": "Cc1ncoc1-c1nnc(SCCCN2CC[C@]3(C[C@H]3c3ccc(F)cc3F)C2)n1C", "data_validity_comment": null, "data_validity_description": null, "document_chembl_id": "CHEMBL3853329", "document_journal": "J Med Chem", "document_year": 2016, "ligand_efficiency": {"bei": "14.07", "le": "0.28", "ll</x:v>
      </x:c>
    </x:row>
    <x:row r="177" ht="66" customHeight="1">
      <x:c r="A177" s="14" t="str">
        <x:v>frozen/raw/activities_page_000.json</x:v>
      </x:c>
      <x:c r="B177" s="17" t="n">
        <x:v>113</x:v>
      </x:c>
      <x:c r="C177" s="17" t="n">
        <x:v>423</x:v>
      </x:c>
      <x:c r="D177" s="14" t="str">
        <x:v>e": "1.85", "sei": "10.45"}, "modality": null, "molecule_chembl_id": "CHEMBL3908548", "molecule_pref_name": null, "parent_molecule_chembl_id": "CHEMBL3908548", "pchembl_value": "6.27", "potential_duplicate": 0, "qudt_units": "http://www.openphacts.org/units/Nanomolar", "record_id": 2796801, "relation": "=", "src_id": 1, "standard_flag": 1, "standard_relation": "=", "standard_text_value": null, "st</x:v>
      </x:c>
    </x:row>
    <x:row r="178" ht="66" customHeight="1">
      <x:c r="A178" s="9" t="str">
        <x:v>frozen/raw/activities_page_000.json</x:v>
      </x:c>
      <x:c r="B178" s="13" t="n">
        <x:v>114</x:v>
      </x:c>
      <x:c r="C178" s="13" t="n">
        <x:v>423</x:v>
      </x:c>
      <x:c r="D178" s="9" t="str">
        <x:v>andard_type": "Ki", "standard_units": "nM", "standard_upper_value": null, "standard_value": "537.03", "target_chembl_id": "CHEMBL217", "target_organism": "Homo sapiens", "target_pref_name": "D(2) dopamine receptor", "target_tax_id": "9606", "text_value": null, "toid": null, "type": "pKi", "units": null, "uo_units": "UO_0000065", "upper_value": null, "value": "6.27"}, {"action_type": null, "activit</x:v>
      </x:c>
    </x:row>
    <x:row r="179" ht="66" customHeight="1">
      <x:c r="A179" s="14" t="str">
        <x:v>frozen/raw/activities_page_000.json</x:v>
      </x:c>
      <x:c r="B179" s="17" t="n">
        <x:v>115</x:v>
      </x:c>
      <x:c r="C179" s="17" t="n">
        <x:v>423</x:v>
      </x:c>
      <x:c r="D179" s="14" t="str">
        <x:v>y_comment": null, "activity_id": 16670162,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x:v>
      </x:c>
    </x:row>
    <x:row r="180" ht="66" customHeight="1">
      <x:c r="A180" s="9" t="str">
        <x:v>frozen/raw/activities_page_000.json</x:v>
      </x:c>
      <x:c r="B180" s="13" t="n">
        <x:v>116</x:v>
      </x:c>
      <x:c r="C180" s="13" t="n">
        <x:v>423</x:v>
      </x:c>
      <x:c r="D180" s="9" t="str">
        <x:v>AO_0000192", "bao_format": "BAO_0000219", "bao_label": "cell-based format", "canonical_smiles": "Cc1ncoc1-c1nnc(SCCCN2CC[C@]3(C[C@H]3c3ccc(F)cc3F)C2)n1C", "data_validity_comment": null, "data_validity_description": null, "document_chembl_id": "CHEMBL3853329", "document_journal": "J Med Chem", "document_year": 2016, "ligand_efficiency": {"bei": "13.85", "le": "0.27", "lle": "1.75", "sei": "10.29"},</x:v>
      </x:c>
    </x:row>
    <x:row r="181" ht="66" customHeight="1">
      <x:c r="A181" s="14" t="str">
        <x:v>frozen/raw/activities_page_000.json</x:v>
      </x:c>
      <x:c r="B181" s="17" t="n">
        <x:v>117</x:v>
      </x:c>
      <x:c r="C181" s="17" t="n">
        <x:v>423</x:v>
      </x:c>
      <x:c r="D181" s="14" t="str">
        <x:v> "modality": null, "molecule_chembl_id": "CHEMBL3908548", "molecule_pref_name": null, "parent_molecule_chembl_id": "CHEMBL3908548", "pchembl_value": "6.17", "potential_duplicate": 0, "qudt_units": "http://www.openphacts.org/units/Nanomolar", "record_id": 2796802, "relation": "=", "src_id": 1, "standard_flag": 1, "standard_relation": "=", "standard_text_value": null, "standard_type": "Ki", "standar</x:v>
      </x:c>
    </x:row>
    <x:row r="182" ht="66" customHeight="1">
      <x:c r="A182" s="9" t="str">
        <x:v>frozen/raw/activities_page_000.json</x:v>
      </x:c>
      <x:c r="B182" s="13" t="n">
        <x:v>118</x:v>
      </x:c>
      <x:c r="C182" s="13" t="n">
        <x:v>423</x:v>
      </x:c>
      <x:c r="D182" s="9" t="str">
        <x:v>d_units": "nM", "standard_upper_value": null, "standard_value": "676.08", "target_chembl_id": "CHEMBL217", "target_organism": "Homo sapiens", "target_pref_name": "D(2) dopamine receptor", "target_tax_id": "9606", "text_value": null, "toid": null, "type": "pKi", "units": null, "uo_units": "UO_0000065", "upper_value": null, "value": "6.17"}, {"action_type": null, "activity_comment": null, "activity_</x:v>
      </x:c>
    </x:row>
    <x:row r="183" ht="66" customHeight="1">
      <x:c r="A183" s="14" t="str">
        <x:v>frozen/raw/activities_page_000.json</x:v>
      </x:c>
      <x:c r="B183" s="17" t="n">
        <x:v>119</x:v>
      </x:c>
      <x:c r="C183" s="17" t="n">
        <x:v>423</x:v>
      </x:c>
      <x:c r="D183" s="14" t="str">
        <x:v>id": 16670163,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x:v>
      </x:c>
    </x:row>
    <x:row r="184" ht="66" customHeight="1">
      <x:c r="A184" s="9" t="str">
        <x:v>frozen/raw/activities_page_000.json</x:v>
      </x:c>
      <x:c r="B184" s="13" t="n">
        <x:v>120</x:v>
      </x:c>
      <x:c r="C184" s="13" t="n">
        <x:v>423</x:v>
      </x:c>
      <x:c r="D184" s="9" t="str">
        <x:v>BAO_0000219", "bao_label": "cell-based format", "canonical_smiles": "Cc1ncoc1-c1nnc(SCCCN2CC[C@@]3(C[C@@H]3c3ccc(F)cc3F)C2)n1C", "data_validity_comment": null, "data_validity_description": null, "document_chembl_id": "CHEMBL3853329", "document_journal": "J Med Chem", "document_year": 2016, "ligand_efficiency": {"bei": "13.51", "le": "0.27", "lle": "1.60", "sei": "10.04"}, "modality": null, "molecu</x:v>
      </x:c>
    </x:row>
    <x:row r="185" ht="66" customHeight="1">
      <x:c r="A185" s="14" t="str">
        <x:v>frozen/raw/activities_page_000.json</x:v>
      </x:c>
      <x:c r="B185" s="17" t="n">
        <x:v>121</x:v>
      </x:c>
      <x:c r="C185" s="17" t="n">
        <x:v>423</x:v>
      </x:c>
      <x:c r="D185" s="14" t="str">
        <x:v>le_chembl_id": "CHEMBL3945775", "molecule_pref_name": null, "parent_molecule_chembl_id": "CHEMBL3945775", "pchembl_value": "6.02", "potential_duplicate": 0, "qudt_units": "http://www.openphacts.org/units/Nanomolar", "record_id": 2796803, "relation": "=", "src_id": 1, "standard_flag": 1, "standard_relation": "=", "standard_text_value": null, "standard_type": "Ki", "standard_units": "nM", "standard_</x:v>
      </x:c>
    </x:row>
    <x:row r="186" ht="66" customHeight="1">
      <x:c r="A186" s="9" t="str">
        <x:v>frozen/raw/activities_page_000.json</x:v>
      </x:c>
      <x:c r="B186" s="13" t="n">
        <x:v>122</x:v>
      </x:c>
      <x:c r="C186" s="13" t="n">
        <x:v>423</x:v>
      </x:c>
      <x:c r="D186" s="9" t="str">
        <x:v>upper_value": null, "standard_value": "954.99", "target_chembl_id": "CHEMBL217", "target_organism": "Homo sapiens", "target_pref_name": "D(2) dopamine receptor", "target_tax_id": "9606", "text_value": null, "toid": null, "type": "pKi", "units": null, "uo_units": "UO_0000065", "upper_value": null, "value": "6.02"}, {"action_type": null, "activity_comment": null, "activity_id": 16670164, "activity_p</x:v>
      </x:c>
    </x:row>
    <x:row r="187" ht="66" customHeight="1">
      <x:c r="A187" s="14" t="str">
        <x:v>frozen/raw/activities_page_000.json</x:v>
      </x:c>
      <x:c r="B187" s="17" t="n">
        <x:v>123</x:v>
      </x:c>
      <x:c r="C187" s="17" t="n">
        <x:v>423</x:v>
      </x:c>
      <x:c r="D187" s="14" t="str">
        <x:v>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x:v>
      </x:c>
    </x:row>
    <x:row r="188" ht="66" customHeight="1">
      <x:c r="A188" s="9" t="str">
        <x:v>frozen/raw/activities_page_000.json</x:v>
      </x:c>
      <x:c r="B188" s="13" t="n">
        <x:v>124</x:v>
      </x:c>
      <x:c r="C188" s="13" t="n">
        <x:v>423</x:v>
      </x:c>
      <x:c r="D188" s="9" t="str">
        <x:v> "cell-based format", "canonical_smiles": "Cc1ncoc1-c1nnc(SCCCN2CC[C@]3(C[C@@H]3c3ccc(F)cc3F)C2)n1C", "data_validity_comment": null, "data_validity_description": null, "document_chembl_id": "CHEMBL3853329", "document_journal": "J Med Chem", "document_year": 2016, "ligand_efficiency": {"bei": "14.66", "le": "0.29", "lle": "2.11", "sei": "10.89"}, "modality": null, "molecule_chembl_id": "CHEMBL39178</x:v>
      </x:c>
    </x:row>
    <x:row r="189" ht="66" customHeight="1">
      <x:c r="A189" s="14" t="str">
        <x:v>frozen/raw/activities_page_000.json</x:v>
      </x:c>
      <x:c r="B189" s="17" t="n">
        <x:v>125</x:v>
      </x:c>
      <x:c r="C189" s="17" t="n">
        <x:v>423</x:v>
      </x:c>
      <x:c r="D189" s="14" t="str">
        <x:v>87", "molecule_pref_name": null, "parent_molecule_chembl_id": "CHEMBL3917887", "pchembl_value": "6.53", "potential_duplicate": 0, "qudt_units": "http://www.openphacts.org/units/Nanomolar", "record_id": 2796804, "relation": "=", "src_id": 1, "standard_flag": 1, "standard_relation": "=", "standard_text_value": null, "standard_type": "Ki", "standard_units": "nM", "standard_upper_value": null, "standa</x:v>
      </x:c>
    </x:row>
    <x:row r="190" ht="66" customHeight="1">
      <x:c r="A190" s="9" t="str">
        <x:v>frozen/raw/activities_page_000.json</x:v>
      </x:c>
      <x:c r="B190" s="13" t="n">
        <x:v>126</x:v>
      </x:c>
      <x:c r="C190" s="13" t="n">
        <x:v>423</x:v>
      </x:c>
      <x:c r="D190" s="9" t="str">
        <x:v>rd_value": "295.12", "target_chembl_id": "CHEMBL217", "target_organism": "Homo sapiens", "target_pref_name": "D(2) dopamine receptor", "target_tax_id": "9606", "text_value": null, "toid": null, "type": "pKi", "units": null, "uo_units": "UO_0000065", "upper_value": null, "value": "6.53"}, {"action_type": null, "activity_comment": "Not Determined", "activity_id": 16670165, "activity_properties": [],</x:v>
      </x:c>
    </x:row>
    <x:row r="191" ht="66" customHeight="1">
      <x:c r="A191" s="14" t="str">
        <x:v>frozen/raw/activities_page_000.json</x:v>
      </x:c>
      <x:c r="B191" s="17" t="n">
        <x:v>127</x:v>
      </x:c>
      <x:c r="C191" s="17" t="n">
        <x:v>423</x:v>
      </x:c>
      <x:c r="D191" s="14" t="str">
        <x:v>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"BAO_0000179", "bao_format": "BAO_0000219", "bao_label": "cell-based fo</x:v>
      </x:c>
    </x:row>
    <x:row r="192" ht="66" customHeight="1">
      <x:c r="A192" s="9" t="str">
        <x:v>frozen/raw/activities_page_000.json</x:v>
      </x:c>
      <x:c r="B192" s="13" t="n">
        <x:v>128</x:v>
      </x:c>
      <x:c r="C192" s="13" t="n">
        <x:v>423</x:v>
      </x:c>
      <x:c r="D192" s="9" t="str">
        <x:v>rmat", "canonical_smiles": "Cc1ncoc1-c1nnc(SCCCN2CC[C@]3(C[C@@H]3c3ccc(F)cc3F)C2)n1C", "data_validity_comment": null, "data_validity_description": null, "document_chembl_id": "CHEMBL3853329", "document_journal": "J Med Chem", "document_year": 2016, "ligand_efficiency": null, "modality": null, "molecule_chembl_id": "CHEMBL3917887", "molecule_pref_name": null, "parent_molecule_chembl_id": "CHEMBL391</x:v>
      </x:c>
    </x:row>
    <x:row r="193" ht="66" customHeight="1">
      <x:c r="A193" s="14" t="str">
        <x:v>frozen/raw/activities_page_000.json</x:v>
      </x:c>
      <x:c r="B193" s="17" t="n">
        <x:v>129</x:v>
      </x:c>
      <x:c r="C193" s="17" t="n">
        <x:v>423</x:v>
      </x:c>
      <x:c r="D193" s="14" t="str">
        <x:v>7887", "pchembl_value": null, "potential_duplicate": 0, "qudt_units": null, "record_id": 2796805, "relation": null, "src_id": 1, "standard_flag": 0, "standard_relation": null, "standard_text_value": null, "standard_type": "pKi", "standard_units": null, "standard_upper_value": null, "standard_value": null, "target_chembl_id": "CHEMBL217", "target_organism": "Homo sapiens", "target_pref_name": "D(2)</x:v>
      </x:c>
    </x:row>
    <x:row r="194" ht="66" customHeight="1">
      <x:c r="A194" s="9" t="str">
        <x:v>frozen/raw/activities_page_000.json</x:v>
      </x:c>
      <x:c r="B194" s="13" t="n">
        <x:v>130</x:v>
      </x:c>
      <x:c r="C194" s="13" t="n">
        <x:v>423</x:v>
      </x:c>
      <x:c r="D194" s="9" t="str">
        <x:v> dopamine receptor", "target_tax_id": "9606", "text_value": null, "toid": null, "type": "pKi", "units": null, "uo_units": null, "upper_value": null, "value": null}, {"action_type": null, "activity_comment": null, "activity_id": 16670166, "activity_properties": [], "assay_chembl_id": "CHEMBL3855278", "assay_description": "Displacement of [3H]-spiperone from human dopamine D2 receptor expressed in C</x:v>
      </x:c>
    </x:row>
    <x:row r="195" ht="66" customHeight="1">
      <x:c r="A195" s="14" t="str">
        <x:v>frozen/raw/activities_page_000.json</x:v>
      </x:c>
      <x:c r="B195" s="17" t="n">
        <x:v>131</x:v>
      </x:c>
      <x:c r="C195" s="17" t="n">
        <x:v>423</x:v>
      </x:c>
      <x:c r="D195" s="14" t="str">
        <x:v>HO-K1 cell membranes coexpressing Galpha16 after 120 mins by liquid scintillation counting", "assay_type": "B", "assay_variant_accession": null, "assay_variant_mutation": null, "bao_endpoint": "BAO_0000192", "bao_format": "BAO_0000219", "bao_label": "cell-based format", "canonical_smiles": "Cc1ncoc1-c1nnc(SCCCN2CC[C@@]3(C[C@H]3c3ccc(F)cc3F)C2)n1C", "data_validity_comment": null, "data_validity_des</x:v>
      </x:c>
    </x:row>
    <x:row r="196" ht="66" customHeight="1">
      <x:c r="A196" s="9" t="str">
        <x:v>frozen/raw/activities_page_000.json</x:v>
      </x:c>
      <x:c r="B196" s="13" t="n">
        <x:v>132</x:v>
      </x:c>
      <x:c r="C196" s="13" t="n">
        <x:v>423</x:v>
      </x:c>
      <x:c r="D196" s="9" t="str">
        <x:v>cription": null, "document_chembl_id": "CHEMBL3853329", "document_journal": "J Med Chem", "document_year": 2016, "ligand_efficiency": {"bei": "14.79", "le": "0.29", "lle": "2.17", "sei": "10.99"}, "modality": null, "molecule_chembl_id": "CHEMBL3926847", "molecule_pref_name": null, "parent_molecule_chembl_id": "CHEMBL3926847", "pchembl_value": "6.59", "potential_duplicate": 0, "qudt_units": "http:/</x:v>
      </x:c>
    </x:row>
    <x:row r="197" ht="66" customHeight="1">
      <x:c r="A197" s="14" t="str">
        <x:v>frozen/raw/activities_page_000.json</x:v>
      </x:c>
      <x:c r="B197" s="17" t="n">
        <x:v>133</x:v>
      </x:c>
      <x:c r="C197" s="17" t="n">
        <x:v>423</x:v>
      </x:c>
      <x:c r="D197" s="14" t="str">
        <x:v>/www.openphacts.org/units/Nanomolar", "record_id": 2796806, "relation": "=", "src_id": 1, "standard_flag": 1, "standard_relation": "=", "standard_text_value": null, "standard_type": "Ki", "standard_units": "nM", "standard_upper_value": null, "standard_value": "257.04", "target_chembl_id": "CHEMBL217", "target_organism": "Homo sapiens", "target_pref_name": "D(2) dopamine receptor", "target_tax_id":</x:v>
      </x:c>
    </x:row>
    <x:row r="198" ht="66" customHeight="1">
      <x:c r="A198" s="9" t="str">
        <x:v>frozen/raw/activities_page_000.json</x:v>
      </x:c>
      <x:c r="B198" s="13" t="n">
        <x:v>134</x:v>
      </x:c>
      <x:c r="C198" s="13" t="n">
        <x:v>423</x:v>
      </x:c>
      <x:c r="D198" s="9" t="str">
        <x:v> "9606", "text_value": null, "toid": null, "type": "pKi", "units": null, "uo_units": "UO_0000065", "upper_value": null, "value": "6.59"}, {"action_type": null, "activity_comment": null, "activity_id": 16670167, "activity_properties": [], "assay_chembl_id": "CHEMBL3855278", "assay_description": "Displacement of [3H]-spiperone from human dopamine D2 receptor expressed in CHO-K1 cell membranes coexpr</x:v>
      </x:c>
    </x:row>
    <x:row r="199" ht="66" customHeight="1">
      <x:c r="A199" s="14" t="str">
        <x:v>frozen/raw/activities_page_000.json</x:v>
      </x:c>
      <x:c r="B199" s="17" t="n">
        <x:v>135</x:v>
      </x:c>
      <x:c r="C199" s="17" t="n">
        <x:v>423</x:v>
      </x:c>
      <x:c r="D199" s="14" t="str">
        <x:v>essing Galpha16 after 120 mins by liquid scintillation counting", "assay_type": "B", "assay_variant_accession": null, "assay_variant_mutation": null, "bao_endpoint": "BAO_0000192", "bao_format": "BAO_0000219", "bao_label": "cell-based format", "canonical_smiles": "Cc1ncoc1-c1nnc(SCCCN2CC[C@]3(C[C@H]3c3ccc(C(F)(F)F)cc3F)C2)n1C", "data_validity_comment": null, "data_validity_description": null, "doc</x:v>
      </x:c>
    </x:row>
    <x:row r="200" ht="66" customHeight="1">
      <x:c r="A200" s="9" t="str">
        <x:v>frozen/raw/activities_page_000.json</x:v>
      </x:c>
      <x:c r="B200" s="13" t="n">
        <x:v>136</x:v>
      </x:c>
      <x:c r="C200" s="13" t="n">
        <x:v>423</x:v>
      </x:c>
      <x:c r="D200" s="9" t="str">
        <x:v>ument_chembl_id": "CHEMBL3853329", "document_journal": "J Med Chem", "document_year": 2016, "ligand_efficiency": {"bei": "13.12", "le": "0.26", "lle": "1.20", "sei": "10.84"}, "modality": null, "molecule_chembl_id": "CHEMBL3935776", "molecule_pref_name": null, "parent_molecule_chembl_id": "CHEMBL3935776", "pchembl_value": "6.50", "potential_duplicate": 0, "qudt_units": "http://www.openphacts.org/u</x:v>
      </x:c>
    </x:row>
    <x:row r="201" ht="66" customHeight="1">
      <x:c r="A201" s="14" t="str">
        <x:v>frozen/raw/activities_page_000.json</x:v>
      </x:c>
      <x:c r="B201" s="17" t="n">
        <x:v>137</x:v>
      </x:c>
      <x:c r="C201" s="17" t="n">
        <x:v>423</x:v>
      </x:c>
      <x:c r="D201" s="14" t="str">
        <x:v>nits/Nanomolar", "record_id": 2796807, "relation": "=", "src_id": 1, "standard_flag": 1, "standard_relation": "=", "standard_text_value": null, "standard_type": "Ki", "standard_units": "nM", "standard_upper_value": null, "standard_value": "316.23", "target_chembl_id": "CHEMBL217", "target_organism": "Homo sapiens", "target_pref_name": "D(2) dopamine receptor", "target_tax_id": "9606", "text_value"</x:v>
      </x:c>
    </x:row>
    <x:row r="202" ht="66" customHeight="1">
      <x:c r="A202" s="9" t="str">
        <x:v>frozen/raw/activities_page_000.json</x:v>
      </x:c>
      <x:c r="B202" s="13" t="n">
        <x:v>138</x:v>
      </x:c>
      <x:c r="C202" s="13" t="n">
        <x:v>423</x:v>
      </x:c>
      <x:c r="D202" s="9" t="str">
        <x:v>: null, "toid": null, "type": "pKi", "units": null, "uo_units": "UO_0000065", "upper_value": null, "value": "6.5"}, {"action_type": null, "activity_comment": null, "activity_id": 16670168, "activity_properties": [], "assay_chembl_id": "CHEMBL3855278", "assay_description": "Displacement of [3H]-spiperone from human dopamine D2 receptor expressed in CHO-K1 cell membranes coexpressing Galpha16 after </x:v>
      </x:c>
    </x:row>
    <x:row r="203" ht="66" customHeight="1">
      <x:c r="A203" s="14" t="str">
        <x:v>frozen/raw/activities_page_000.json</x:v>
      </x:c>
      <x:c r="B203" s="17" t="n">
        <x:v>139</x:v>
      </x:c>
      <x:c r="C203" s="17" t="n">
        <x:v>423</x:v>
      </x:c>
      <x:c r="D203" s="14" t="str">
        <x:v>120 mins by liquid scintillation counting", "assay_type": "B", "assay_variant_accession": null, "assay_variant_mutation": null, "bao_endpoint": "BAO_0000192", "bao_format": "BAO_0000219", "bao_label": "cell-based format", "canonical_smiles": "Cc1ncoc1-c1nnc(SCCCN2CC[C@]3(C[C@H]3c3ccc(C(F)(F)F)cc3F)C2)n1C", "data_validity_comment": null, "data_validity_description": null, "document_chembl_id": "CHE</x:v>
      </x:c>
    </x:row>
    <x:row r="204" ht="66" customHeight="1">
      <x:c r="A204" s="9" t="str">
        <x:v>frozen/raw/activities_page_000.json</x:v>
      </x:c>
      <x:c r="B204" s="13" t="n">
        <x:v>140</x:v>
      </x:c>
      <x:c r="C204" s="13" t="n">
        <x:v>423</x:v>
      </x:c>
      <x:c r="D204" s="9" t="str">
        <x:v>MBL3853329", "document_journal": "J Med Chem", "document_year": 2016, "ligand_efficiency": {"bei": "13.14", "le": "0.26", "lle": "1.21", "sei": "10.85"}, "modality": null, "molecule_chembl_id": "CHEMBL3935776", "molecule_pref_name": null, "parent_molecule_chembl_id": "CHEMBL3935776", "pchembl_value": "6.51", "potential_duplicate": 0, "qudt_units": "http://www.openphacts.org/units/Nanomolar", "reco</x:v>
      </x:c>
    </x:row>
    <x:row r="205" ht="66" customHeight="1">
      <x:c r="A205" s="14" t="str">
        <x:v>frozen/raw/activities_page_000.json</x:v>
      </x:c>
      <x:c r="B205" s="17" t="n">
        <x:v>141</x:v>
      </x:c>
      <x:c r="C205" s="17" t="n">
        <x:v>423</x:v>
      </x:c>
      <x:c r="D205" s="14" t="str">
        <x:v>rd_id": 2796808, "relation": "=", "src_id": 1, "standard_flag": 1, "standard_relation": "=", "standard_text_value": null, "standard_type": "Ki", "standard_units": "nM", "standard_upper_value": null, "standard_value": "309.03", "target_chembl_id": "CHEMBL217", "target_organism": "Homo sapiens", "target_pref_name": "D(2) dopamine receptor", "target_tax_id": "9606", "text_value": null, "toid": null, </x:v>
      </x:c>
    </x:row>
    <x:row r="206" ht="66" customHeight="1">
      <x:c r="A206" s="9" t="str">
        <x:v>frozen/raw/activities_page_000.json</x:v>
      </x:c>
      <x:c r="B206" s="13" t="n">
        <x:v>142</x:v>
      </x:c>
      <x:c r="C206" s="13" t="n">
        <x:v>423</x:v>
      </x:c>
      <x:c r="D206" s="9" t="str">
        <x:v>"type": "pKi", "units": null, "uo_units": "UO_0000065", "upper_value": null, "value": "6.51"}, {"action_type": null, "activity_comment": null, "activity_id": 16670169, "activity_properties": [], "assay_chembl_id": "CHEMBL3855278", "assay_description": "Displacement of [3H]-spiperone from human dopamine D2 receptor expressed in CHO-K1 cell membranes coexpressing Galpha16 after 120 mins by liquid sc</x:v>
      </x:c>
    </x:row>
    <x:row r="207" ht="66" customHeight="1">
      <x:c r="A207" s="14" t="str">
        <x:v>frozen/raw/activities_page_000.json</x:v>
      </x:c>
      <x:c r="B207" s="17" t="n">
        <x:v>143</x:v>
      </x:c>
      <x:c r="C207" s="17" t="n">
        <x:v>423</x:v>
      </x:c>
      <x:c r="D207" s="14" t="str">
        <x:v>intillation counting", "assay_type": "B", "assay_variant_accession": null, "assay_variant_mutation": null, "bao_endpoint": "BAO_0000192", "bao_format": "BAO_0000219", "bao_label": "cell-based format", "canonical_smiles": "Cc1ncoc1-c1nnc(SCCCN2CC[C@@]3(C[C@@H]3c3ccc(C(F)(F)F)cc3F)C2)n1C", "data_validity_comment": null, "data_validity_description": null, "document_chembl_id": "CHEMBL3853329", "docum</x:v>
      </x:c>
    </x:row>
    <x:row r="208" ht="66" customHeight="1">
      <x:c r="A208" s="9" t="str">
        <x:v>frozen/raw/activities_page_000.json</x:v>
      </x:c>
      <x:c r="B208" s="13" t="n">
        <x:v>144</x:v>
      </x:c>
      <x:c r="C208" s="13" t="n">
        <x:v>423</x:v>
      </x:c>
      <x:c r="D208" s="9" t="str">
        <x:v>ent_journal": "J Med Chem", "document_year": 2016, "ligand_efficiency": {"bei": "12.13", "le": "0.24", "lle": "0.71", "sei": "10.02"}, "modality": null, "molecule_chembl_id": "CHEMBL3901587", "molecule_pref_name": null, "parent_molecule_chembl_id": "CHEMBL3901587", "pchembl_value": "6.01", "potential_duplicate": 0, "qudt_units": "http://www.openphacts.org/units/Nanomolar", "record_id": 2796809, "r</x:v>
      </x:c>
    </x:row>
    <x:row r="209" ht="66" customHeight="1">
      <x:c r="A209" s="14" t="str">
        <x:v>frozen/raw/activities_page_000.json</x:v>
      </x:c>
      <x:c r="B209" s="17" t="n">
        <x:v>145</x:v>
      </x:c>
      <x:c r="C209" s="17" t="n">
        <x:v>423</x:v>
      </x:c>
      <x:c r="D209" s="14" t="str">
        <x:v>elation": "=", "src_id": 1, "standard_flag": 1, "standard_relation": "=", "standard_text_value": null, "standard_type": "Ki", "standard_units": "nM", "standard_upper_value": null, "standard_value": "977.24", "target_chembl_id": "CHEMBL217", "target_organism": "Homo sapiens", "target_pref_name": "D(2) dopamine receptor", "target_tax_id": "9606", "text_value": null, "toid": null, "type": "pKi", "uni</x:v>
      </x:c>
    </x:row>
    <x:row r="210" ht="66" customHeight="1">
      <x:c r="A210" s="9" t="str">
        <x:v>frozen/raw/activities_page_000.json</x:v>
      </x:c>
      <x:c r="B210" s="13" t="n">
        <x:v>146</x:v>
      </x:c>
      <x:c r="C210" s="13" t="n">
        <x:v>423</x:v>
      </x:c>
      <x:c r="D210" s="9" t="str">
        <x:v>ts": null, "uo_units": "UO_0000065", "upper_value": null, "value": "6.01"}, {"action_type": null, "activity_comment": null, "activity_id": 16670170, "activity_properties": [], "assay_chembl_id": "CHEMBL3855278", "assay_description": "Displacement of [3H]-spiperone from human dopamine D2 receptor expressed in CHO-K1 cell membranes coexpressing Galpha16 after 120 mins by liquid scintillation countin</x:v>
      </x:c>
    </x:row>
    <x:row r="211" ht="66" customHeight="1">
      <x:c r="A211" s="14" t="str">
        <x:v>frozen/raw/activities_page_000.json</x:v>
      </x:c>
      <x:c r="B211" s="17" t="n">
        <x:v>147</x:v>
      </x:c>
      <x:c r="C211" s="17" t="n">
        <x:v>423</x:v>
      </x:c>
      <x:c r="D211" s="14" t="str">
        <x:v>g", "assay_type": "B", "assay_variant_accession": null, "assay_variant_mutation": null, "bao_endpoint": "BAO_0000192", "bao_format": "BAO_0000219", "bao_label": "cell-based format", "canonical_smiles": "Cc1ncoc1-c1nnc(SCCCN2CC[C@]3(C[C@@H]3c3ccc(C(F)(F)F)cc3F)C2)n1C", "data_validity_comment": null, "data_validity_description": null, "document_chembl_id": "CHEMBL3853329", "document_journal": "J Med</x:v>
      </x:c>
    </x:row>
    <x:row r="212" ht="66" customHeight="1">
      <x:c r="A212" s="9" t="str">
        <x:v>frozen/raw/activities_page_000.json</x:v>
      </x:c>
      <x:c r="B212" s="13" t="n">
        <x:v>148</x:v>
      </x:c>
      <x:c r="C212" s="13" t="n">
        <x:v>423</x:v>
      </x:c>
      <x:c r="D212" s="9" t="str">
        <x:v> Chem", "document_year": 2016, "ligand_efficiency": {"bei": "13.08", "le": "0.26", "lle": "1.18", "sei": "10.80"}, "modality": null, "molecule_chembl_id": "CHEMBL3927895", "molecule_pref_name": null, "parent_molecule_chembl_id": "CHEMBL3927895", "pchembl_value": "6.48", "potential_duplicate": 0, "qudt_units": "http://www.openphacts.org/units/Nanomolar", "record_id": 2796810, "relation": "=", "src_</x:v>
      </x:c>
    </x:row>
    <x:row r="213" ht="66" customHeight="1">
      <x:c r="A213" s="14" t="str">
        <x:v>frozen/raw/activities_page_000.json</x:v>
      </x:c>
      <x:c r="B213" s="17" t="n">
        <x:v>149</x:v>
      </x:c>
      <x:c r="C213" s="17" t="n">
        <x:v>423</x:v>
      </x:c>
      <x:c r="D213" s="14" t="str">
        <x:v>id": 1, "standard_flag": 1, "standard_relation": "=", "standard_text_value": null, "standard_type": "Ki", "standard_units": "nM", "standard_upper_value": null, "standard_value": "331.13", "target_chembl_id": "CHEMBL217", "target_organism": "Homo sapiens", "target_pref_name": "D(2) dopamine receptor", "target_tax_id": "9606", "text_value": null, "toid": null, "type": "pKi", "units": null, "uo_units</x:v>
      </x:c>
    </x:row>
    <x:row r="214" ht="66" customHeight="1">
      <x:c r="A214" s="9" t="str">
        <x:v>frozen/raw/activities_page_000.json</x:v>
      </x:c>
      <x:c r="B214" s="13" t="n">
        <x:v>150</x:v>
      </x:c>
      <x:c r="C214" s="13" t="n">
        <x:v>423</x:v>
      </x:c>
      <x:c r="D214" s="9" t="str">
        <x:v>": "UO_0000065", "upper_value": null, "value": "6.48"}, {"action_type": null, "activity_comment": null, "activity_id": 16670171, "activity_properties": [], "assay_chembl_id": "CHEMBL3855278", "assay_description": "Displacement of [3H]-spiperone from human dopamine D2 receptor expressed in CHO-K1 cell membranes coexpressing Galpha16 after 120 mins by liquid scintillation counting", "assay_type": "B</x:v>
      </x:c>
    </x:row>
    <x:row r="215" ht="66" customHeight="1">
      <x:c r="A215" s="14" t="str">
        <x:v>frozen/raw/activities_page_000.json</x:v>
      </x:c>
      <x:c r="B215" s="17" t="n">
        <x:v>151</x:v>
      </x:c>
      <x:c r="C215" s="17" t="n">
        <x:v>423</x:v>
      </x:c>
      <x:c r="D215" s="14" t="str">
        <x:v>", "assay_variant_accession": null, "assay_variant_mutation": null, "bao_endpoint": "BAO_0000192", "bao_format": "BAO_0000219", "bao_label": "cell-based format", "canonical_smiles": "Cc1ncoc1-c1nnc(SCCCN2CC[C@]3(C[C@@H]3c3ccc(C(F)(F)F)cc3F)C2)n1C", "data_validity_comment": null, "data_validity_description": null, "document_chembl_id": "CHEMBL3853329", "document_journal": "J Med Chem", "document_ye</x:v>
      </x:c>
    </x:row>
    <x:row r="216" ht="66" customHeight="1">
      <x:c r="A216" s="9" t="str">
        <x:v>frozen/raw/activities_page_000.json</x:v>
      </x:c>
      <x:c r="B216" s="13" t="n">
        <x:v>152</x:v>
      </x:c>
      <x:c r="C216" s="13" t="n">
        <x:v>423</x:v>
      </x:c>
      <x:c r="D216" s="9" t="str">
        <x:v>ar": 2016, "ligand_efficiency": {"bei": "10.82", "le": "0.22", "lle": "0.06", "sei": "8.94"}, "modality": null, "molecule_chembl_id": "CHEMBL3927895", "molecule_pref_name": null, "parent_molecule_chembl_id": "CHEMBL3927895", "pchembl_value": "5.36", "potential_duplicate": 0, "qudt_units": "http://www.openphacts.org/units/Nanomolar", "record_id": 2796811, "relation": "=", "src_id": 1, "standard_fla</x:v>
      </x:c>
    </x:row>
    <x:row r="217" ht="66" customHeight="1">
      <x:c r="A217" s="14" t="str">
        <x:v>frozen/raw/activities_page_000.json</x:v>
      </x:c>
      <x:c r="B217" s="17" t="n">
        <x:v>153</x:v>
      </x:c>
      <x:c r="C217" s="17" t="n">
        <x:v>423</x:v>
      </x:c>
      <x:c r="D217" s="14" t="str">
        <x:v>g": 1, "standard_relation": "=", "standard_text_value": null, "standard_type": "Ki", "standard_units": "nM", "standard_upper_value": null, "standard_value": "4365.16", "target_chembl_id": "CHEMBL217", "target_organism": "Homo sapiens", "target_pref_name": "D(2) dopamine receptor", "target_tax_id": "9606", "text_value": null, "toid": null, "type": "pKi", "units": null, "uo_units": "UO_0000065", "up</x:v>
      </x:c>
    </x:row>
    <x:row r="218" ht="66" customHeight="1">
      <x:c r="A218" s="9" t="str">
        <x:v>frozen/raw/activities_page_000.json</x:v>
      </x:c>
      <x:c r="B218" s="13" t="n">
        <x:v>154</x:v>
      </x:c>
      <x:c r="C218" s="13" t="n">
        <x:v>423</x:v>
      </x:c>
      <x:c r="D218" s="9" t="str">
        <x:v>per_value": null, "value": "5.36"}, {"action_type": null, "activity_comment": null, "activity_id": 16670172, "activity_properties": [], "assay_chembl_id": "CHEMBL3855278", "assay_description": "Displacement of [3H]-spiperone from human dopamine D2 receptor expressed in CHO-K1 cell membranes coexpressing Galpha16 after 120 mins by liquid scintillation counting", "assay_type": "B", "assay_variant_ac</x:v>
      </x:c>
    </x:row>
    <x:row r="219" ht="66" customHeight="1">
      <x:c r="A219" s="14" t="str">
        <x:v>frozen/raw/activities_page_000.json</x:v>
      </x:c>
      <x:c r="B219" s="17" t="n">
        <x:v>155</x:v>
      </x:c>
      <x:c r="C219" s="17" t="n">
        <x:v>423</x:v>
      </x:c>
      <x:c r="D219" s="14" t="str">
        <x:v>cession": null, "assay_variant_mutation": null, "bao_endpoint": "BAO_0000192", "bao_format": "BAO_0000219", "bao_label": "cell-based format", "canonical_smiles": "Cc1ncoc1-c1nnc(SCCCN2CC[C@@]3(C[C@H]3c3ccc(C(F)(F)F)cc3F)C2)n1C", "data_validity_comment": null, "data_validity_description": null, "document_chembl_id": "CHEMBL3853329", "document_journal": "J Med Chem", "document_year": 2016, "ligand_e</x:v>
      </x:c>
    </x:row>
    <x:row r="220" ht="66" customHeight="1">
      <x:c r="A220" s="9" t="str">
        <x:v>frozen/raw/activities_page_000.json</x:v>
      </x:c>
      <x:c r="B220" s="13" t="n">
        <x:v>156</x:v>
      </x:c>
      <x:c r="C220" s="13" t="n">
        <x:v>423</x:v>
      </x:c>
      <x:c r="D220" s="9" t="str">
        <x:v>fficiency": {"bei": "13.42", "le": "0.27", "lle": "1.35", "sei": "11.09"}, "modality": null, "molecule_chembl_id": "CHEMBL3955505", "molecule_pref_name": null, "parent_molecule_chembl_id": "CHEMBL3955505", "pchembl_value": "6.65", "potential_duplicate": 0, "qudt_units": "http://www.openphacts.org/units/Nanomolar", "record_id": 2796812, "relation": "=", "src_id": 1, "standard_flag": 1, "standard_re</x:v>
      </x:c>
    </x:row>
    <x:row r="221" ht="66" customHeight="1">
      <x:c r="A221" s="14" t="str">
        <x:v>frozen/raw/activities_page_000.json</x:v>
      </x:c>
      <x:c r="B221" s="17" t="n">
        <x:v>157</x:v>
      </x:c>
      <x:c r="C221" s="17" t="n">
        <x:v>423</x:v>
      </x:c>
      <x:c r="D221" s="14" t="str">
        <x:v>lation": "=", "standard_text_value": null, "standard_type": "Ki", "standard_units": "nM", "standard_upper_value": null, "standard_value": "223.87", "target_chembl_id": "CHEMBL217", "target_organism": "Homo sapiens", "target_pref_name": "D(2) dopamine receptor", "target_tax_id": "9606", "text_value": null, "toid": null, "type": "pKi", "units": null, "uo_units": "UO_0000065", "upper_value": null, "v</x:v>
      </x:c>
    </x:row>
    <x:row r="222" ht="66" customHeight="1">
      <x:c r="A222" s="9" t="str">
        <x:v>frozen/raw/activities_page_000.json</x:v>
      </x:c>
      <x:c r="B222" s="13" t="n">
        <x:v>158</x:v>
      </x:c>
      <x:c r="C222" s="13" t="n">
        <x:v>423</x:v>
      </x:c>
      <x:c r="D222" s="9" t="str">
        <x:v>alue": "6.65"}, {"action_type": null, "activity_comment": null, "activity_id": 16670173, "activity_properties": [], "assay_chembl_id": "CHEMBL3855278", "assay_description": "Displacement of [3H]-spiperone from human dopamine D2 receptor expressed in CHO-K1 cell membranes coexpressing Galpha16 after 120 mins by liquid scintillation counting", "assay_type": "B", "assay_variant_accession": null, "ass</x:v>
      </x:c>
    </x:row>
    <x:row r="223" ht="66" customHeight="1">
      <x:c r="A223" s="14" t="str">
        <x:v>frozen/raw/activities_page_000.json</x:v>
      </x:c>
      <x:c r="B223" s="17" t="n">
        <x:v>159</x:v>
      </x:c>
      <x:c r="C223" s="17" t="n">
        <x:v>423</x:v>
      </x:c>
      <x:c r="D223" s="14" t="str">
        <x:v>ay_variant_mutation": null, "bao_endpoint": "BAO_0000192", "bao_format": "BAO_0000219", "bao_label": "cell-based format", "canonical_smiles": "Cc1ncoc1-c1nnc(SCCCN2CC[C@]3(C[C@H]3c3ccc(F)cc3C(F)(F)F)C2)n1C", "data_validity_comment": null, "data_validity_description": null, "document_chembl_id": "CHEMBL3853329", "document_journal": "J Med Chem", "document_year": 2016, "ligand_efficiency": {"bei": "</x:v>
      </x:c>
    </x:row>
    <x:row r="224" ht="66" customHeight="1">
      <x:c r="A224" s="9" t="str">
        <x:v>frozen/raw/activities_page_000.json</x:v>
      </x:c>
      <x:c r="B224" s="13" t="n">
        <x:v>160</x:v>
      </x:c>
      <x:c r="C224" s="13" t="n">
        <x:v>423</x:v>
      </x:c>
      <x:c r="D224" s="9" t="str">
        <x:v>13.68", "le": "0.27", "lle": "1.48", "sei": "11.30"}, "modality": null, "molecule_chembl_id": "CHEMBL3985877", "molecule_pref_name": null, "parent_molecule_chembl_id": "CHEMBL3985877", "pchembl_value": "6.78", "potential_duplicate": 0, "qudt_units": "http://www.openphacts.org/units/Nanomolar", "record_id": 2796813, "relation": "=", "src_id": 1, "standard_flag": 1, "standard_relation": "=", "standa</x:v>
      </x:c>
    </x:row>
    <x:row r="225" ht="66" customHeight="1">
      <x:c r="A225" s="14" t="str">
        <x:v>frozen/raw/activities_page_000.json</x:v>
      </x:c>
      <x:c r="B225" s="17" t="n">
        <x:v>161</x:v>
      </x:c>
      <x:c r="C225" s="17" t="n">
        <x:v>423</x:v>
      </x:c>
      <x:c r="D225" s="14" t="str">
        <x:v>rd_text_value": null, "standard_type": "Ki", "standard_units": "nM", "standard_upper_value": null, "standard_value": "165.96", "target_chembl_id": "CHEMBL217", "target_organism": "Homo sapiens", "target_pref_name": "D(2) dopamine receptor", "target_tax_id": "9606", "text_value": null, "toid": null, "type": "pKi", "units": null, "uo_units": "UO_0000065", "upper_value": null, "value": "6.78"}, {"act</x:v>
      </x:c>
    </x:row>
    <x:row r="226" ht="66" customHeight="1">
      <x:c r="A226" s="9" t="str">
        <x:v>frozen/raw/activities_page_000.json</x:v>
      </x:c>
      <x:c r="B226" s="13" t="n">
        <x:v>162</x:v>
      </x:c>
      <x:c r="C226" s="13" t="n">
        <x:v>423</x:v>
      </x:c>
      <x:c r="D226" s="9" t="str">
        <x:v>ion_type": null, "activity_comment": null, "activity_id": 16670174,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x:v>
      </x:c>
    </x:row>
    <x:row r="227" ht="66" customHeight="1">
      <x:c r="A227" s="14" t="str">
        <x:v>frozen/raw/activities_page_000.json</x:v>
      </x:c>
      <x:c r="B227" s="17" t="n">
        <x:v>163</x:v>
      </x:c>
      <x:c r="C227" s="17" t="n">
        <x:v>423</x:v>
      </x:c>
      <x:c r="D227" s="14" t="str">
        <x:v> null, "bao_endpoint": "BAO_0000192", "bao_format": "BAO_0000219", "bao_label": "cell-based format", "canonical_smiles": "Cc1ncoc1-c1nnc(SCCCN2CC[C@@]3(C[C@@H]3c3ccc(F)cc3C(F)(F)F)C2)n1C", "data_validity_comment": null, "data_validity_description": null, "document_chembl_id": "CHEMBL3853329", "document_journal": "J Med Chem", "document_year": 2016, "ligand_efficiency": {"bei": "11.42", "le": "0.23</x:v>
      </x:c>
    </x:row>
    <x:row r="228" ht="66" customHeight="1">
      <x:c r="A228" s="9" t="str">
        <x:v>frozen/raw/activities_page_000.json</x:v>
      </x:c>
      <x:c r="B228" s="13" t="n">
        <x:v>164</x:v>
      </x:c>
      <x:c r="C228" s="13" t="n">
        <x:v>423</x:v>
      </x:c>
      <x:c r="D228" s="9" t="str">
        <x:v>", "lle": "0.36", "sei": "9.44"}, "modality": null, "molecule_chembl_id": "CHEMBL3966647", "molecule_pref_name": null, "parent_molecule_chembl_id": "CHEMBL3966647", "pchembl_value": "5.66", "potential_duplicate": 0, "qudt_units": "http://www.openphacts.org/units/Nanomolar", "record_id": 2796814, "relation": "=", "src_id": 1, "standard_flag": 1, "standard_relation": "=", "standard_text_value": null</x:v>
      </x:c>
    </x:row>
    <x:row r="229" ht="66" customHeight="1">
      <x:c r="A229" s="14" t="str">
        <x:v>frozen/raw/activities_page_000.json</x:v>
      </x:c>
      <x:c r="B229" s="17" t="n">
        <x:v>165</x:v>
      </x:c>
      <x:c r="C229" s="17" t="n">
        <x:v>423</x:v>
      </x:c>
      <x:c r="D229" s="14" t="str">
        <x:v>, "standard_type": "Ki", "standard_units": "nM", "standard_upper_value": null, "standard_value": "2187.76", "target_chembl_id": "CHEMBL217", "target_organism": "Homo sapiens", "target_pref_name": "D(2) dopamine receptor", "target_tax_id": "9606", "text_value": null, "toid": null, "type": "pKi", "units": null, "uo_units": "UO_0000065", "upper_value": null, "value": "5.66"}, {"action_type": null, "a</x:v>
      </x:c>
    </x:row>
    <x:row r="230" ht="66" customHeight="1">
      <x:c r="A230" s="9" t="str">
        <x:v>frozen/raw/activities_page_000.json</x:v>
      </x:c>
      <x:c r="B230" s="13" t="n">
        <x:v>166</x:v>
      </x:c>
      <x:c r="C230" s="13" t="n">
        <x:v>423</x:v>
      </x:c>
      <x:c r="D230" s="9" t="str">
        <x:v>ctivity_comment": null, "activity_id": 16670175,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x:v>
      </x:c>
    </x:row>
    <x:row r="231" ht="66" customHeight="1">
      <x:c r="A231" s="14" t="str">
        <x:v>frozen/raw/activities_page_000.json</x:v>
      </x:c>
      <x:c r="B231" s="17" t="n">
        <x:v>167</x:v>
      </x:c>
      <x:c r="C231" s="17" t="n">
        <x:v>423</x:v>
      </x:c>
      <x:c r="D231" s="14" t="str">
        <x:v>t": "BAO_0000192", "bao_format": "BAO_0000219", "bao_label": "cell-based format", "canonical_smiles": "Cc1ncoc1-c1nnc(SCCCN2CC[C@]3(C[C@@H]3c3ccc(F)cc3C(F)(F)F)C2)n1C", "data_validity_comment": null, "data_validity_description": null, "document_chembl_id": "CHEMBL3853329", "document_journal": "J Med Chem", "document_year": 2016, "ligand_efficiency": {"bei": "10.94", "le": "0.22", "lle": "0.12", "s</x:v>
      </x:c>
    </x:row>
    <x:row r="232" ht="66" customHeight="1">
      <x:c r="A232" s="9" t="str">
        <x:v>frozen/raw/activities_page_000.json</x:v>
      </x:c>
      <x:c r="B232" s="13" t="n">
        <x:v>168</x:v>
      </x:c>
      <x:c r="C232" s="13" t="n">
        <x:v>423</x:v>
      </x:c>
      <x:c r="D232" s="9" t="str">
        <x:v>ei": "9.04"}, "modality": null, "molecule_chembl_id": "CHEMBL3945776", "molecule_pref_name": null, "parent_molecule_chembl_id": "CHEMBL3945776", "pchembl_value": "5.42", "potential_duplicate": 0, "qudt_units": "http://www.openphacts.org/units/Nanomolar", "record_id": 2796815, "relation": "=", "src_id": 1, "standard_flag": 1, "standard_relation": "=", "standard_text_value": null, "standard_type": "</x:v>
      </x:c>
    </x:row>
    <x:row r="233" ht="66" customHeight="1">
      <x:c r="A233" s="14" t="str">
        <x:v>frozen/raw/activities_page_000.json</x:v>
      </x:c>
      <x:c r="B233" s="17" t="n">
        <x:v>169</x:v>
      </x:c>
      <x:c r="C233" s="17" t="n">
        <x:v>423</x:v>
      </x:c>
      <x:c r="D233" s="14" t="str">
        <x:v>Ki", "standard_units": "nM", "standard_upper_value": null, "standard_value": "3801.89", "target_chembl_id": "CHEMBL217", "target_organism": "Homo sapiens", "target_pref_name": "D(2) dopamine receptor", "target_tax_id": "9606", "text_value": null, "toid": null, "type": "pKi", "units": null, "uo_units": "UO_0000065", "upper_value": null, "value": "5.42"}, {"action_type": null, "activity_comment": nu</x:v>
      </x:c>
    </x:row>
    <x:row r="234" ht="66" customHeight="1">
      <x:c r="A234" s="9" t="str">
        <x:v>frozen/raw/activities_page_000.json</x:v>
      </x:c>
      <x:c r="B234" s="13" t="n">
        <x:v>170</x:v>
      </x:c>
      <x:c r="C234" s="13" t="n">
        <x:v>423</x:v>
      </x:c>
      <x:c r="D234" s="9" t="str">
        <x:v>ll, "activity_id": 16670176,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x:v>
      </x:c>
    </x:row>
    <x:row r="235" ht="66" customHeight="1">
      <x:c r="A235" s="14" t="str">
        <x:v>frozen/raw/activities_page_000.json</x:v>
      </x:c>
      <x:c r="B235" s="17" t="n">
        <x:v>171</x:v>
      </x:c>
      <x:c r="C235" s="17" t="n">
        <x:v>423</x:v>
      </x:c>
      <x:c r="D235" s="14" t="str">
        <x:v>bao_format": "BAO_0000219", "bao_label": "cell-based format", "canonical_smiles": "Cc1ncoc1-c1nnc(SCCCN2CC[C@@]3(C[C@H]3c3ccc(F)cc3C(F)(F)F)C2)n1C", "data_validity_comment": null, "data_validity_description": null, "document_chembl_id": "CHEMBL3853329", "document_journal": "J Med Chem", "document_year": 2016, "ligand_efficiency": {"bei": "11.89", "le": "0.24", "lle": "0.59", "sei": "9.82"}, "modal</x:v>
      </x:c>
    </x:row>
    <x:row r="236" ht="66" customHeight="1">
      <x:c r="A236" s="9" t="str">
        <x:v>frozen/raw/activities_page_000.json</x:v>
      </x:c>
      <x:c r="B236" s="13" t="n">
        <x:v>172</x:v>
      </x:c>
      <x:c r="C236" s="13" t="n">
        <x:v>423</x:v>
      </x:c>
      <x:c r="D236" s="9" t="str">
        <x:v>ity": null, "molecule_chembl_id": "CHEMBL3975147", "molecule_pref_name": null, "parent_molecule_chembl_id": "CHEMBL3975147", "pchembl_value": "5.89", "potential_duplicate": 0, "qudt_units": "http://www.openphacts.org/units/Nanomolar", "record_id": 2796816, "relation": "=", "src_id": 1, "standard_flag": 1, "standard_relation": "=", "standard_text_value": null, "standard_type": "Ki", "standard_units</x:v>
      </x:c>
    </x:row>
    <x:row r="237" ht="66" customHeight="1">
      <x:c r="A237" s="14" t="str">
        <x:v>frozen/raw/activities_page_000.json</x:v>
      </x:c>
      <x:c r="B237" s="17" t="n">
        <x:v>173</x:v>
      </x:c>
      <x:c r="C237" s="17" t="n">
        <x:v>423</x:v>
      </x:c>
      <x:c r="D237" s="14" t="str">
        <x:v>": "nM", "standard_upper_value": null, "standard_value": "1288.25", "target_chembl_id": "CHEMBL217", "target_organism": "Homo sapiens", "target_pref_name": "D(2) dopamine receptor", "target_tax_id": "9606", "text_value": null, "toid": null, "type": "pKi", "units": null, "uo_units": "UO_0000065", "upper_value": null, "value": "5.89"}, {"action_type": null, "activity_comment": null, "activity_id": 1</x:v>
      </x:c>
    </x:row>
    <x:row r="238" ht="66" customHeight="1">
      <x:c r="A238" s="9" t="str">
        <x:v>frozen/raw/activities_page_000.json</x:v>
      </x:c>
      <x:c r="B238" s="13" t="n">
        <x:v>174</x:v>
      </x:c>
      <x:c r="C238" s="13" t="n">
        <x:v>423</x:v>
      </x:c>
      <x:c r="D238" s="9" t="str">
        <x:v>6670177,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x:v>
      </x:c>
    </x:row>
    <x:row r="239" ht="66" customHeight="1">
      <x:c r="A239" s="14" t="str">
        <x:v>frozen/raw/activities_page_000.json</x:v>
      </x:c>
      <x:c r="B239" s="17" t="n">
        <x:v>175</x:v>
      </x:c>
      <x:c r="C239" s="17" t="n">
        <x:v>423</x:v>
      </x:c>
      <x:c r="D239" s="14" t="str">
        <x:v>00219", "bao_label": "cell-based format", "canonical_smiles": "Cc1ncoc1-c1nnc(SCC(O)CN2CC[C@@]3(C[C@H]3c3ccc(C(F)(F)F)cc3)C2)n1C", "data_validity_comment": null, "data_validity_description": null, "document_chembl_id": "CHEMBL3853329", "document_journal": "J Med Chem", "document_year": 2016, "ligand_efficiency": {"bei": "11.67", "le": "0.23", "lle": "1.63", "sei": "7.18"}, "modality": null, "molec</x:v>
      </x:c>
    </x:row>
    <x:row r="240" ht="66" customHeight="1">
      <x:c r="A240" s="9" t="str">
        <x:v>frozen/raw/activities_page_000.json</x:v>
      </x:c>
      <x:c r="B240" s="13" t="n">
        <x:v>176</x:v>
      </x:c>
      <x:c r="C240" s="13" t="n">
        <x:v>423</x:v>
      </x:c>
      <x:c r="D240" s="9" t="str">
        <x:v>ule_chembl_id": "CHEMBL3954490", "molecule_pref_name": null, "parent_molecule_chembl_id": "CHEMBL3954490", "pchembl_value": "5.76", "potential_duplicate": 0, "qudt_units": "http://www.openphacts.org/units/Nanomolar", "record_id": 2796817, "relation": "=", "src_id": 1, "standard_flag": 1, "standard_relation": "=", "standard_text_value": null, "standard_type": "Ki", "standard_units": "nM", "standard</x:v>
      </x:c>
    </x:row>
    <x:row r="241" ht="66" customHeight="1">
      <x:c r="A241" s="14" t="str">
        <x:v>frozen/raw/activities_page_000.json</x:v>
      </x:c>
      <x:c r="B241" s="17" t="n">
        <x:v>177</x:v>
      </x:c>
      <x:c r="C241" s="17" t="n">
        <x:v>423</x:v>
      </x:c>
      <x:c r="D241" s="14" t="str">
        <x:v>_upper_value": null, "standard_value": "1737.8", "target_chembl_id": "CHEMBL217", "target_organism": "Homo sapiens", "target_pref_name": "D(2) dopamine receptor", "target_tax_id": "9606", "text_value": null, "toid": null, "type": "pKi", "units": null, "uo_units": "UO_0000065", "upper_value": null, "value": "5.76"}, {"action_type": null, "activity_comment": null, "activity_id": 16670178, "activity_</x:v>
      </x:c>
    </x:row>
    <x:row r="242" ht="66" customHeight="1">
      <x:c r="A242" s="9" t="str">
        <x:v>frozen/raw/activities_page_000.json</x:v>
      </x:c>
      <x:c r="B242" s="13" t="n">
        <x:v>178</x:v>
      </x:c>
      <x:c r="C242" s="13" t="n">
        <x:v>423</x:v>
      </x:c>
      <x:c r="D242" s="9" t="str">
        <x:v>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x:v>
      </x:c>
    </x:row>
    <x:row r="243" ht="66" customHeight="1">
      <x:c r="A243" s="14" t="str">
        <x:v>frozen/raw/activities_page_000.json</x:v>
      </x:c>
      <x:c r="B243" s="17" t="n">
        <x:v>179</x:v>
      </x:c>
      <x:c r="C243" s="17" t="n">
        <x:v>423</x:v>
      </x:c>
      <x:c r="D243" s="14" t="str">
        <x:v>: "cell-based format", "canonical_smiles": "Cc1ncoc1-c1nnc(SCCCN2CC[C@]3(C[C@H]3c3cc(Cl)cc(Cl)c3)C2)n1C", "data_validity_comment": null, "data_validity_description": null, "document_chembl_id": "CHEMBL3853329", "document_journal": "J Med Chem", "document_year": 2016, "ligand_efficiency": {"bei": "15.01", "le": "0.32", "lle": "1.73", "sei": "11.97"}, "modality": null, "molecule_chembl_id": "CHEMBL3</x:v>
      </x:c>
    </x:row>
    <x:row r="244" ht="66" customHeight="1">
      <x:c r="A244" s="9" t="str">
        <x:v>frozen/raw/activities_page_000.json</x:v>
      </x:c>
      <x:c r="B244" s="13" t="n">
        <x:v>180</x:v>
      </x:c>
      <x:c r="C244" s="13" t="n">
        <x:v>423</x:v>
      </x:c>
      <x:c r="D244" s="9" t="str">
        <x:v>983121", "molecule_pref_name": null, "parent_molecule_chembl_id": "CHEMBL3983121", "pchembl_value": "7.18", "potential_duplicate": 0, "qudt_units": "http://www.openphacts.org/units/Nanomolar", "record_id": 2796818, "relation": "=", "src_id": 1, "standard_flag": 1, "standard_relation": "=", "standard_text_value": null, "standard_type": "Ki", "standard_units": "nM", "standard_upper_value": null, "st</x:v>
      </x:c>
    </x:row>
    <x:row r="245" ht="66" customHeight="1">
      <x:c r="A245" s="14" t="str">
        <x:v>frozen/raw/activities_page_000.json</x:v>
      </x:c>
      <x:c r="B245" s="17" t="n">
        <x:v>181</x:v>
      </x:c>
      <x:c r="C245" s="17" t="n">
        <x:v>423</x:v>
      </x:c>
      <x:c r="D245" s="14" t="str">
        <x:v>andard_value": "66.07", "target_chembl_id": "CHEMBL217", "target_organism": "Homo sapiens", "target_pref_name": "D(2) dopamine receptor", "target_tax_id": "9606", "text_value": null, "toid": null, "type": "pKi", "units": null, "uo_units": "UO_0000065", "upper_value": null, "value": "7.18"}, {"action_type": null, "activity_comment": null, "activity_id": 16670179, "activity_properties": [], "assay_c</x:v>
      </x:c>
    </x:row>
    <x:row r="246" ht="66" customHeight="1">
      <x:c r="A246" s="9" t="str">
        <x:v>frozen/raw/activities_page_000.json</x:v>
      </x:c>
      <x:c r="B246" s="13" t="n">
        <x:v>182</x:v>
      </x:c>
      <x:c r="C246" s="13" t="n">
        <x:v>423</x:v>
      </x:c>
      <x:c r="D246" s="9" t="str">
        <x:v>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x:v>
      </x:c>
    </x:row>
    <x:row r="247" ht="66" customHeight="1">
      <x:c r="A247" s="14" t="str">
        <x:v>frozen/raw/activities_page_000.json</x:v>
      </x:c>
      <x:c r="B247" s="17" t="n">
        <x:v>183</x:v>
      </x:c>
      <x:c r="C247" s="17" t="n">
        <x:v>423</x:v>
      </x:c>
      <x:c r="D247" s="14" t="str">
        <x:v>anonical_smiles": "Cc1ncoc1-c1nnc(SCCCN2CC[C@]3(C[C@@H]3c3cc(Cl)cc(Cl)c3)C2)n1C", "data_validity_comment": null, "data_validity_description": null, "document_chembl_id": "CHEMBL3853329", "document_journal": "J Med Chem", "document_year": 2016, "ligand_efficiency": {"bei": "15.07", "le": "0.32", "lle": "1.76", "sei": "12.02"}, "modality": null, "molecule_chembl_id": "CHEMBL3899336", "molecule_pref_</x:v>
      </x:c>
    </x:row>
    <x:row r="248" ht="66" customHeight="1">
      <x:c r="A248" s="9" t="str">
        <x:v>frozen/raw/activities_page_000.json</x:v>
      </x:c>
      <x:c r="B248" s="13" t="n">
        <x:v>184</x:v>
      </x:c>
      <x:c r="C248" s="13" t="n">
        <x:v>423</x:v>
      </x:c>
      <x:c r="D248" s="9" t="str">
        <x:v>name": null, "parent_molecule_chembl_id": "CHEMBL3899336", "pchembl_value": "7.21", "potential_duplicate": 0, "qudt_units": "http://www.openphacts.org/units/Nanomolar", "record_id": 2796819, "relation": "=", "src_id": 1, "standard_flag": 1, "standard_relation": "=", "standard_text_value": null, "standard_type": "Ki", "standard_units": "nM", "standard_upper_value": null, "standard_value": "61.66", </x:v>
      </x:c>
    </x:row>
    <x:row r="249" ht="66" customHeight="1">
      <x:c r="A249" s="14" t="str">
        <x:v>frozen/raw/activities_page_000.json</x:v>
      </x:c>
      <x:c r="B249" s="17" t="n">
        <x:v>185</x:v>
      </x:c>
      <x:c r="C249" s="17" t="n">
        <x:v>423</x:v>
      </x:c>
      <x:c r="D249" s="14" t="str">
        <x:v>"target_chembl_id": "CHEMBL217", "target_organism": "Homo sapiens", "target_pref_name": "D(2) dopamine receptor", "target_tax_id": "9606", "text_value": null, "toid": null, "type": "pKi", "units": null, "uo_units": "UO_0000065", "upper_value": null, "value": "7.21"}, {"action_type": null, "activity_comment": null, "activity_id": 16670256, "activity_properties": [], "assay_chembl_id": "CHEMBL385527</x:v>
      </x:c>
    </x:row>
    <x:row r="250" ht="66" customHeight="1">
      <x:c r="A250" s="9" t="str">
        <x:v>frozen/raw/activities_page_000.json</x:v>
      </x:c>
      <x:c r="B250" s="13" t="n">
        <x:v>186</x:v>
      </x:c>
      <x:c r="C250" s="13" t="n">
        <x:v>423</x:v>
      </x:c>
      <x:c r="D250" s="9" t="str">
        <x:v>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x:v>
      </x:c>
    </x:row>
    <x:row r="251" ht="66" customHeight="1">
      <x:c r="A251" s="14" t="str">
        <x:v>frozen/raw/activities_page_000.json</x:v>
      </x:c>
      <x:c r="B251" s="17" t="n">
        <x:v>187</x:v>
      </x:c>
      <x:c r="C251" s="17" t="n">
        <x:v>423</x:v>
      </x:c>
      <x:c r="D251" s="14" t="str">
        <x:v>sc1-c1nnc(SCCCN2CC[C@]3(C[C@H]3c3ccc(C(F)(F)F)cc3)C2)n1C", "data_validity_comment": null, "data_validity_description": null, "document_chembl_id": "CHEMBL3853329", "document_journal": "J Med Chem", "document_year": 2016, "ligand_efficiency": {"bei": "11.97", "le": "0.24", "lle": "0.28", "sei": "12.62"}, "modality": null, "molecule_chembl_id": "CHEMBL3894257", "molecule_pref_name": null, "parent_mo</x:v>
      </x:c>
    </x:row>
    <x:row r="252" ht="66" customHeight="1">
      <x:c r="A252" s="9" t="str">
        <x:v>frozen/raw/activities_page_000.json</x:v>
      </x:c>
      <x:c r="B252" s="13" t="n">
        <x:v>188</x:v>
      </x:c>
      <x:c r="C252" s="13" t="n">
        <x:v>423</x:v>
      </x:c>
      <x:c r="D252" s="9" t="str">
        <x:v>lecule_chembl_id": "CHEMBL3894257", "pchembl_value": "5.91", "potential_duplicate": 0, "qudt_units": "http://www.openphacts.org/units/Nanomolar", "record_id": 2796820, "relation": "=", "src_id": 1, "standard_flag": 1, "standard_relation": "=", "standard_text_value": null, "standard_type": "Ki", "standard_units": "nM", "standard_upper_value": null, "standard_value": "1230.27", "target_chembl_id": "</x:v>
      </x:c>
    </x:row>
    <x:row r="253" ht="66" customHeight="1">
      <x:c r="A253" s="14" t="str">
        <x:v>frozen/raw/activities_page_000.json</x:v>
      </x:c>
      <x:c r="B253" s="17" t="n">
        <x:v>189</x:v>
      </x:c>
      <x:c r="C253" s="17" t="n">
        <x:v>423</x:v>
      </x:c>
      <x:c r="D253" s="14" t="str">
        <x:v>CHEMBL217", "target_organism": "Homo sapiens", "target_pref_name": "D(2) dopamine receptor", "target_tax_id": "9606", "text_value": null, "toid": null, "type": "pKi", "units": null, "uo_units": "UO_0000065", "upper_value": null, "value": "5.91"}, {"action_type": null, "activity_comment": null, "activity_id": 16670257, "activity_properties": [], "assay_chembl_id": "CHEMBL3855278", "assay_descriptio</x:v>
      </x:c>
    </x:row>
    <x:row r="254" ht="66" customHeight="1">
      <x:c r="A254" s="9" t="str">
        <x:v>frozen/raw/activities_page_000.json</x:v>
      </x:c>
      <x:c r="B254" s="13" t="n">
        <x:v>190</x:v>
      </x:c>
      <x:c r="C254" s="13" t="n">
        <x:v>423</x:v>
      </x:c>
      <x:c r="D254" s="9" t="str">
        <x:v>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"Cc1ncsc1-c1nnc(SCCCN2CC[C@</x:v>
      </x:c>
    </x:row>
    <x:row r="255" ht="66" customHeight="1">
      <x:c r="A255" s="14" t="str">
        <x:v>frozen/raw/activities_page_000.json</x:v>
      </x:c>
      <x:c r="B255" s="17" t="n">
        <x:v>191</x:v>
      </x:c>
      <x:c r="C255" s="17" t="n">
        <x:v>423</x:v>
      </x:c>
      <x:c r="D255" s="14" t="str">
        <x:v>]3(C[C@@H]3c3ccc(C(F)(F)F)cc3)C2)n1C", "data_validity_comment": null, "data_validity_description": null, "document_chembl_id": "CHEMBL3853329", "document_journal": "J Med Chem", "document_year": 2016, "ligand_efficiency": {"bei": "11.73", "le": "0.24", "lle": "0.16", "sei": "12.36"}, "modality": null, "molecule_chembl_id": "CHEMBL3923578", "molecule_pref_name": null, "parent_molecule_chembl_id": "</x:v>
      </x:c>
    </x:row>
    <x:row r="256" ht="66" customHeight="1">
      <x:c r="A256" s="9" t="str">
        <x:v>frozen/raw/activities_page_000.json</x:v>
      </x:c>
      <x:c r="B256" s="13" t="n">
        <x:v>192</x:v>
      </x:c>
      <x:c r="C256" s="13" t="n">
        <x:v>423</x:v>
      </x:c>
      <x:c r="D256" s="9" t="str">
        <x:v>CHEMBL3923578", "pchembl_value": "5.79", "potential_duplicate": 0, "qudt_units": "http://www.openphacts.org/units/Nanomolar", "record_id": 2796821, "relation": "=", "src_id": 1, "standard_flag": 1, "standard_relation": "=", "standard_text_value": null, "standard_type": "Ki", "standard_units": "nM", "standard_upper_value": null, "standard_value": "1621.81", "target_chembl_id": "CHEMBL217", "target_</x:v>
      </x:c>
    </x:row>
    <x:row r="257" ht="66" customHeight="1">
      <x:c r="A257" s="14" t="str">
        <x:v>frozen/raw/activities_page_000.json</x:v>
      </x:c>
      <x:c r="B257" s="17" t="n">
        <x:v>193</x:v>
      </x:c>
      <x:c r="C257" s="17" t="n">
        <x:v>423</x:v>
      </x:c>
      <x:c r="D257" s="14" t="str">
        <x:v>organism": "Homo sapiens", "target_pref_name": "D(2) dopamine receptor", "target_tax_id": "9606", "text_value": null, "toid": null, "type": "pKi", "units": null, "uo_units": "UO_0000065", "upper_value": null, "value": "5.79"}, {"action_type": null, "activity_comment": null, "activity_id": 16670258, "activity_properties": [], "assay_chembl_id": "CHEMBL3855278", "assay_description": "Displacement of</x:v>
      </x:c>
    </x:row>
    <x:row r="258" ht="66" customHeight="1">
      <x:c r="A258" s="9" t="str">
        <x:v>frozen/raw/activities_page_000.json</x:v>
      </x:c>
      <x:c r="B258" s="13" t="n">
        <x:v>194</x:v>
      </x:c>
      <x:c r="C258" s="13" t="n">
        <x:v>423</x:v>
      </x:c>
      <x:c r="D258" s="9" t="str">
        <x:v>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x:v>
      </x:c>
    </x:row>
    <x:row r="259" ht="66" customHeight="1">
      <x:c r="A259" s="14" t="str">
        <x:v>frozen/raw/activities_page_000.json</x:v>
      </x:c>
      <x:c r="B259" s="17" t="n">
        <x:v>195</x:v>
      </x:c>
      <x:c r="C259" s="17" t="n">
        <x:v>423</x:v>
      </x:c>
      <x:c r="D259" s="14" t="str">
        <x:v>2)nnc1-c1nccs1", "data_validity_comment": null, "data_validity_description": null, "document_chembl_id": "CHEMBL3853329", "document_journal": "J Med Chem", "document_year": 2016, "ligand_efficiency": {"bei": "13.20", "le": "0.27", "lle": "1.01", "sei": "13.51"}, "modality": null, "molecule_chembl_id": "CHEMBL3895585", "molecule_pref_name": null, "parent_molecule_chembl_id": "CHEMBL3895585", "pchem</x:v>
      </x:c>
    </x:row>
    <x:row r="260" ht="66" customHeight="1">
      <x:c r="A260" s="9" t="str">
        <x:v>frozen/raw/activities_page_000.json</x:v>
      </x:c>
      <x:c r="B260" s="13" t="n">
        <x:v>196</x:v>
      </x:c>
      <x:c r="C260" s="13" t="n">
        <x:v>423</x:v>
      </x:c>
      <x:c r="D260" s="9" t="str">
        <x:v>bl_value": "6.33", "potential_duplicate": 0, "qudt_units": "http://www.openphacts.org/units/Nanomolar", "record_id": 2796822, "relation": "=", "src_id": 1, "standard_flag": 1, "standard_relation": "=", "standard_text_value": null, "standard_type": "Ki", "standard_units": "nM", "standard_upper_value": null, "standard_value": "467.74", "target_chembl_id": "CHEMBL217", "target_organism": "Homo sapien</x:v>
      </x:c>
    </x:row>
    <x:row r="261" ht="66" customHeight="1">
      <x:c r="A261" s="14" t="str">
        <x:v>frozen/raw/activities_page_000.json</x:v>
      </x:c>
      <x:c r="B261" s="17" t="n">
        <x:v>197</x:v>
      </x:c>
      <x:c r="C261" s="17" t="n">
        <x:v>423</x:v>
      </x:c>
      <x:c r="D261" s="14" t="str">
        <x:v>s", "target_pref_name": "D(2) dopamine receptor", "target_tax_id": "9606", "text_value": null, "toid": null, "type": "pKi", "units": null, "uo_units": "UO_0000065", "upper_value": null, "value": "6.33"}, {"action_type": null, "activity_comment": null, "activity_id": 16670259, "activity_properties": [], "assay_chembl_id": "CHEMBL3855278", "assay_description": "Displacement of [3H]-spiperone from hu</x:v>
      </x:c>
    </x:row>
    <x:row r="262" ht="66" customHeight="1">
      <x:c r="A262" s="9" t="str">
        <x:v>frozen/raw/activities_page_000.json</x:v>
      </x:c>
      <x:c r="B262" s="13" t="n">
        <x:v>198</x:v>
      </x:c>
      <x:c r="C262" s="13" t="n">
        <x:v>423</x:v>
      </x:c>
      <x:c r="D262" s="9" t="str">
        <x:v>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"Cn1c(SCCCN2CC[C@]3(C[C@@H]3c3ccc(C(F)(F)F)cc3)C2)nnc1-c1nccs1", "data</x:v>
      </x:c>
    </x:row>
    <x:row r="263" ht="66" customHeight="1">
      <x:c r="A263" s="14" t="str">
        <x:v>frozen/raw/activities_page_000.json</x:v>
      </x:c>
      <x:c r="B263" s="17" t="n">
        <x:v>199</x:v>
      </x:c>
      <x:c r="C263" s="17" t="n">
        <x:v>423</x:v>
      </x:c>
      <x:c r="D263" s="14" t="str">
        <x:v>_validity_comment": null, "data_validity_description": null, "document_chembl_id": "CHEMBL3853329", "document_journal": "J Med Chem", "document_year": 2016, "ligand_efficiency": {"bei": "13.28", "le": "0.27", "lle": "1.05", "sei": "13.60"}, "modality": null, "molecule_chembl_id": "CHEMBL3914556", "molecule_pref_name": null, "parent_molecule_chembl_id": "CHEMBL3914556", "pchembl_value": "6.37", "po</x:v>
      </x:c>
    </x:row>
    <x:row r="264" ht="66" customHeight="1">
      <x:c r="A264" s="9" t="str">
        <x:v>frozen/raw/activities_page_000.json</x:v>
      </x:c>
      <x:c r="B264" s="13" t="n">
        <x:v>200</x:v>
      </x:c>
      <x:c r="C264" s="13" t="n">
        <x:v>423</x:v>
      </x:c>
      <x:c r="D264" s="9" t="str">
        <x:v>tential_duplicate": 0, "qudt_units": "http://www.openphacts.org/units/Nanomolar", "record_id": 2796823, "relation": "=", "src_id": 1, "standard_flag": 1, "standard_relation": "=", "standard_text_value": null, "standard_type": "Ki", "standard_units": "nM", "standard_upper_value": null, "standard_value": "426.58", "target_chembl_id": "CHEMBL217", "target_organism": "Homo sapiens", "target_pref_name"</x:v>
      </x:c>
    </x:row>
    <x:row r="265" ht="66" customHeight="1">
      <x:c r="A265" s="14" t="str">
        <x:v>frozen/raw/activities_page_000.json</x:v>
      </x:c>
      <x:c r="B265" s="17" t="n">
        <x:v>201</x:v>
      </x:c>
      <x:c r="C265" s="17" t="n">
        <x:v>423</x:v>
      </x:c>
      <x:c r="D265" s="14" t="str">
        <x:v>: "D(2) dopamine receptor", "target_tax_id": "9606", "text_value": null, "toid": null, "type": "pKi", "units": null, "uo_units": "UO_0000065", "upper_value": null, "value": "6.37"}, {"action_type": null, "activity_comment": null, "activity_id": 16670260, "activity_properties": [], "assay_chembl_id": "CHEMBL3855278", "assay_description": "Displacement of [3H]-spiperone from human dopamine D2 recept</x:v>
      </x:c>
    </x:row>
    <x:row r="266" ht="66" customHeight="1">
      <x:c r="A266" s="9" t="str">
        <x:v>frozen/raw/activities_page_000.json</x:v>
      </x:c>
      <x:c r="B266" s="13" t="n">
        <x:v>202</x:v>
      </x:c>
      <x:c r="C266" s="13" t="n">
        <x:v>423</x:v>
      </x:c>
      <x:c r="D266" s="9" t="str">
        <x:v>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"Cn1c(SCCCN2CC[C@]3(C[C@H]3c3ccc(C(F)(F)F)cc3)C2)nnc1-c1csnn1", "data_validity_comment": nul</x:v>
      </x:c>
    </x:row>
    <x:row r="267" ht="66" customHeight="1">
      <x:c r="A267" s="14" t="str">
        <x:v>frozen/raw/activities_page_000.json</x:v>
      </x:c>
      <x:c r="B267" s="17" t="n">
        <x:v>203</x:v>
      </x:c>
      <x:c r="C267" s="17" t="n">
        <x:v>423</x:v>
      </x:c>
      <x:c r="D267" s="14" t="str">
        <x:v>l, "data_validity_description": null, "document_chembl_id": "CHEMBL3853329", "document_journal": "J Med Chem", "document_year": 2016, "ligand_efficiency": {"bei": "14.42", "le": "0.30", "lle": "2.22", "sei": "11.60"}, "modality": null, "molecule_chembl_id": "CHEMBL3984387", "molecule_pref_name": null, "parent_molecule_chembl_id": "CHEMBL3984387", "pchembl_value": "6.93", "potential_duplicate": 0, </x:v>
      </x:c>
    </x:row>
    <x:row r="268" ht="66" customHeight="1">
      <x:c r="A268" s="9" t="str">
        <x:v>frozen/raw/activities_page_000.json</x:v>
      </x:c>
      <x:c r="B268" s="13" t="n">
        <x:v>204</x:v>
      </x:c>
      <x:c r="C268" s="13" t="n">
        <x:v>423</x:v>
      </x:c>
      <x:c r="D268" s="9" t="str">
        <x:v>"qudt_units": "http://www.openphacts.org/units/Nanomolar", "record_id": 2796824, "relation": "=", "src_id": 1, "standard_flag": 1, "standard_relation": "=", "standard_text_value": null, "standard_type": "Ki", "standard_units": "nM", "standard_upper_value": null, "standard_value": "117.49", "target_chembl_id": "CHEMBL217", "target_organism": "Homo sapiens", "target_pref_name": "D(2) dopamine recept</x:v>
      </x:c>
    </x:row>
    <x:row r="269" ht="66" customHeight="1">
      <x:c r="A269" s="14" t="str">
        <x:v>frozen/raw/activities_page_000.json</x:v>
      </x:c>
      <x:c r="B269" s="17" t="n">
        <x:v>205</x:v>
      </x:c>
      <x:c r="C269" s="17" t="n">
        <x:v>423</x:v>
      </x:c>
      <x:c r="D269" s="14" t="str">
        <x:v>or", "target_tax_id": "9606", "text_value": null, "toid": null, "type": "pKi", "units": null, "uo_units": "UO_0000065", "upper_value": null, "value": "6.93"}, {"action_type": null, "activity_comment": null, "activity_id": 16670261, "activity_properties": [], "assay_chembl_id": "CHEMBL3855278", "assay_description": "Displacement of [3H]-spiperone from human dopamine D2 receptor expressed in CHO-K1 </x:v>
      </x:c>
    </x:row>
    <x:row r="270" ht="66" customHeight="1">
      <x:c r="A270" s="9" t="str">
        <x:v>frozen/raw/activities_page_000.json</x:v>
      </x:c>
      <x:c r="B270" s="13" t="n">
        <x:v>206</x:v>
      </x:c>
      <x:c r="C270" s="13" t="n">
        <x:v>423</x:v>
      </x:c>
      <x:c r="D270" s="9" t="str">
        <x:v>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"Cn1c(SCCCN2CC[C@]3(C[C@@H]3c3ccc(C(F)(F)F)cc3)C2)nnc1-c1csnn1", "data_validity_comment": null, "data_validity_desc</x:v>
      </x:c>
    </x:row>
    <x:row r="271" ht="66" customHeight="1">
      <x:c r="A271" s="14" t="str">
        <x:v>frozen/raw/activities_page_000.json</x:v>
      </x:c>
      <x:c r="B271" s="17" t="n">
        <x:v>207</x:v>
      </x:c>
      <x:c r="C271" s="17" t="n">
        <x:v>423</x:v>
      </x:c>
      <x:c r="D271" s="14" t="str">
        <x:v>ription": null, "document_chembl_id": "CHEMBL3853329", "document_journal": "J Med Chem", "document_year": 2016, "ligand_efficiency": {"bei": "14.34", "le": "0.29", "lle": "2.18", "sei": "11.54"}, "modality": null, "molecule_chembl_id": "CHEMBL3905582", "molecule_pref_name": null, "parent_molecule_chembl_id": "CHEMBL3905582", "pchembl_value": "6.89", "potential_duplicate": 0, "qudt_units": "http://</x:v>
      </x:c>
    </x:row>
    <x:row r="272" ht="66" customHeight="1">
      <x:c r="A272" s="9" t="str">
        <x:v>frozen/raw/activities_page_000.json</x:v>
      </x:c>
      <x:c r="B272" s="13" t="n">
        <x:v>208</x:v>
      </x:c>
      <x:c r="C272" s="13" t="n">
        <x:v>423</x:v>
      </x:c>
      <x:c r="D272" s="9" t="str">
        <x:v>www.openphacts.org/units/Nanomolar", "record_id": 2796825, "relation": "=", "src_id": 1, "standard_flag": 1, "standard_relation": "=", "standard_text_value": null, "standard_type": "Ki", "standard_units": "nM", "standard_upper_value": null, "standard_value": "128.82", "target_chembl_id": "CHEMBL217", "target_organism": "Homo sapiens", "target_pref_name": "D(2) dopamine receptor", "target_tax_id": </x:v>
      </x:c>
    </x:row>
    <x:row r="273" ht="66" customHeight="1">
      <x:c r="A273" s="14" t="str">
        <x:v>frozen/raw/activities_page_000.json</x:v>
      </x:c>
      <x:c r="B273" s="17" t="n">
        <x:v>209</x:v>
      </x:c>
      <x:c r="C273" s="17" t="n">
        <x:v>423</x:v>
      </x:c>
      <x:c r="D273" s="14" t="str">
        <x:v>"9606", "text_value": null, "toid": null, "type": "pKi", "units": null, "uo_units": "UO_0000065", "upper_value": null, "value": "6.89"}, {"action_type": null, "activity_comment": null, "activity_id": 16670262, "activity_properties": [], "assay_chembl_id": "CHEMBL3855278", "assay_description": "Displacement of [3H]-spiperone from human dopamine D2 receptor expressed in CHO-K1 cell membranes coexpre</x:v>
      </x:c>
    </x:row>
    <x:row r="274" ht="66" customHeight="1">
      <x:c r="A274" s="9" t="str">
        <x:v>frozen/raw/activities_page_000.json</x:v>
      </x:c>
      <x:c r="B274" s="13" t="n">
        <x:v>210</x:v>
      </x:c>
      <x:c r="C274" s="13" t="n">
        <x:v>423</x:v>
      </x:c>
      <x:c r="D274" s="9" t="str">
        <x:v>ssing Galpha16 after 120 mins by liquid scintillation counting", "assay_type": "B", "assay_variant_accession": null, "assay_variant_mutation": null, "bao_endpoint": "BAO_0000192", "bao_format": "BAO_0000219", "bao_label": "cell-based format", "canonical_smiles": "Cn1c(SCCCN2CC[C@]3(C[C@@H]3c3ccc(C(F)(F)F)cc3)C2)nnc1-c1cccs1", "data_validity_comment": null, "data_validity_description": null, "docum</x:v>
      </x:c>
    </x:row>
    <x:row r="275" ht="66" customHeight="1">
      <x:c r="A275" s="14" t="str">
        <x:v>frozen/raw/activities_page_000.json</x:v>
      </x:c>
      <x:c r="B275" s="17" t="n">
        <x:v>211</x:v>
      </x:c>
      <x:c r="C275" s="17" t="n">
        <x:v>423</x:v>
      </x:c>
      <x:c r="D275" s="14" t="str">
        <x:v>ent_chembl_id": "CHEMBL3853329", "document_journal": "J Med Chem", "document_year": 2016, "ligand_efficiency": {"bei": "13.50", "le": "0.28", "lle": "0.54", "sei": "19.03"}, "modality": null, "molecule_chembl_id": "CHEMBL3976319", "molecule_pref_name": null, "parent_molecule_chembl_id": "CHEMBL3976319", "pchembl_value": "6.46", "potential_duplicate": 0, "qudt_units": "http://www.openphacts.org/uni</x:v>
      </x:c>
    </x:row>
    <x:row r="276" ht="66" customHeight="1">
      <x:c r="A276" s="9" t="str">
        <x:v>frozen/raw/activities_page_000.json</x:v>
      </x:c>
      <x:c r="B276" s="13" t="n">
        <x:v>212</x:v>
      </x:c>
      <x:c r="C276" s="13" t="n">
        <x:v>423</x:v>
      </x:c>
      <x:c r="D276" s="9" t="str">
        <x:v>ts/Nanomolar", "record_id": 2796826, "relation": "=", "src_id": 1, "standard_flag": 1, "standard_relation": "=", "standard_text_value": null, "standard_type": "Ki", "standard_units": "nM", "standard_upper_value": null, "standard_value": "346.74", "target_chembl_id": "CHEMBL217", "target_organism": "Homo sapiens", "target_pref_name": "D(2) dopamine receptor", "target_tax_id": "9606", "text_value": </x:v>
      </x:c>
    </x:row>
    <x:row r="277" ht="66" customHeight="1">
      <x:c r="A277" s="14" t="str">
        <x:v>frozen/raw/activities_page_000.json</x:v>
      </x:c>
      <x:c r="B277" s="17" t="n">
        <x:v>213</x:v>
      </x:c>
      <x:c r="C277" s="17" t="n">
        <x:v>423</x:v>
      </x:c>
      <x:c r="D277" s="14" t="str">
        <x:v>null, "toid": null, "type": "pKi", "units": null, "uo_units": "UO_0000065", "upper_value": null, "value": "6.46"}, {"action_type": null, "activity_comment": null, "activity_id": 16670263, "activity_properties": [], "assay_chembl_id": "CHEMBL3855278", "assay_description": "Displacement of [3H]-spiperone from human dopamine D2 receptor expressed in CHO-K1 cell membranes coexpressing Galpha16 after 1</x:v>
      </x:c>
    </x:row>
    <x:row r="278" ht="66" customHeight="1">
      <x:c r="A278" s="9" t="str">
        <x:v>frozen/raw/activities_page_000.json</x:v>
      </x:c>
      <x:c r="B278" s="13" t="n">
        <x:v>214</x:v>
      </x:c>
      <x:c r="C278" s="13" t="n">
        <x:v>423</x:v>
      </x:c>
      <x:c r="D278" s="9" t="str">
        <x:v>20 mins by liquid scintillation counting", "assay_type": "B", "assay_variant_accession": null, "assay_variant_mutation": null, "bao_endpoint": "BAO_0000192", "bao_format": "BAO_0000219", "bao_label": "cell-based format", "canonical_smiles": "Cn1c(SCCCN2CC[C@]3(C[C@@H]3c3ccc(C(F)(F)F)cc3)C2)nnc1-c1ccsc1", "data_validity_comment": null, "data_validity_description": null, "document_chembl_id": "CHEMB</x:v>
      </x:c>
    </x:row>
    <x:row r="279" ht="66" customHeight="1">
      <x:c r="A279" s="14" t="str">
        <x:v>frozen/raw/activities_page_000.json</x:v>
      </x:c>
      <x:c r="B279" s="17" t="n">
        <x:v>215</x:v>
      </x:c>
      <x:c r="C279" s="17" t="n">
        <x:v>423</x:v>
      </x:c>
      <x:c r="D279" s="14" t="str">
        <x:v>L3853329", "document_journal": "J Med Chem", "document_year": 2016, "ligand_efficiency": {"bei": "13.54", "le": "0.28", "lle": "0.56", "sei": "19.09"}, "modality": null, "molecule_chembl_id": "CHEMBL3896638", "molecule_pref_name": null, "parent_molecule_chembl_id": "CHEMBL3896638", "pchembl_value": "6.48", "potential_duplicate": 0, "qudt_units": "http://www.openphacts.org/units/Nanomolar", "record</x:v>
      </x:c>
    </x:row>
    <x:row r="280" ht="66" customHeight="1">
      <x:c r="A280" s="9" t="str">
        <x:v>frozen/raw/activities_page_000.json</x:v>
      </x:c>
      <x:c r="B280" s="13" t="n">
        <x:v>216</x:v>
      </x:c>
      <x:c r="C280" s="13" t="n">
        <x:v>423</x:v>
      </x:c>
      <x:c r="D280" s="9" t="str">
        <x:v>_id": 2796827, "relation": "=", "src_id": 1, "standard_flag": 1, "standard_relation": "=", "standard_text_value": null, "standard_type": "Ki", "standard_units": "nM", "standard_upper_value": null, "standard_value": "331.13", "target_chembl_id": "CHEMBL217", "target_organism": "Homo sapiens", "target_pref_name": "D(2) dopamine receptor", "target_tax_id": "9606", "text_value": null, "toid": null, "t</x:v>
      </x:c>
    </x:row>
    <x:row r="281" ht="66" customHeight="1">
      <x:c r="A281" s="14" t="str">
        <x:v>frozen/raw/activities_page_000.json</x:v>
      </x:c>
      <x:c r="B281" s="17" t="n">
        <x:v>217</x:v>
      </x:c>
      <x:c r="C281" s="17" t="n">
        <x:v>423</x:v>
      </x:c>
      <x:c r="D281" s="14" t="str">
        <x:v>ype": "pKi", "units": null, "uo_units": "UO_0000065", "upper_value": null, "value": "6.48"}, {"action_type": null, "activity_comment": null, "activity_id": 16670264, "activity_properties": [], "assay_chembl_id": "CHEMBL3855278", "assay_description": "Displacement of [3H]-spiperone from human dopamine D2 receptor expressed in CHO-K1 cell membranes coexpressing Galpha16 after 120 mins by liquid scin</x:v>
      </x:c>
    </x:row>
    <x:row r="282" ht="66" customHeight="1">
      <x:c r="A282" s="9" t="str">
        <x:v>frozen/raw/activities_page_000.json</x:v>
      </x:c>
      <x:c r="B282" s="13" t="n">
        <x:v>218</x:v>
      </x:c>
      <x:c r="C282" s="13" t="n">
        <x:v>423</x:v>
      </x:c>
      <x:c r="D282" s="9" t="str">
        <x:v>tillation counting", "assay_type": "B", "assay_variant_accession": null, "assay_variant_mutation": null, "bao_endpoint": "BAO_0000192", "bao_format": "BAO_0000219", "bao_label": "cell-based format", "canonical_smiles": "Cn1c(SCCCN2CC[C@]3(C[C@@H]3c3ccc(C(F)(F)F)cc3)C2)nnc1-c1ccco1", "data_validity_comment": null, "data_validity_description": null, "document_chembl_id": "CHEMBL3853329", "document_j</x:v>
      </x:c>
    </x:row>
    <x:row r="283" ht="66" customHeight="1">
      <x:c r="A283" s="14" t="str">
        <x:v>frozen/raw/activities_page_000.json</x:v>
      </x:c>
      <x:c r="B283" s="17" t="n">
        <x:v>219</x:v>
      </x:c>
      <x:c r="C283" s="17" t="n">
        <x:v>423</x:v>
      </x:c>
      <x:c r="D283" s="14" t="str">
        <x:v>ournal": "J Med Chem", "document_year": 2016, "ligand_efficiency": {"bei": "13.66", "le": "0.27", "lle": "0.86", "sei": "13.42"}, "modality": null, "molecule_chembl_id": "CHEMBL3967806", "molecule_pref_name": null, "parent_molecule_chembl_id": "CHEMBL3967806", "pchembl_value": "6.32", "potential_duplicate": 0, "qudt_units": "http://www.openphacts.org/units/Nanomolar", "record_id": 2796828, "relati</x:v>
      </x:c>
    </x:row>
    <x:row r="284" ht="66" customHeight="1">
      <x:c r="A284" s="9" t="str">
        <x:v>frozen/raw/activities_page_000.json</x:v>
      </x:c>
      <x:c r="B284" s="13" t="n">
        <x:v>220</x:v>
      </x:c>
      <x:c r="C284" s="13" t="n">
        <x:v>423</x:v>
      </x:c>
      <x:c r="D284" s="9" t="str">
        <x:v>on": "=", "src_id": 1, "standard_flag": 1, "standard_relation": "=", "standard_text_value": null, "standard_type": "Ki", "standard_units": "nM", "standard_upper_value": null, "standard_value": "478.63", "target_chembl_id": "CHEMBL217", "target_organism": "Homo sapiens", "target_pref_name": "D(2) dopamine receptor", "target_tax_id": "9606", "text_value": null, "toid": null, "type": "pKi", "units": </x:v>
      </x:c>
    </x:row>
    <x:row r="285" ht="66" customHeight="1">
      <x:c r="A285" s="14" t="str">
        <x:v>frozen/raw/activities_page_000.json</x:v>
      </x:c>
      <x:c r="B285" s="17" t="n">
        <x:v>221</x:v>
      </x:c>
      <x:c r="C285" s="17" t="n">
        <x:v>423</x:v>
      </x:c>
      <x:c r="D285" s="14" t="str">
        <x:v>null, "uo_units": "UO_0000065", "upper_value": null, "value": "6.32"}, {"action_type": null, "activity_comment": null, "activity_id": 16670265, "activity_properties": [], "assay_chembl_id": "CHEMBL3855278", "assay_description": "Displacement of [3H]-spiperone from human dopamine D2 receptor expressed in CHO-K1 cell membranes coexpressing Galpha16 after 120 mins by liquid scintillation counting", "</x:v>
      </x:c>
    </x:row>
    <x:row r="286" ht="66" customHeight="1">
      <x:c r="A286" s="9" t="str">
        <x:v>frozen/raw/activities_page_000.json</x:v>
      </x:c>
      <x:c r="B286" s="13" t="n">
        <x:v>222</x:v>
      </x:c>
      <x:c r="C286" s="13" t="n">
        <x:v>423</x:v>
      </x:c>
      <x:c r="D286" s="9" t="str">
        <x:v>assay_type": "B", "assay_variant_accession": null, "assay_variant_mutation": null, "bao_endpoint": "BAO_0000192", "bao_format": "BAO_0000219", "bao_label": "cell-based format", "canonical_smiles": "Cn1c(SCCCN2CC[C@]3(C[C@@H]3c3ccc(C(F)(F)F)cc3)C2)nnc1-c1ccoc1", "data_validity_comment": null, "data_validity_description": null, "document_chembl_id": "CHEMBL3853329", "document_journal": "J Med Chem",</x:v>
      </x:c>
    </x:row>
    <x:row r="287" ht="66" customHeight="1">
      <x:c r="A287" s="14" t="str">
        <x:v>frozen/raw/activities_page_000.json</x:v>
      </x:c>
      <x:c r="B287" s="17" t="n">
        <x:v>223</x:v>
      </x:c>
      <x:c r="C287" s="17" t="n">
        <x:v>423</x:v>
      </x:c>
      <x:c r="D287" s="14" t="str">
        <x:v> "document_year": 2016, "ligand_efficiency": {"bei": "13.62", "le": "0.27", "lle": "0.84", "sei": "13.38"}, "modality": null, "molecule_chembl_id": "CHEMBL3985419", "molecule_pref_name": null, "parent_molecule_chembl_id": "CHEMBL3985419", "pchembl_value": "6.30", "potential_duplicate": 0, "qudt_units": "http://www.openphacts.org/units/Nanomolar", "record_id": 2796829, "relation": "=", "src_id": 1,</x:v>
      </x:c>
    </x:row>
    <x:row r="288" ht="66" customHeight="1">
      <x:c r="A288" s="9" t="str">
        <x:v>frozen/raw/activities_page_000.json</x:v>
      </x:c>
      <x:c r="B288" s="13" t="n">
        <x:v>224</x:v>
      </x:c>
      <x:c r="C288" s="13" t="n">
        <x:v>423</x:v>
      </x:c>
      <x:c r="D288" s="9" t="str">
        <x:v> "standard_flag": 1, "standard_relation": "=", "standard_text_value": null, "standard_type": "Ki", "standard_units": "nM", "standard_upper_value": null, "standard_value": "501.19", "target_chembl_id": "CHEMBL217", "target_organism": "Homo sapiens", "target_pref_name": "D(2) dopamine receptor", "target_tax_id": "9606", "text_value": null, "toid": null, "type": "pKi", "units": null, "uo_units": "UO_</x:v>
      </x:c>
    </x:row>
    <x:row r="289" ht="66" customHeight="1">
      <x:c r="A289" s="14" t="str">
        <x:v>frozen/raw/activities_page_000.json</x:v>
      </x:c>
      <x:c r="B289" s="17" t="n">
        <x:v>225</x:v>
      </x:c>
      <x:c r="C289" s="17" t="n">
        <x:v>423</x:v>
      </x:c>
      <x:c r="D289" s="14" t="str">
        <x:v>0000065", "upper_value": null, "value": "6.3"}, {"action_type": null, "activity_comment": null, "activity_id": 16670266, "activity_properties": [], "assay_chembl_id": "CHEMBL3855278", "assay_description": "Displacement of [3H]-spiperone from human dopamine D2 receptor expressed in CHO-K1 cell membranes coexpressing Galpha16 after 120 mins by liquid scintillation counting", "assay_type": "B", "assa</x:v>
      </x:c>
    </x:row>
    <x:row r="290" ht="66" customHeight="1">
      <x:c r="A290" s="9" t="str">
        <x:v>frozen/raw/activities_page_000.json</x:v>
      </x:c>
      <x:c r="B290" s="13" t="n">
        <x:v>226</x:v>
      </x:c>
      <x:c r="C290" s="13" t="n">
        <x:v>423</x:v>
      </x:c>
      <x:c r="D290" s="9" t="str">
        <x:v>y_variant_accession": null, "assay_variant_mutation": null, "bao_endpoint": "BAO_0000192", "bao_format": "BAO_0000219", "bao_label": "cell-based format", "canonical_smiles": "Cn1cc(-c2nnc(SCCCN3CC[C@]4(C[C@@H]4c4ccc(C(F)(F)F)cc4)C3)n2C)cn1", "data_validity_comment": null, "data_validity_description": null, "document_chembl_id": "CHEMBL3853329", "document_journal": "J Med Chem", "document_year": 20</x:v>
      </x:c>
    </x:row>
    <x:row r="291" ht="66" customHeight="1">
      <x:c r="A291" s="14" t="str">
        <x:v>frozen/raw/activities_page_000.json</x:v>
      </x:c>
      <x:c r="B291" s="17" t="n">
        <x:v>227</x:v>
      </x:c>
      <x:c r="C291" s="17" t="n">
        <x:v>423</x:v>
      </x:c>
      <x:c r="D291" s="14" t="str">
        <x:v>16, "ligand_efficiency": {"bei": "13.16", "le": "0.26", "lle": "1.67", "sei": "12.11"}, "modality": null, "molecule_chembl_id": "CHEMBL3956758", "molecule_pref_name": null, "parent_molecule_chembl_id": "CHEMBL3956758", "pchembl_value": "6.27", "potential_duplicate": 0, "qudt_units": "http://www.openphacts.org/units/Nanomolar", "record_id": 2796830, "relation": "=", "src_id": 1, "standard_flag": 1,</x:v>
      </x:c>
    </x:row>
    <x:row r="292" ht="66" customHeight="1">
      <x:c r="A292" s="9" t="str">
        <x:v>frozen/raw/activities_page_000.json</x:v>
      </x:c>
      <x:c r="B292" s="13" t="n">
        <x:v>228</x:v>
      </x:c>
      <x:c r="C292" s="13" t="n">
        <x:v>423</x:v>
      </x:c>
      <x:c r="D292" s="9" t="str">
        <x:v> "standard_relation": "=", "standard_text_value": null, "standard_type": "Ki", "standard_units": "nM", "standard_upper_value": null, "standard_value": "537.03", "target_chembl_id": "CHEMBL217", "target_organism": "Homo sapiens", "target_pref_name": "D(2) dopamine receptor", "target_tax_id": "9606", "text_value": null, "toid": null, "type": "pKi", "units": null, "uo_units": "UO_0000065", "upper_val</x:v>
      </x:c>
    </x:row>
    <x:row r="293" ht="66" customHeight="1">
      <x:c r="A293" s="14" t="str">
        <x:v>frozen/raw/activities_page_000.json</x:v>
      </x:c>
      <x:c r="B293" s="17" t="n">
        <x:v>229</x:v>
      </x:c>
      <x:c r="C293" s="17" t="n">
        <x:v>423</x:v>
      </x:c>
      <x:c r="D293" s="14" t="str">
        <x:v>ue": null, "value": "6.27"}, {"action_type": null, "activity_comment": null, "activity_id": 16670267, "activity_properties": [], "assay_chembl_id": "CHEMBL3855278", "assay_description": "Displacement of [3H]-spiperone from human dopamine D2 receptor expressed in CHO-K1 cell membranes coexpressing Galpha16 after 120 mins by liquid scintillation counting", "assay_type": "B", "assay_variant_accession</x:v>
      </x:c>
    </x:row>
    <x:row r="294" ht="66" customHeight="1">
      <x:c r="A294" s="9" t="str">
        <x:v>frozen/raw/activities_page_000.json</x:v>
      </x:c>
      <x:c r="B294" s="13" t="n">
        <x:v>230</x:v>
      </x:c>
      <x:c r="C294" s="13" t="n">
        <x:v>423</x:v>
      </x:c>
      <x:c r="D294" s="9" t="str">
        <x:v>": null, "assay_variant_mutation": null, "bao_endpoint": "BAO_0000192", "bao_format": "BAO_0000219", "bao_label": "cell-based format", "canonical_smiles": "Cn1nccc1-c1nnc(SCCCN2CC[C@]3(C[C@@H]3c3ccc(C(F)(F)F)cc3)C2)n1C", "data_validity_comment": null, "data_validity_description": null, "document_chembl_id": "CHEMBL3853329", "document_journal": "J Med Chem", "document_year": 2016, "ligand_efficienc</x:v>
      </x:c>
    </x:row>
    <x:row r="295" ht="66" customHeight="1">
      <x:c r="A295" s="14" t="str">
        <x:v>frozen/raw/activities_page_000.json</x:v>
      </x:c>
      <x:c r="B295" s="17" t="n">
        <x:v>231</x:v>
      </x:c>
      <x:c r="C295" s="17" t="n">
        <x:v>423</x:v>
      </x:c>
      <x:c r="D295" s="14" t="str">
        <x:v>y": {"bei": "12.74", "le": "0.25", "lle": "1.47", "sei": "11.72"}, "modality": null, "molecule_chembl_id": "CHEMBL3908174", "molecule_pref_name": null, "parent_molecule_chembl_id": "CHEMBL3908174", "pchembl_value": "6.07", "potential_duplicate": 0, "qudt_units": "http://www.openphacts.org/units/Nanomolar", "record_id": 2796831, "relation": "=", "src_id": 1, "standard_flag": 1, "standard_relation":</x:v>
      </x:c>
    </x:row>
    <x:row r="296" ht="66" customHeight="1">
      <x:c r="A296" s="9" t="str">
        <x:v>frozen/raw/activities_page_000.json</x:v>
      </x:c>
      <x:c r="B296" s="13" t="n">
        <x:v>232</x:v>
      </x:c>
      <x:c r="C296" s="13" t="n">
        <x:v>423</x:v>
      </x:c>
      <x:c r="D296" s="9" t="str">
        <x:v> "=", "standard_text_value": null, "standard_type": "Ki", "standard_units": "nM", "standard_upper_value": null, "standard_value": "851.14", "target_chembl_id": "CHEMBL217", "target_organism": "Homo sapiens", "target_pref_name": "D(2) dopamine receptor", "target_tax_id": "9606", "text_value": null, "toid": null, "type": "pKi", "units": null, "uo_units": "UO_0000065", "upper_value": null, "value": "</x:v>
      </x:c>
    </x:row>
    <x:row r="297" ht="66" customHeight="1">
      <x:c r="A297" s="14" t="str">
        <x:v>frozen/raw/activities_page_000.json</x:v>
      </x:c>
      <x:c r="B297" s="17" t="n">
        <x:v>233</x:v>
      </x:c>
      <x:c r="C297" s="17" t="n">
        <x:v>423</x:v>
      </x:c>
      <x:c r="D297" s="14" t="str">
        <x:v>6.07"}, {"action_type": null, "activity_comment": null, "activity_id": 16670268,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x:v>
      </x:c>
    </x:row>
    <x:row r="298" ht="66" customHeight="1">
      <x:c r="A298" s="9" t="str">
        <x:v>frozen/raw/activities_page_000.json</x:v>
      </x:c>
      <x:c r="B298" s="13" t="n">
        <x:v>234</x:v>
      </x:c>
      <x:c r="C298" s="13" t="n">
        <x:v>423</x:v>
      </x:c>
      <x:c r="D298" s="9" t="str">
        <x:v>nt_mutation": null, "bao_endpoint": "BAO_0000192", "bao_format": "BAO_0000219", "bao_label": "cell-based format", "canonical_smiles": "Cc1cc(-c2nnc(SCCCN3CC[C@]4(C[C@@H]4c4ccc(C(F)(F)F)cc4)C3)n2C)on1", "data_validity_comment": null, "data_validity_description": null, "document_chembl_id": "CHEMBL3853329", "document_journal": "J Med Chem", "document_year": 2016, "ligand_efficiency": {"bei": "13.15"</x:v>
      </x:c>
    </x:row>
    <x:row r="299" ht="66" customHeight="1">
      <x:c r="A299" s="14" t="str">
        <x:v>frozen/raw/activities_page_000.json</x:v>
      </x:c>
      <x:c r="B299" s="17" t="n">
        <x:v>235</x:v>
      </x:c>
      <x:c r="C299" s="17" t="n">
        <x:v>423</x:v>
      </x:c>
      <x:c r="D299" s="14" t="str">
        <x:v>, "le": "0.26", "lle": "1.12", "sei": "10.47"}, "modality": null, "molecule_chembl_id": "CHEMBL3978613", "molecule_pref_name": null, "parent_molecule_chembl_id": "CHEMBL3978613", "pchembl_value": "6.28", "potential_duplicate": 0, "qudt_units": "http://www.openphacts.org/units/Nanomolar", "record_id": 2796832, "relation": "=", "src_id": 1, "standard_flag": 1, "standard_relation": "=", "standard_tex</x:v>
      </x:c>
    </x:row>
    <x:row r="300" ht="66" customHeight="1">
      <x:c r="A300" s="9" t="str">
        <x:v>frozen/raw/activities_page_000.json</x:v>
      </x:c>
      <x:c r="B300" s="13" t="n">
        <x:v>236</x:v>
      </x:c>
      <x:c r="C300" s="13" t="n">
        <x:v>423</x:v>
      </x:c>
      <x:c r="D300" s="9" t="str">
        <x:v>t_value": null, "standard_type": "Ki", "standard_units": "nM", "standard_upper_value": null, "standard_value": "524.81", "target_chembl_id": "CHEMBL217", "target_organism": "Homo sapiens", "target_pref_name": "D(2) dopamine receptor", "target_tax_id": "9606", "text_value": null, "toid": null, "type": "pKi", "units": null, "uo_units": "UO_0000065", "upper_value": null, "value": "6.28"}, {"action_ty</x:v>
      </x:c>
    </x:row>
    <x:row r="301" ht="66" customHeight="1">
      <x:c r="A301" s="14" t="str">
        <x:v>frozen/raw/activities_page_000.json</x:v>
      </x:c>
      <x:c r="B301" s="17" t="n">
        <x:v>237</x:v>
      </x:c>
      <x:c r="C301" s="17" t="n">
        <x:v>423</x:v>
      </x:c>
      <x:c r="D301" s="14" t="str">
        <x:v>pe": null, "activity_comment": null, "activity_id": 16670299,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x:v>
      </x:c>
    </x:row>
    <x:row r="302" ht="66" customHeight="1">
      <x:c r="A302" s="9" t="str">
        <x:v>frozen/raw/activities_page_000.json</x:v>
      </x:c>
      <x:c r="B302" s="13" t="n">
        <x:v>238</x:v>
      </x:c>
      <x:c r="C302" s="13" t="n">
        <x:v>423</x:v>
      </x:c>
      <x:c r="D302" s="9" t="str">
        <x:v> "bao_endpoint": "BAO_0000192", "bao_format": "BAO_0000219", "bao_label": "cell-based format", "canonical_smiles": "Cn1c(SCCCN2CC[C@]3(C[C@@H]3c3ccc(C(F)(F)F)cc3)C2)nnc1-c1ccc(C(N)=O)cc1", "data_validity_comment": null, "data_validity_description": null, "document_chembl_id": "CHEMBL3853329", "document_journal": "J Med Chem", "document_year": 2016, "ligand_efficiency": {"bei": "12.51", "le": "0.24</x:v>
      </x:c>
    </x:row>
    <x:row r="303" ht="66" customHeight="1">
      <x:c r="A303" s="14" t="str">
        <x:v>frozen/raw/activities_page_000.json</x:v>
      </x:c>
      <x:c r="B303" s="17" t="n">
        <x:v>239</x:v>
      </x:c>
      <x:c r="C303" s="17" t="n">
        <x:v>423</x:v>
      </x:c>
      <x:c r="D303" s="14" t="str">
        <x:v>", "lle": "1.49", "sei": "8.37"}, "modality": null, "molecule_chembl_id": "CHEMBL3899125", "molecule_pref_name": null, "parent_molecule_chembl_id": "CHEMBL3899125", "pchembl_value": "6.45", "potential_duplicate": 0, "qudt_units": "http://www.openphacts.org/units/Nanomolar", "record_id": 2796833, "relation": "=", "src_id": 1, "standard_flag": 1, "standard_relation": "=", "standard_text_value": null</x:v>
      </x:c>
    </x:row>
    <x:row r="304" ht="66" customHeight="1">
      <x:c r="A304" s="9" t="str">
        <x:v>frozen/raw/activities_page_000.json</x:v>
      </x:c>
      <x:c r="B304" s="13" t="n">
        <x:v>240</x:v>
      </x:c>
      <x:c r="C304" s="13" t="n">
        <x:v>423</x:v>
      </x:c>
      <x:c r="D304" s="9" t="str">
        <x:v>, "standard_type": "Ki", "standard_units": "nM", "standard_upper_value": null, "standard_value": "354.81", "target_chembl_id": "CHEMBL217", "target_organism": "Homo sapiens", "target_pref_name": "D(2) dopamine receptor", "target_tax_id": "9606", "text_value": null, "toid": null, "type": "pKi", "units": null, "uo_units": "UO_0000065", "upper_value": null, "value": "6.45"}, {"action_type": null, "ac</x:v>
      </x:c>
    </x:row>
    <x:row r="305" ht="66" customHeight="1">
      <x:c r="A305" s="14" t="str">
        <x:v>frozen/raw/activities_page_000.json</x:v>
      </x:c>
      <x:c r="B305" s="17" t="n">
        <x:v>241</x:v>
      </x:c>
      <x:c r="C305" s="17" t="n">
        <x:v>423</x:v>
      </x:c>
      <x:c r="D305" s="14" t="str">
        <x:v>tivity_comment": null, "activity_id": 16670300,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x:v>
      </x:c>
    </x:row>
    <x:row r="306" ht="66" customHeight="1">
      <x:c r="A306" s="9" t="str">
        <x:v>frozen/raw/activities_page_000.json</x:v>
      </x:c>
      <x:c r="B306" s="13" t="n">
        <x:v>242</x:v>
      </x:c>
      <x:c r="C306" s="13" t="n">
        <x:v>423</x:v>
      </x:c>
      <x:c r="D306" s="9" t="str">
        <x:v>": "BAO_0000192", "bao_format": "BAO_0000219", "bao_label": "cell-based format", "canonical_smiles": "Cn1c(SCCCN2CC[C@]3(C[C@@H]3c3ccc(C(F)(F)F)cc3)C2)nnc1-c1cccc(C(N)=O)c1", "data_validity_comment": null, "data_validity_description": null, "document_chembl_id": "CHEMBL3853329", "document_journal": "J Med Chem", "document_year": 2016, "ligand_efficiency": {"bei": "12.02", "le": "0.24", "lle": "1.2</x:v>
      </x:c>
    </x:row>
    <x:row r="307" ht="66" customHeight="1">
      <x:c r="A307" s="14" t="str">
        <x:v>frozen/raw/activities_page_000.json</x:v>
      </x:c>
      <x:c r="B307" s="17" t="n">
        <x:v>243</x:v>
      </x:c>
      <x:c r="C307" s="17" t="n">
        <x:v>423</x:v>
      </x:c>
      <x:c r="D307" s="14" t="str">
        <x:v>4", "sei": "8.05"}, "modality": null, "molecule_chembl_id": "CHEMBL3970323", "molecule_pref_name": null, "parent_molecule_chembl_id": "CHEMBL3970323", "pchembl_value": "6.20", "potential_duplicate": 0, "qudt_units": "http://www.openphacts.org/units/Nanomolar", "record_id": 2796834, "relation": "=", "src_id": 1, "standard_flag": 1, "standard_relation": "=", "standard_text_value": null, "standard_ty</x:v>
      </x:c>
    </x:row>
    <x:row r="308" ht="66" customHeight="1">
      <x:c r="A308" s="9" t="str">
        <x:v>frozen/raw/activities_page_000.json</x:v>
      </x:c>
      <x:c r="B308" s="13" t="n">
        <x:v>244</x:v>
      </x:c>
      <x:c r="C308" s="13" t="n">
        <x:v>423</x:v>
      </x:c>
      <x:c r="D308" s="9" t="str">
        <x:v>pe": "Ki", "standard_units": "nM", "standard_upper_value": null, "standard_value": "630.96", "target_chembl_id": "CHEMBL217", "target_organism": "Homo sapiens", "target_pref_name": "D(2) dopamine receptor", "target_tax_id": "9606", "text_value": null, "toid": null, "type": "pKi", "units": null, "uo_units": "UO_0000065", "upper_value": null, "value": "6.2"}, {"action_type": null, "activity_comment"</x:v>
      </x:c>
    </x:row>
    <x:row r="309" ht="66" customHeight="1">
      <x:c r="A309" s="14" t="str">
        <x:v>frozen/raw/activities_page_000.json</x:v>
      </x:c>
      <x:c r="B309" s="17" t="n">
        <x:v>245</x:v>
      </x:c>
      <x:c r="C309" s="17" t="n">
        <x:v>423</x:v>
      </x:c>
      <x:c r="D309" s="14" t="str">
        <x:v>: null, "activity_id": 16670301,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x:v>
      </x:c>
    </x:row>
    <x:row r="310" ht="66" customHeight="1">
      <x:c r="A310" s="9" t="str">
        <x:v>frozen/raw/activities_page_000.json</x:v>
      </x:c>
      <x:c r="B310" s="13" t="n">
        <x:v>246</x:v>
      </x:c>
      <x:c r="C310" s="13" t="n">
        <x:v>423</x:v>
      </x:c>
      <x:c r="D310" s="9" t="str">
        <x:v>", "bao_format": "BAO_0000219", "bao_label": "cell-based format", "canonical_smiles": "Cn1c(SCCCN2CC[C@]3(C[C@@H]3c3ccc(C(F)(F)F)cc3)C2)nnc1-c1ccccc1C(N)=O", "data_validity_comment": null, "data_validity_description": null, "document_chembl_id": "CHEMBL3853329", "document_journal": "J Med Chem", "document_year": 2016, "ligand_efficiency": {"bei": "14.35", "le": "0.28", "lle": "2.44", "sei": "9.61"</x:v>
      </x:c>
    </x:row>
    <x:row r="311" ht="66" customHeight="1">
      <x:c r="A311" s="14" t="str">
        <x:v>frozen/raw/activities_page_000.json</x:v>
      </x:c>
      <x:c r="B311" s="17" t="n">
        <x:v>247</x:v>
      </x:c>
      <x:c r="C311" s="17" t="n">
        <x:v>423</x:v>
      </x:c>
      <x:c r="D311" s="14" t="str">
        <x:v>}, "modality": null, "molecule_chembl_id": "CHEMBL3890178", "molecule_pref_name": null, "parent_molecule_chembl_id": "CHEMBL3890178", "pchembl_value": "7.40", "potential_duplicate": 0, "qudt_units": "http://www.openphacts.org/units/Nanomolar", "record_id": 2796835, "relation": "=", "src_id": 1, "standard_flag": 1, "standard_relation": "=", "standard_text_value": null, "standard_type": "Ki", "stand</x:v>
      </x:c>
    </x:row>
    <x:row r="312" ht="66" customHeight="1">
      <x:c r="A312" s="9" t="str">
        <x:v>frozen/raw/activities_page_000.json</x:v>
      </x:c>
      <x:c r="B312" s="13" t="n">
        <x:v>248</x:v>
      </x:c>
      <x:c r="C312" s="13" t="n">
        <x:v>423</x:v>
      </x:c>
      <x:c r="D312" s="9" t="str">
        <x:v>ard_units": "nM", "standard_upper_value": null, "standard_value": "39.81", "target_chembl_id": "CHEMBL217", "target_organism": "Homo sapiens", "target_pref_name": "D(2) dopamine receptor", "target_tax_id": "9606", "text_value": null, "toid": null, "type": "pKi", "units": null, "uo_units": "UO_0000065", "upper_value": null, "value": "7.4"}, {"action_type": null, "activity_comment": null, "activity_</x:v>
      </x:c>
    </x:row>
    <x:row r="313" ht="66" customHeight="1">
      <x:c r="A313" s="14" t="str">
        <x:v>frozen/raw/activities_page_000.json</x:v>
      </x:c>
      <x:c r="B313" s="17" t="n">
        <x:v>249</x:v>
      </x:c>
      <x:c r="C313" s="17" t="n">
        <x:v>423</x:v>
      </x:c>
      <x:c r="D313" s="14" t="str">
        <x:v>id": 16670302,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x:v>
      </x:c>
    </x:row>
    <x:row r="314" ht="66" customHeight="1">
      <x:c r="A314" s="9" t="str">
        <x:v>frozen/raw/activities_page_000.json</x:v>
      </x:c>
      <x:c r="B314" s="13" t="n">
        <x:v>250</x:v>
      </x:c>
      <x:c r="C314" s="13" t="n">
        <x:v>423</x:v>
      </x:c>
      <x:c r="D314" s="9" t="str">
        <x:v>BAO_0000219", "bao_label": "cell-based format", "canonical_smiles": "Cn1c(SCCCN2CC[C@]3(C[C@@H]3c3ccc(C(F)(F)F)cc3)C2)nnc1-c1ccc(S(N)(=O)=O)cc1", "data_validity_comment": null, "data_validity_description": null, "document_chembl_id": "CHEMBL3853329", "document_journal": "J Med Chem", "document_year": 2016, "ligand_efficiency": {"bei": "12.07", "le": "0.25", "lle": "2.15", "sei": "7.08"}, "modality</x:v>
      </x:c>
    </x:row>
    <x:row r="315" ht="66" customHeight="1">
      <x:c r="A315" s="14" t="str">
        <x:v>frozen/raw/activities_page_000.json</x:v>
      </x:c>
      <x:c r="B315" s="17" t="n">
        <x:v>251</x:v>
      </x:c>
      <x:c r="C315" s="17" t="n">
        <x:v>423</x:v>
      </x:c>
      <x:c r="D315" s="14" t="str">
        <x:v>": null, "molecule_chembl_id": "CHEMBL3959240", "molecule_pref_name": null, "parent_molecule_chembl_id": "CHEMBL3959240", "pchembl_value": "6.66", "potential_duplicate": 0, "qudt_units": "http://www.openphacts.org/units/Nanomolar", "record_id": 2796836, "relation": "=", "src_id": 1, "standard_flag": 1, "standard_relation": "=", "standard_text_value": null, "standard_type": "Ki", "standard_units": </x:v>
      </x:c>
    </x:row>
    <x:row r="316" ht="66" customHeight="1">
      <x:c r="A316" s="9" t="str">
        <x:v>frozen/raw/activities_page_000.json</x:v>
      </x:c>
      <x:c r="B316" s="13" t="n">
        <x:v>252</x:v>
      </x:c>
      <x:c r="C316" s="13" t="n">
        <x:v>423</x:v>
      </x:c>
      <x:c r="D316" s="9" t="str">
        <x:v>"nM", "standard_upper_value": null, "standard_value": "218.78", "target_chembl_id": "CHEMBL217", "target_organism": "Homo sapiens", "target_pref_name": "D(2) dopamine receptor", "target_tax_id": "9606", "text_value": null, "toid": null, "type": "pKi", "units": null, "uo_units": "UO_0000065", "upper_value": null, "value": "6.66"}, {"action_type": null, "activity_comment": null, "activity_id": 16670</x:v>
      </x:c>
    </x:row>
    <x:row r="317" ht="66" customHeight="1">
      <x:c r="A317" s="14" t="str">
        <x:v>frozen/raw/activities_page_000.json</x:v>
      </x:c>
      <x:c r="B317" s="17" t="n">
        <x:v>253</x:v>
      </x:c>
      <x:c r="C317" s="17" t="n">
        <x:v>423</x:v>
      </x:c>
      <x:c r="D317" s="14" t="str">
        <x:v>303,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x:v>
      </x:c>
    </x:row>
    <x:row r="318" ht="66" customHeight="1">
      <x:c r="A318" s="9" t="str">
        <x:v>frozen/raw/activities_page_000.json</x:v>
      </x:c>
      <x:c r="B318" s="13" t="n">
        <x:v>254</x:v>
      </x:c>
      <x:c r="C318" s="13" t="n">
        <x:v>423</x:v>
      </x:c>
      <x:c r="D318" s="9" t="str">
        <x:v>9", "bao_label": "cell-based format", "canonical_smiles": "CC(=O)c1ccc(-c2nnc(SCCCN3CC[C@]4(C[C@@H]4c4ccc(C(F)(F)F)cc4)C3)n2C)cc1", "data_validity_comment": null, "data_validity_description": null, "document_chembl_id": "CHEMBL3853329", "document_journal": "J Med Chem", "document_year": 2016, "ligand_efficiency": {"bei": "12.34", "le": "0.24", "lle": "0.28", "sei": "12.45"}, "modality": null, "mol</x:v>
      </x:c>
    </x:row>
    <x:row r="319" ht="66" customHeight="1">
      <x:c r="A319" s="14" t="str">
        <x:v>frozen/raw/activities_page_000.json</x:v>
      </x:c>
      <x:c r="B319" s="17" t="n">
        <x:v>255</x:v>
      </x:c>
      <x:c r="C319" s="17" t="n">
        <x:v>423</x:v>
      </x:c>
      <x:c r="D319" s="14" t="str">
        <x:v>ecule_chembl_id": "CHEMBL3979523", "molecule_pref_name": null, "parent_molecule_chembl_id": "CHEMBL3979523", "pchembl_value": "6.35", "potential_duplicate": 0, "qudt_units": "http://www.openphacts.org/units/Nanomolar", "record_id": 2796837, "relation": "=", "src_id": 1, "standard_flag": 1, "standard_relation": "=", "standard_text_value": null, "standard_type": "Ki", "standard_units": "nM", "standa</x:v>
      </x:c>
    </x:row>
    <x:row r="320" ht="66" customHeight="1">
      <x:c r="A320" s="9" t="str">
        <x:v>frozen/raw/activities_page_000.json</x:v>
      </x:c>
      <x:c r="B320" s="13" t="n">
        <x:v>256</x:v>
      </x:c>
      <x:c r="C320" s="13" t="n">
        <x:v>423</x:v>
      </x:c>
      <x:c r="D320" s="9" t="str">
        <x:v>rd_upper_value": null, "standard_value": "446.68", "target_chembl_id": "CHEMBL217", "target_organism": "Homo sapiens", "target_pref_name": "D(2) dopamine receptor", "target_tax_id": "9606", "text_value": null, "toid": null, "type": "pKi", "units": null, "uo_units": "UO_0000065", "upper_value": null, "value": "6.35"}, {"action_type": null, "activity_comment": null, "activity_id": 16670304, "activit</x:v>
      </x:c>
    </x:row>
    <x:row r="321" ht="66" customHeight="1">
      <x:c r="A321" s="14" t="str">
        <x:v>frozen/raw/activities_page_000.json</x:v>
      </x:c>
      <x:c r="B321" s="17" t="n">
        <x:v>257</x:v>
      </x:c>
      <x:c r="C321" s="17" t="n">
        <x:v>423</x:v>
      </x:c>
      <x:c r="D321" s="14" t="str">
        <x:v>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x:v>
      </x:c>
    </x:row>
    <x:row r="322" ht="66" customHeight="1">
      <x:c r="A322" s="9" t="str">
        <x:v>frozen/raw/activities_page_000.json</x:v>
      </x:c>
      <x:c r="B322" s="13" t="n">
        <x:v>258</x:v>
      </x:c>
      <x:c r="C322" s="13" t="n">
        <x:v>423</x:v>
      </x:c>
      <x:c r="D322" s="9" t="str">
        <x:v>l": "cell-based format", "canonical_smiles": "Cn1c(SCCCN2CC[C@]3(C[C@@H]3c3ccc(C(F)(F)F)cc3)C2)nnc1-c1ccc(C#N)cc1", "data_validity_comment": null, "data_validity_description": null, "document_chembl_id": "CHEMBL3853329", "document_journal": "J Med Chem", "document_year": 2016, "ligand_efficiency": {"bei": "12.98", "le": "0.25", "lle": "0.73", "sei": "11.19"}, "modality": null, "molecule_chembl_id"</x:v>
      </x:c>
    </x:row>
    <x:row r="323" ht="66" customHeight="1">
      <x:c r="A323" s="14" t="str">
        <x:v>frozen/raw/activities_page_000.json</x:v>
      </x:c>
      <x:c r="B323" s="17" t="n">
        <x:v>259</x:v>
      </x:c>
      <x:c r="C323" s="17" t="n">
        <x:v>423</x:v>
      </x:c>
      <x:c r="D323" s="14" t="str">
        <x:v>: "CHEMBL3950540", "molecule_pref_name": null, "parent_molecule_chembl_id": "CHEMBL3950540", "pchembl_value": "6.46", "potential_duplicate": 0, "qudt_units": "http://www.openphacts.org/units/Nanomolar", "record_id": 2796838, "relation": "=", "src_id": 1, "standard_flag": 1, "standard_relation": "=", "standard_text_value": null, "standard_type": "Ki", "standard_units": "nM", "standard_upper_value":</x:v>
      </x:c>
    </x:row>
    <x:row r="324" ht="66" customHeight="1">
      <x:c r="A324" s="9" t="str">
        <x:v>frozen/raw/activities_page_000.json</x:v>
      </x:c>
      <x:c r="B324" s="13" t="n">
        <x:v>260</x:v>
      </x:c>
      <x:c r="C324" s="13" t="n">
        <x:v>423</x:v>
      </x:c>
      <x:c r="D324" s="9" t="str">
        <x:v> null, "standard_value": "346.74", "target_chembl_id": "CHEMBL217", "target_organism": "Homo sapiens", "target_pref_name": "D(2) dopamine receptor", "target_tax_id": "9606", "text_value": null, "toid": null, "type": "pKi", "units": null, "uo_units": "UO_0000065", "upper_value": null, "value": "6.46"}, {"action_type": null, "activity_comment": null, "activity_id": 16670305, "activity_properties": [</x:v>
      </x:c>
    </x:row>
    <x:row r="325" ht="66" customHeight="1">
      <x:c r="A325" s="14" t="str">
        <x:v>frozen/raw/activities_page_000.json</x:v>
      </x:c>
      <x:c r="B325" s="17" t="n">
        <x:v>261</x:v>
      </x:c>
      <x:c r="C325" s="17" t="n">
        <x:v>423</x:v>
      </x:c>
      <x:c r="D325" s="14" t="str">
        <x:v>],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x:v>
      </x:c>
    </x:row>
    <x:row r="326" ht="66" customHeight="1">
      <x:c r="A326" s="9" t="str">
        <x:v>frozen/raw/activities_page_000.json</x:v>
      </x:c>
      <x:c r="B326" s="13" t="n">
        <x:v>262</x:v>
      </x:c>
      <x:c r="C326" s="13" t="n">
        <x:v>423</x:v>
      </x:c>
      <x:c r="D326" s="9" t="str">
        <x:v>format", "canonical_smiles": "Cn1c(SCCCN2CC[C@]3(C[C@@H]3c3ccc(C(F)(F)F)cc3)C2)nnc1-c1ccc(CC(N)=O)cc1", "data_validity_comment": null, "data_validity_description": null, "document_chembl_id": "CHEMBL3853329", "document_journal": "J Med Chem", "document_year": 2016, "ligand_efficiency": {"bei": "11.95", "le": "0.23", "lle": "1.44", "sei": "8.22"}, "modality": null, "molecule_chembl_id": "CHEMBL3981</x:v>
      </x:c>
    </x:row>
    <x:row r="327" ht="66" customHeight="1">
      <x:c r="A327" s="14" t="str">
        <x:v>frozen/raw/activities_page_000.json</x:v>
      </x:c>
      <x:c r="B327" s="17" t="n">
        <x:v>263</x:v>
      </x:c>
      <x:c r="C327" s="17" t="n">
        <x:v>423</x:v>
      </x:c>
      <x:c r="D327" s="14" t="str">
        <x:v>856", "molecule_pref_name": null, "parent_molecule_chembl_id": "CHEMBL3981856", "pchembl_value": "6.33", "potential_duplicate": 0, "qudt_units": "http://www.openphacts.org/units/Nanomolar", "record_id": 2796839, "relation": "=", "src_id": 1, "standard_flag": 1, "standard_relation": "=", "standard_text_value": null, "standard_type": "Ki", "standard_units": "nM", "standard_upper_value": null, "stand</x:v>
      </x:c>
    </x:row>
    <x:row r="328" ht="66" customHeight="1">
      <x:c r="A328" s="9" t="str">
        <x:v>frozen/raw/activities_page_000.json</x:v>
      </x:c>
      <x:c r="B328" s="13" t="n">
        <x:v>264</x:v>
      </x:c>
      <x:c r="C328" s="13" t="n">
        <x:v>423</x:v>
      </x:c>
      <x:c r="D328" s="9" t="str">
        <x:v>ard_value": "467.74", "target_chembl_id": "CHEMBL217", "target_organism": "Homo sapiens", "target_pref_name": "D(2) dopamine receptor", "target_tax_id": "9606", "text_value": null, "toid": null, "type": "pKi", "units": null, "uo_units": "UO_0000065", "upper_value": null, "value": "6.33"}, {"action_type": null, "activity_comment": null, "activity_id": 16670306, "activity_properties": [], "assay_che</x:v>
      </x:c>
    </x:row>
    <x:row r="329" ht="66" customHeight="1">
      <x:c r="A329" s="14" t="str">
        <x:v>frozen/raw/activities_page_000.json</x:v>
      </x:c>
      <x:c r="B329" s="17" t="n">
        <x:v>265</x:v>
      </x:c>
      <x:c r="C329" s="17" t="n">
        <x:v>423</x:v>
      </x:c>
      <x:c r="D329" s="14" t="str">
        <x:v>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x:v>
      </x:c>
    </x:row>
    <x:row r="330" ht="66" customHeight="1">
      <x:c r="A330" s="9" t="str">
        <x:v>frozen/raw/activities_page_000.json</x:v>
      </x:c>
      <x:c r="B330" s="13" t="n">
        <x:v>266</x:v>
      </x:c>
      <x:c r="C330" s="13" t="n">
        <x:v>423</x:v>
      </x:c>
      <x:c r="D330" s="9" t="str">
        <x:v>onical_smiles": "Cn1c(SCCCN2CC[C@]3(C[C@@H]3c3ccc(C(F)(F)F)cc3)C2)nnc1-c1ccc(-c2ncco2)cc1", "data_validity_comment": null, "data_validity_description": null, "document_chembl_id": "CHEMBL3853329", "document_journal": "J Med Chem", "document_year": 2016, "ligand_efficiency": {"bei": "11.93", "le": "0.23", "lle": "-0.08", "sei": "10.74"}, "modality": null, "molecule_chembl_id": "CHEMBL3941818", "mol</x:v>
      </x:c>
    </x:row>
    <x:row r="331" ht="66" customHeight="1">
      <x:c r="A331" s="14" t="str">
        <x:v>frozen/raw/activities_page_000.json</x:v>
      </x:c>
      <x:c r="B331" s="17" t="n">
        <x:v>267</x:v>
      </x:c>
      <x:c r="C331" s="17" t="n">
        <x:v>423</x:v>
      </x:c>
      <x:c r="D331" s="14" t="str">
        <x:v>ecule_pref_name": null, "parent_molecule_chembl_id": "CHEMBL3941818", "pchembl_value": "6.44", "potential_duplicate": 0, "qudt_units": "http://www.openphacts.org/units/Nanomolar", "record_id": 2796840, "relation": "=", "src_id": 1, "standard_flag": 1, "standard_relation": "=", "standard_text_value": null, "standard_type": "Ki", "standard_units": "nM", "standard_upper_value": null, "standard_value"</x:v>
      </x:c>
    </x:row>
    <x:row r="332" ht="66" customHeight="1">
      <x:c r="A332" s="9" t="str">
        <x:v>frozen/raw/activities_page_000.json</x:v>
      </x:c>
      <x:c r="B332" s="13" t="n">
        <x:v>268</x:v>
      </x:c>
      <x:c r="C332" s="13" t="n">
        <x:v>423</x:v>
      </x:c>
      <x:c r="D332" s="9" t="str">
        <x:v>: "363.08", "target_chembl_id": "CHEMBL217", "target_organism": "Homo sapiens", "target_pref_name": "D(2) dopamine receptor", "target_tax_id": "9606", "text_value": null, "toid": null, "type": "pKi", "units": null, "uo_units": "UO_0000065", "upper_value": null, "value": "6.44"}, {"action_type": null, "activity_comment": null, "activity_id": 16670307, "activity_properties": [], "assay_chembl_id": "</x:v>
      </x:c>
    </x:row>
    <x:row r="333" ht="66" customHeight="1">
      <x:c r="A333" s="14" t="str">
        <x:v>frozen/raw/activities_page_000.json</x:v>
      </x:c>
      <x:c r="B333" s="17" t="n">
        <x:v>269</x:v>
      </x:c>
      <x:c r="C333" s="17" t="n">
        <x:v>423</x:v>
      </x:c>
      <x:c r="D333" s="14" t="str">
        <x:v>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x:v>
      </x:c>
    </x:row>
    <x:row r="334" ht="66" customHeight="1">
      <x:c r="A334" s="9" t="str">
        <x:v>frozen/raw/activities_page_000.json</x:v>
      </x:c>
      <x:c r="B334" s="13" t="n">
        <x:v>270</x:v>
      </x:c>
      <x:c r="C334" s="13" t="n">
        <x:v>423</x:v>
      </x:c>
      <x:c r="D334" s="9" t="str">
        <x:v>les": "Cn1c(SCCCN2CC[C@]3(C[C@@H]3c3ccc(C(F)(F)F)cc3)C2)nnc1-c1cccc(-c2ncco2)c1", "data_validity_comment": null, "data_validity_description": null, "document_chembl_id": "CHEMBL3853329", "document_journal": "J Med Chem", "document_year": 2016, "ligand_efficiency": {"bei": "11.67", "le": "0.23", "lle": "-0.22", "sei": "10.50"}, "modality": null, "molecule_chembl_id": "CHEMBL3920167", "molecule_pref</x:v>
      </x:c>
    </x:row>
    <x:row r="335" ht="66" customHeight="1">
      <x:c r="A335" s="14" t="str">
        <x:v>frozen/raw/activities_page_000.json</x:v>
      </x:c>
      <x:c r="B335" s="17" t="n">
        <x:v>271</x:v>
      </x:c>
      <x:c r="C335" s="17" t="n">
        <x:v>423</x:v>
      </x:c>
      <x:c r="D335" s="14" t="str">
        <x:v>_name": null, "parent_molecule_chembl_id": "CHEMBL3920167", "pchembl_value": "6.30", "potential_duplicate": 0, "qudt_units": "http://www.openphacts.org/units/Nanomolar", "record_id": 2796841, "relation": "=", "src_id": 1, "standard_flag": 1, "standard_relation": "=", "standard_text_value": null, "standard_type": "Ki", "standard_units": "nM", "standard_upper_value": null, "standard_value": "501.19"</x:v>
      </x:c>
    </x:row>
    <x:row r="336" ht="66" customHeight="1">
      <x:c r="A336" s="9" t="str">
        <x:v>frozen/raw/activities_page_000.json</x:v>
      </x:c>
      <x:c r="B336" s="13" t="n">
        <x:v>272</x:v>
      </x:c>
      <x:c r="C336" s="13" t="n">
        <x:v>423</x:v>
      </x:c>
      <x:c r="D336" s="9" t="str">
        <x:v>, "target_chembl_id": "CHEMBL217", "target_organism": "Homo sapiens", "target_pref_name": "D(2) dopamine receptor", "target_tax_id": "9606", "text_value": null, "toid": null, "type": "pKi", "units": null, "uo_units": "UO_0000065", "upper_value": null, "value": "6.3"}, {"action_type": null, "activity_comment": null, "activity_id": 16670402, "activity_properties": [], "assay_chembl_id": "CHEMBL38552</x:v>
      </x:c>
    </x:row>
    <x:row r="337" ht="66" customHeight="1">
      <x:c r="A337" s="14" t="str">
        <x:v>frozen/raw/activities_page_000.json</x:v>
      </x:c>
      <x:c r="B337" s="17" t="n">
        <x:v>273</x:v>
      </x:c>
      <x:c r="C337" s="17" t="n">
        <x:v>423</x:v>
      </x:c>
      <x:c r="D337" s="14" t="str">
        <x:v>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x:v>
      </x:c>
    </x:row>
    <x:row r="338" ht="66" customHeight="1">
      <x:c r="A338" s="9" t="str">
        <x:v>frozen/raw/activities_page_000.json</x:v>
      </x:c>
      <x:c r="B338" s="13" t="n">
        <x:v>274</x:v>
      </x:c>
      <x:c r="C338" s="13" t="n">
        <x:v>423</x:v>
      </x:c>
      <x:c r="D338" s="9" t="str">
        <x:v>(SCCCN2CC[C@]3(C[C@H]3c3ccc(C(F)(F)F)cc3)C2)nnc1-c1ccncc1", "data_validity_comment": null, "data_validity_description": null, "document_chembl_id": "CHEMBL3853329", "document_journal": "J Med Chem", "document_year": 2016, "ligand_efficiency": {"bei": "12.80", "le": "0.25", "lle": "0.80", "sei": "12.94"}, "modality": null, "molecule_chembl_id": "CHEMBL3947961", "molecule_pref_name": null, "parent_m</x:v>
      </x:c>
    </x:row>
    <x:row r="339" ht="66" customHeight="1">
      <x:c r="A339" s="14" t="str">
        <x:v>frozen/raw/activities_page_000.json</x:v>
      </x:c>
      <x:c r="B339" s="17" t="n">
        <x:v>275</x:v>
      </x:c>
      <x:c r="C339" s="17" t="n">
        <x:v>423</x:v>
      </x:c>
      <x:c r="D339" s="14" t="str">
        <x:v>olecule_chembl_id": "CHEMBL3947961", "pchembl_value": "6.06", "potential_duplicate": 0, "qudt_units": "http://www.openphacts.org/units/Nanomolar", "record_id": 2796842, "relation": "=", "src_id": 1, "standard_flag": 1, "standard_relation": "=", "standard_text_value": null, "standard_type": "Ki", "standard_units": "nM", "standard_upper_value": null, "standard_value": "870.96", "target_chembl_id": "</x:v>
      </x:c>
    </x:row>
    <x:row r="340" ht="66" customHeight="1">
      <x:c r="A340" s="9" t="str">
        <x:v>frozen/raw/activities_page_000.json</x:v>
      </x:c>
      <x:c r="B340" s="13" t="n">
        <x:v>276</x:v>
      </x:c>
      <x:c r="C340" s="13" t="n">
        <x:v>423</x:v>
      </x:c>
      <x:c r="D340" s="9" t="str">
        <x:v>CHEMBL217", "target_organism": "Homo sapiens", "target_pref_name": "D(2) dopamine receptor", "target_tax_id": "9606", "text_value": null, "toid": null, "type": "pKi", "units": null, "uo_units": "UO_0000065", "upper_value": null, "value": "6.06"}, {"action_type": null, "activity_comment": null, "activity_id": 16670403, "activity_properties": [], "assay_chembl_id": "CHEMBL3855278", "assay_descriptio</x:v>
      </x:c>
    </x:row>
    <x:row r="341" ht="66" customHeight="1">
      <x:c r="A341" s="14" t="str">
        <x:v>frozen/raw/activities_page_000.json</x:v>
      </x:c>
      <x:c r="B341" s="17" t="n">
        <x:v>277</x:v>
      </x:c>
      <x:c r="C341" s="17" t="n">
        <x:v>423</x:v>
      </x:c>
      <x:c r="D341" s="14" t="str">
        <x:v>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x:v>
      </x:c>
    </x:row>
    <x:row r="342" ht="66" customHeight="1">
      <x:c r="A342" s="9" t="str">
        <x:v>frozen/raw/activities_page_000.json</x:v>
      </x:c>
      <x:c r="B342" s="13" t="n">
        <x:v>278</x:v>
      </x:c>
      <x:c r="C342" s="13" t="n">
        <x:v>423</x:v>
      </x:c>
      <x:c r="D342" s="9" t="str">
        <x:v>3c3ccc(C(F)(F)F)cc3)C2)nnc1-c1ccncc1", "data_validity_comment": null, "data_validity_description": null, "document_chembl_id": "CHEMBL3853329", "document_journal": "J Med Chem", "document_year": 2016, "ligand_efficiency": {"bei": "13.11", "le": "0.26", "lle": "0.95", "sei": "13.26"}, "modality": null, "molecule_chembl_id": "CHEMBL3929083", "molecule_pref_name": null, "parent_molecule_chembl_id": "</x:v>
      </x:c>
    </x:row>
    <x:row r="343" ht="66" customHeight="1">
      <x:c r="A343" s="14" t="str">
        <x:v>frozen/raw/activities_page_000.json</x:v>
      </x:c>
      <x:c r="B343" s="17" t="n">
        <x:v>279</x:v>
      </x:c>
      <x:c r="C343" s="17" t="n">
        <x:v>423</x:v>
      </x:c>
      <x:c r="D343" s="14" t="str">
        <x:v>CHEMBL3929083", "pchembl_value": "6.21", "potential_duplicate": 0, "qudt_units": "http://www.openphacts.org/units/Nanomolar", "record_id": 2796843, "relation": "=", "src_id": 1, "standard_flag": 1, "standard_relation": "=", "standard_text_value": null, "standard_type": "Ki", "standard_units": "nM", "standard_upper_value": null, "standard_value": "616.6", "target_chembl_id": "CHEMBL217", "target_or</x:v>
      </x:c>
    </x:row>
    <x:row r="344" ht="66" customHeight="1">
      <x:c r="A344" s="9" t="str">
        <x:v>frozen/raw/activities_page_000.json</x:v>
      </x:c>
      <x:c r="B344" s="13" t="n">
        <x:v>280</x:v>
      </x:c>
      <x:c r="C344" s="13" t="n">
        <x:v>423</x:v>
      </x:c>
      <x:c r="D344" s="9" t="str">
        <x:v>ganism": "Homo sapiens", "target_pref_name": "D(2) dopamine receptor", "target_tax_id": "9606", "text_value": null, "toid": null, "type": "pKi", "units": null, "uo_units": "UO_0000065", "upper_value": null, "value": "6.21"}, {"action_type": null, "activity_comment": null, "activity_id": 16670404, "activity_properties": [], "assay_chembl_id": "CHEMBL3855278", "assay_description": "Displacement of [</x:v>
      </x:c>
    </x:row>
    <x:row r="345" ht="66" customHeight="1">
      <x:c r="A345" s="14" t="str">
        <x:v>frozen/raw/activities_page_000.json</x:v>
      </x:c>
      <x:c r="B345" s="17" t="n">
        <x:v>281</x:v>
      </x:c>
      <x:c r="C345" s="17" t="n">
        <x:v>423</x:v>
      </x:c>
      <x:c r="D345" s="14" t="str">
        <x:v>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x:v>
      </x:c>
    </x:row>
    <x:row r="346" ht="66" customHeight="1">
      <x:c r="A346" s="9" t="str">
        <x:v>frozen/raw/activities_page_000.json</x:v>
      </x:c>
      <x:c r="B346" s="13" t="n">
        <x:v>282</x:v>
      </x:c>
      <x:c r="C346" s="13" t="n">
        <x:v>423</x:v>
      </x:c>
      <x:c r="D346" s="9" t="str">
        <x:v>nnc1-c1cccnc1", "data_validity_comment": null, "data_validity_description": null, "document_chembl_id": "CHEMBL3853329", "document_journal": "J Med Chem", "document_year": 2016, "ligand_efficiency": {"bei": "12.40", "le": "0.24", "lle": "0.61", "sei": "12.53"}, "modality": null, "molecule_chembl_id": "CHEMBL3956612", "molecule_pref_name": null, "parent_molecule_chembl_id": "CHEMBL3956612", "pchemb</x:v>
      </x:c>
    </x:row>
    <x:row r="347" ht="66" customHeight="1">
      <x:c r="A347" s="14" t="str">
        <x:v>frozen/raw/activities_page_000.json</x:v>
      </x:c>
      <x:c r="B347" s="17" t="n">
        <x:v>283</x:v>
      </x:c>
      <x:c r="C347" s="17" t="n">
        <x:v>423</x:v>
      </x:c>
      <x:c r="D347" s="14" t="str">
        <x:v>l_value": "5.87", "potential_duplicate": 0, "qudt_units": "http://www.openphacts.org/units/Nanomolar", "record_id": 2796844, "relation": "=", "src_id": 1, "standard_flag": 1, "standard_relation": "=", "standard_text_value": null, "standard_type": "Ki", "standard_units": "nM", "standard_upper_value": null, "standard_value": "1348.96", "target_chembl_id": "CHEMBL217", "target_organism": "Homo sapien</x:v>
      </x:c>
    </x:row>
    <x:row r="348" ht="66" customHeight="1">
      <x:c r="A348" s="9" t="str">
        <x:v>frozen/raw/activities_page_000.json</x:v>
      </x:c>
      <x:c r="B348" s="13" t="n">
        <x:v>284</x:v>
      </x:c>
      <x:c r="C348" s="13" t="n">
        <x:v>423</x:v>
      </x:c>
      <x:c r="D348" s="9" t="str">
        <x:v>s", "target_pref_name": "D(2) dopamine receptor", "target_tax_id": "9606", "text_value": null, "toid": null, "type": "pKi", "units": null, "uo_units": "UO_0000065", "upper_value": null, "value": "5.87"}, {"action_type": null, "activity_comment": null, "activity_id": 16670405, "activity_properties": [], "assay_chembl_id": "CHEMBL3855278", "assay_description": "Displacement of [3H]-spiperone from hu</x:v>
      </x:c>
    </x:row>
    <x:row r="349" ht="66" customHeight="1">
      <x:c r="A349" s="14" t="str">
        <x:v>frozen/raw/activities_page_000.json</x:v>
      </x:c>
      <x:c r="B349" s="17" t="n">
        <x:v>285</x:v>
      </x:c>
      <x:c r="C349" s="17" t="n">
        <x:v>423</x:v>
      </x:c>
      <x:c r="D349" s="14" t="str">
        <x:v>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"Cn1c(SCCCN2CC[C@]3(C[C@@H]3c3ccc(C(F)(F)F)cc3)C2)nnc1-c1cccnc1", "dat</x:v>
      </x:c>
    </x:row>
    <x:row r="350" ht="66" customHeight="1">
      <x:c r="A350" s="9" t="str">
        <x:v>frozen/raw/activities_page_000.json</x:v>
      </x:c>
      <x:c r="B350" s="13" t="n">
        <x:v>286</x:v>
      </x:c>
      <x:c r="C350" s="13" t="n">
        <x:v>423</x:v>
      </x:c>
      <x:c r="D350" s="9" t="str">
        <x:v>a_validity_comment": null, "data_validity_description": null, "document_chembl_id": "CHEMBL3853329", "document_journal": "J Med Chem", "document_year": 2016, "ligand_efficiency": {"bei": "12.78", "le": "0.25", "lle": "0.79", "sei": "12.92"}, "modality": null, "molecule_chembl_id": "CHEMBL3938107", "molecule_pref_name": null, "parent_molecule_chembl_id": "CHEMBL3938107", "pchembl_value": "6.05", "p</x:v>
      </x:c>
    </x:row>
    <x:row r="351" ht="66" customHeight="1">
      <x:c r="A351" s="14" t="str">
        <x:v>frozen/raw/activities_page_000.json</x:v>
      </x:c>
      <x:c r="B351" s="17" t="n">
        <x:v>287</x:v>
      </x:c>
      <x:c r="C351" s="17" t="n">
        <x:v>423</x:v>
      </x:c>
      <x:c r="D351" s="14" t="str">
        <x:v>otential_duplicate": 0, "qudt_units": "http://www.openphacts.org/units/Nanomolar", "record_id": 2796845, "relation": "=", "src_id": 1, "standard_flag": 1, "standard_relation": "=", "standard_text_value": null, "standard_type": "Ki", "standard_units": "nM", "standard_upper_value": null, "standard_value": "891.25", "target_chembl_id": "CHEMBL217", "target_organism": "Homo sapiens", "target_pref_name</x:v>
      </x:c>
    </x:row>
    <x:row r="352" ht="66" customHeight="1">
      <x:c r="A352" s="9" t="str">
        <x:v>frozen/raw/activities_page_000.json</x:v>
      </x:c>
      <x:c r="B352" s="13" t="n">
        <x:v>288</x:v>
      </x:c>
      <x:c r="C352" s="13" t="n">
        <x:v>423</x:v>
      </x:c>
      <x:c r="D352" s="9" t="str">
        <x:v>": "D(2) dopamine receptor", "target_tax_id": "9606", "text_value": null, "toid": null, "type": "pKi", "units": null, "uo_units": "UO_0000065", "upper_value": null, "value": "6.05"}, {"action_type": null, "activity_comment": null, "activity_id": 16670406, "activity_properties": [], "assay_chembl_id": "CHEMBL3855278", "assay_description": "Displacement of [3H]-spiperone from human dopamine D2 recep</x:v>
      </x:c>
    </x:row>
    <x:row r="353" ht="66" customHeight="1">
      <x:c r="A353" s="14" t="str">
        <x:v>frozen/raw/activities_page_000.json</x:v>
      </x:c>
      <x:c r="B353" s="17" t="n">
        <x:v>289</x:v>
      </x:c>
      <x:c r="C353" s="17" t="n">
        <x:v>423</x:v>
      </x:c>
      <x:c r="D353" s="14" t="str">
        <x:v>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"Cn1c(SCCCN2CC[C@]3(C[C@H]3c3ccc(C(F)(F)F)cc3)C2)nnc1-c1ccccn1", "data_validity_comment": n</x:v>
      </x:c>
    </x:row>
    <x:row r="354" ht="66" customHeight="1">
      <x:c r="A354" s="9" t="str">
        <x:v>frozen/raw/activities_page_000.json</x:v>
      </x:c>
      <x:c r="B354" s="13" t="n">
        <x:v>290</x:v>
      </x:c>
      <x:c r="C354" s="13" t="n">
        <x:v>423</x:v>
      </x:c>
      <x:c r="D354" s="9" t="str">
        <x:v>ull, "data_validity_description": null, "document_chembl_id": "CHEMBL3853329", "document_journal": "J Med Chem", "document_year": 2016, "ligand_efficiency": {"bei": "13.09", "le": "0.26", "lle": "0.94", "sei": "13.24"}, "modality": null, "molecule_chembl_id": "CHEMBL3967683", "molecule_pref_name": null, "parent_molecule_chembl_id": "CHEMBL3967683", "pchembl_value": "6.20", "potential_duplicate": 0</x:v>
      </x:c>
    </x:row>
    <x:row r="355" ht="66" customHeight="1">
      <x:c r="A355" s="14" t="str">
        <x:v>frozen/raw/activities_page_000.json</x:v>
      </x:c>
      <x:c r="B355" s="17" t="n">
        <x:v>291</x:v>
      </x:c>
      <x:c r="C355" s="17" t="n">
        <x:v>423</x:v>
      </x:c>
      <x:c r="D355" s="14" t="str">
        <x:v>, "qudt_units": "http://www.openphacts.org/units/Nanomolar", "record_id": 2796846, "relation": "=", "src_id": 1, "standard_flag": 1, "standard_relation": "=", "standard_text_value": null, "standard_type": "Ki", "standard_units": "nM", "standard_upper_value": null, "standard_value": "630.96", "target_chembl_id": "CHEMBL217", "target_organism": "Homo sapiens", "target_pref_name": "D(2) dopamine rece</x:v>
      </x:c>
    </x:row>
    <x:row r="356" ht="66" customHeight="1">
      <x:c r="A356" s="9" t="str">
        <x:v>frozen/raw/activities_page_000.json</x:v>
      </x:c>
      <x:c r="B356" s="13" t="n">
        <x:v>292</x:v>
      </x:c>
      <x:c r="C356" s="13" t="n">
        <x:v>423</x:v>
      </x:c>
      <x:c r="D356" s="9" t="str">
        <x:v>ptor", "target_tax_id": "9606", "text_value": null, "toid": null, "type": "pKi", "units": null, "uo_units": "UO_0000065", "upper_value": null, "value": "6.2"}, {"action_type": null, "activity_comment": null, "activity_id": 16670407, "activity_properties": [], "assay_chembl_id": "CHEMBL3855278", "assay_description": "Displacement of [3H]-spiperone from human dopamine D2 receptor expressed in CHO-K1</x:v>
      </x:c>
    </x:row>
    <x:row r="357" ht="66" customHeight="1">
      <x:c r="A357" s="14" t="str">
        <x:v>frozen/raw/activities_page_000.json</x:v>
      </x:c>
      <x:c r="B357" s="17" t="n">
        <x:v>293</x:v>
      </x:c>
      <x:c r="C357" s="17" t="n">
        <x:v>423</x:v>
      </x:c>
      <x:c r="D357" s="14" t="str">
        <x:v>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"Cn1c(SCCCN2CC[C@]3(C[C@@H]3c3ccc(C(F)(F)F)cc3)C2)nnc1-c1ccccn1", "data_validity_comment": null, "data_validity_de</x:v>
      </x:c>
    </x:row>
    <x:row r="358" ht="66" customHeight="1">
      <x:c r="A358" s="9" t="str">
        <x:v>frozen/raw/activities_page_000.json</x:v>
      </x:c>
      <x:c r="B358" s="13" t="n">
        <x:v>294</x:v>
      </x:c>
      <x:c r="C358" s="13" t="n">
        <x:v>423</x:v>
      </x:c>
      <x:c r="D358" s="9" t="str">
        <x:v>scription": null, "document_chembl_id": "CHEMBL3853329", "document_journal": "J Med Chem", "document_year": 2016, "ligand_efficiency": {"bei": "13.26", "le": "0.26", "lle": "1.02", "sei": "13.41"}, "modality": null, "molecule_chembl_id": "CHEMBL3946901", "molecule_pref_name": null, "parent_molecule_chembl_id": "CHEMBL3946901", "pchembl_value": "6.28", "potential_duplicate": 0, "qudt_units": "http:</x:v>
      </x:c>
    </x:row>
    <x:row r="359" ht="66" customHeight="1">
      <x:c r="A359" s="14" t="str">
        <x:v>frozen/raw/activities_page_000.json</x:v>
      </x:c>
      <x:c r="B359" s="17" t="n">
        <x:v>295</x:v>
      </x:c>
      <x:c r="C359" s="17" t="n">
        <x:v>423</x:v>
      </x:c>
      <x:c r="D359" s="14" t="str">
        <x:v>//www.openphacts.org/units/Nanomolar", "record_id": 2796847, "relation": "=", "src_id": 1, "standard_flag": 1, "standard_relation": "=", "standard_text_value": null, "standard_type": "Ki", "standard_units": "nM", "standard_upper_value": null, "standard_value": "524.81", "target_chembl_id": "CHEMBL217", "target_organism": "Homo sapiens", "target_pref_name": "D(2) dopamine receptor", "target_tax_id"</x:v>
      </x:c>
    </x:row>
    <x:row r="360" ht="66" customHeight="1">
      <x:c r="A360" s="9" t="str">
        <x:v>frozen/raw/activities_page_000.json</x:v>
      </x:c>
      <x:c r="B360" s="13" t="n">
        <x:v>296</x:v>
      </x:c>
      <x:c r="C360" s="13" t="n">
        <x:v>423</x:v>
      </x:c>
      <x:c r="D360" s="9" t="str">
        <x:v>: "9606", "text_value": null, "toid": null, "type": "pKi", "units": null, "uo_units": "UO_0000065", "upper_value": null, "value": "6.28"}, {"action_type": null, "activity_comment": null, "activity_id": 16670408, "activity_properties": [], "assay_chembl_id": "CHEMBL3855278", "assay_description": "Displacement of [3H]-spiperone from human dopamine D2 receptor expressed in CHO-K1 cell membranes coexp</x:v>
      </x:c>
    </x:row>
    <x:row r="361" ht="66" customHeight="1">
      <x:c r="A361" s="14" t="str">
        <x:v>frozen/raw/activities_page_000.json</x:v>
      </x:c>
      <x:c r="B361" s="17" t="n">
        <x:v>297</x:v>
      </x:c>
      <x:c r="C361" s="17" t="n">
        <x:v>423</x:v>
      </x:c>
      <x:c r="D361" s="14" t="str">
        <x:v>ressing Galpha16 after 120 mins by liquid scintillation counting", "assay_type": "B", "assay_variant_accession": null, "assay_variant_mutation": null, "bao_endpoint": "BAO_0000192", "bao_format": "BAO_0000219", "bao_label": "cell-based format", "canonical_smiles": "Cn1c(SCCCN2CC[C@]3(C[C@H]3c3ccc(C(F)(F)F)cc3)C2)nnc1-c1cnccn1", "data_validity_comment": null, "data_validity_description": null, "doc</x:v>
      </x:c>
    </x:row>
    <x:row r="362" ht="66" customHeight="1">
      <x:c r="A362" s="9" t="str">
        <x:v>frozen/raw/activities_page_000.json</x:v>
      </x:c>
      <x:c r="B362" s="13" t="n">
        <x:v>298</x:v>
      </x:c>
      <x:c r="C362" s="13" t="n">
        <x:v>423</x:v>
      </x:c>
      <x:c r="D362" s="9" t="str">
        <x:v>ument_chembl_id": "CHEMBL3853329", "document_journal": "J Med Chem", "document_year": 2016, "ligand_efficiency": {"bei": "12.31", "le": "0.24", "lle": "1.19", "sei": "9.78"}, "modality": null, "molecule_chembl_id": "CHEMBL3976192", "molecule_pref_name": null, "parent_molecule_chembl_id": "CHEMBL3976192", "pchembl_value": "5.84", "potential_duplicate": 0, "qudt_units": "http://www.openphacts.org/un</x:v>
      </x:c>
    </x:row>
    <x:row r="363" ht="66" customHeight="1">
      <x:c r="A363" s="14" t="str">
        <x:v>frozen/raw/activities_page_000.json</x:v>
      </x:c>
      <x:c r="B363" s="17" t="n">
        <x:v>299</x:v>
      </x:c>
      <x:c r="C363" s="17" t="n">
        <x:v>423</x:v>
      </x:c>
      <x:c r="D363" s="14" t="str">
        <x:v>its/Nanomolar", "record_id": 2796848, "relation": "=", "src_id": 1, "standard_flag": 1, "standard_relation": "=", "standard_text_value": null, "standard_type": "Ki", "standard_units": "nM", "standard_upper_value": null, "standard_value": "1445.44", "target_chembl_id": "CHEMBL217", "target_organism": "Homo sapiens", "target_pref_name": "D(2) dopamine receptor", "target_tax_id": "9606", "text_value"</x:v>
      </x:c>
    </x:row>
    <x:row r="364" ht="66" customHeight="1">
      <x:c r="A364" s="9" t="str">
        <x:v>frozen/raw/activities_page_000.json</x:v>
      </x:c>
      <x:c r="B364" s="13" t="n">
        <x:v>300</x:v>
      </x:c>
      <x:c r="C364" s="13" t="n">
        <x:v>423</x:v>
      </x:c>
      <x:c r="D364" s="9" t="str">
        <x:v>: null, "toid": null, "type": "pKi", "units": null, "uo_units": "UO_0000065", "upper_value": null, "value": "5.84"}, {"action_type": null, "activity_comment": null, "activity_id": 16670409, "activity_properties": [], "assay_chembl_id": "CHEMBL3855278", "assay_description": "Displacement of [3H]-spiperone from human dopamine D2 receptor expressed in CHO-K1 cell membranes coexpressing Galpha16 after</x:v>
      </x:c>
    </x:row>
    <x:row r="365" ht="66" customHeight="1">
      <x:c r="A365" s="14" t="str">
        <x:v>frozen/raw/activities_page_000.json</x:v>
      </x:c>
      <x:c r="B365" s="17" t="n">
        <x:v>301</x:v>
      </x:c>
      <x:c r="C365" s="17" t="n">
        <x:v>423</x:v>
      </x:c>
      <x:c r="D365" s="14" t="str">
        <x:v> 120 mins by liquid scintillation counting", "assay_type": "B", "assay_variant_accession": null, "assay_variant_mutation": null, "bao_endpoint": "BAO_0000192", "bao_format": "BAO_0000219", "bao_label": "cell-based format", "canonical_smiles": "Cn1c(SCCCN2CC[C@]3(C[C@@H]3c3ccc(C(F)(F)F)cc3)C2)nnc1-c1cnccn1", "data_validity_comment": null, "data_validity_description": null, "document_chembl_id": "CH</x:v>
      </x:c>
    </x:row>
    <x:row r="366" ht="66" customHeight="1">
      <x:c r="A366" s="9" t="str">
        <x:v>frozen/raw/activities_page_000.json</x:v>
      </x:c>
      <x:c r="B366" s="13" t="n">
        <x:v>302</x:v>
      </x:c>
      <x:c r="C366" s="13" t="n">
        <x:v>423</x:v>
      </x:c>
      <x:c r="D366" s="9" t="str">
        <x:v>EMBL3853329", "document_journal": "J Med Chem", "document_year": 2016, "ligand_efficiency": {"bei": "13.34", "le": "0.26", "lle": "1.68", "sei": "10.60"}, "modality": null, "molecule_chembl_id": "CHEMBL3955608", "molecule_pref_name": null, "parent_molecule_chembl_id": "CHEMBL3955608", "pchembl_value": "6.33", "potential_duplicate": 0, "qudt_units": "http://www.openphacts.org/units/Nanomolar", "rec</x:v>
      </x:c>
    </x:row>
    <x:row r="367" ht="66" customHeight="1">
      <x:c r="A367" s="14" t="str">
        <x:v>frozen/raw/activities_page_000.json</x:v>
      </x:c>
      <x:c r="B367" s="17" t="n">
        <x:v>303</x:v>
      </x:c>
      <x:c r="C367" s="17" t="n">
        <x:v>423</x:v>
      </x:c>
      <x:c r="D367" s="14" t="str">
        <x:v>ord_id": 2796849, "relation": "=", "src_id": 1, "standard_flag": 1, "standard_relation": "=", "standard_text_value": null, "standard_type": "Ki", "standard_units": "nM", "standard_upper_value": null, "standard_value": "467.74", "target_chembl_id": "CHEMBL217", "target_organism": "Homo sapiens", "target_pref_name": "D(2) dopamine receptor", "target_tax_id": "9606", "text_value": null, "toid": null,</x:v>
      </x:c>
    </x:row>
    <x:row r="368" ht="66" customHeight="1">
      <x:c r="A368" s="9" t="str">
        <x:v>frozen/raw/activities_page_000.json</x:v>
      </x:c>
      <x:c r="B368" s="13" t="n">
        <x:v>304</x:v>
      </x:c>
      <x:c r="C368" s="13" t="n">
        <x:v>423</x:v>
      </x:c>
      <x:c r="D368" s="9" t="str">
        <x:v> "type": "pKi", "units": null, "uo_units": "UO_0000065", "upper_value": null, "value": "6.33"}, {"action_type": null, "activity_comment": null, "activity_id": 16670410, "activity_properties": [], "assay_chembl_id": "CHEMBL3855278", "assay_description": "Displacement of [3H]-spiperone from human dopamine D2 receptor expressed in CHO-K1 cell membranes coexpressing Galpha16 after 120 mins by liquid s</x:v>
      </x:c>
    </x:row>
    <x:row r="369" ht="66" customHeight="1">
      <x:c r="A369" s="14" t="str">
        <x:v>frozen/raw/activities_page_000.json</x:v>
      </x:c>
      <x:c r="B369" s="17" t="n">
        <x:v>305</x:v>
      </x:c>
      <x:c r="C369" s="17" t="n">
        <x:v>423</x:v>
      </x:c>
      <x:c r="D369" s="14" t="str">
        <x:v>cintillation counting", "assay_type": "B", "assay_variant_accession": null, "assay_variant_mutation": null, "bao_endpoint": "BAO_0000192", "bao_format": "BAO_0000219", "bao_label": "cell-based format", "canonical_smiles": "Cn1c(SCCCN2CC[C@]3(C[C@H]3c3ccc(C(F)(F)F)cc3)C2)nnc1-c1ccncn1", "data_validity_comment": null, "data_validity_description": null, "document_chembl_id": "CHEMBL3853329", "documen</x:v>
      </x:c>
    </x:row>
    <x:row r="370" ht="66" customHeight="1">
      <x:c r="A370" s="9" t="str">
        <x:v>frozen/raw/activities_page_000.json</x:v>
      </x:c>
      <x:c r="B370" s="13" t="n">
        <x:v>306</x:v>
      </x:c>
      <x:c r="C370" s="13" t="n">
        <x:v>423</x:v>
      </x:c>
      <x:c r="D370" s="9" t="str">
        <x:v>t_journal": "J Med Chem", "document_year": 2016, "ligand_efficiency": {"bei": "13.40", "le": "0.26", "lle": "1.71", "sei": "10.65"}, "modality": null, "molecule_chembl_id": "CHEMBL3984236", "molecule_pref_name": null, "parent_molecule_chembl_id": "CHEMBL3984236", "pchembl_value": "6.36", "potential_duplicate": 0, "qudt_units": "http://www.openphacts.org/units/Nanomolar", "record_id": 2796850, "rel</x:v>
      </x:c>
    </x:row>
    <x:row r="371" ht="66" customHeight="1">
      <x:c r="A371" s="14" t="str">
        <x:v>frozen/raw/activities_page_000.json</x:v>
      </x:c>
      <x:c r="B371" s="17" t="n">
        <x:v>307</x:v>
      </x:c>
      <x:c r="C371" s="17" t="n">
        <x:v>423</x:v>
      </x:c>
      <x:c r="D371" s="14" t="str">
        <x:v>ation": "=", "src_id": 1, "standard_flag": 1, "standard_relation": "=", "standard_text_value": null, "standard_type": "Ki", "standard_units": "nM", "standard_upper_value": null, "standard_value": "436.52", "target_chembl_id": "CHEMBL217", "target_organism": "Homo sapiens", "target_pref_name": "D(2) dopamine receptor", "target_tax_id": "9606", "text_value": null, "toid": null, "type": "pKi", "units</x:v>
      </x:c>
    </x:row>
    <x:row r="372" ht="66" customHeight="1">
      <x:c r="A372" s="9" t="str">
        <x:v>frozen/raw/activities_page_000.json</x:v>
      </x:c>
      <x:c r="B372" s="13" t="n">
        <x:v>308</x:v>
      </x:c>
      <x:c r="C372" s="13" t="n">
        <x:v>423</x:v>
      </x:c>
      <x:c r="D372" s="9" t="str">
        <x:v>": null, "uo_units": "UO_0000065", "upper_value": null, "value": "6.36"}, {"action_type": null, "activity_comment": null, "activity_id": 16670411, "activity_properties": [], "assay_chembl_id": "CHEMBL3855278", "assay_description": "Displacement of [3H]-spiperone from human dopamine D2 receptor expressed in CHO-K1 cell membranes coexpressing Galpha16 after 120 mins by liquid scintillation counting"</x:v>
      </x:c>
    </x:row>
    <x:row r="373" ht="66" customHeight="1">
      <x:c r="A373" s="14" t="str">
        <x:v>frozen/raw/activities_page_000.json</x:v>
      </x:c>
      <x:c r="B373" s="17" t="n">
        <x:v>309</x:v>
      </x:c>
      <x:c r="C373" s="17" t="n">
        <x:v>423</x:v>
      </x:c>
      <x:c r="D373" s="14" t="str">
        <x:v>, "assay_type": "B", "assay_variant_accession": null, "assay_variant_mutation": null, "bao_endpoint": "BAO_0000192", "bao_format": "BAO_0000219", "bao_label": "cell-based format", "canonical_smiles": "Cn1c(SCCCN2CC[C@]3(C[C@@H]3c3ccc(C(F)(F)F)cc3)C2)nnc1-c1ccncn1", "data_validity_comment": null, "data_validity_description": null, "document_chembl_id": "CHEMBL3853329", "document_journal": "J Med Ch</x:v>
      </x:c>
    </x:row>
    <x:row r="374" ht="66" customHeight="1">
      <x:c r="A374" s="9" t="str">
        <x:v>frozen/raw/activities_page_000.json</x:v>
      </x:c>
      <x:c r="B374" s="13" t="n">
        <x:v>310</x:v>
      </x:c>
      <x:c r="C374" s="13" t="n">
        <x:v>423</x:v>
      </x:c>
      <x:c r="D374" s="9" t="str">
        <x:v>em", "document_year": 2016, "ligand_efficiency": {"bei": "13.76", "le": "0.27", "lle": "1.88", "sei": "10.93"}, "modality": null, "molecule_chembl_id": "CHEMBL3958309", "molecule_pref_name": null, "parent_molecule_chembl_id": "CHEMBL3958309", "pchembl_value": "6.53", "potential_duplicate": 0, "qudt_units": "http://www.openphacts.org/units/Nanomolar", "record_id": 2796851, "relation": "=", "src_id"</x:v>
      </x:c>
    </x:row>
    <x:row r="375" ht="66" customHeight="1">
      <x:c r="A375" s="14" t="str">
        <x:v>frozen/raw/activities_page_000.json</x:v>
      </x:c>
      <x:c r="B375" s="17" t="n">
        <x:v>311</x:v>
      </x:c>
      <x:c r="C375" s="17" t="n">
        <x:v>423</x:v>
      </x:c>
      <x:c r="D375" s="14" t="str">
        <x:v>: 1, "standard_flag": 1, "standard_relation": "=", "standard_text_value": null, "standard_type": "Ki", "standard_units": "nM", "standard_upper_value": null, "standard_value": "295.12", "target_chembl_id": "CHEMBL217", "target_organism": "Homo sapiens", "target_pref_name": "D(2) dopamine receptor", "target_tax_id": "9606", "text_value": null, "toid": null, "type": "pKi", "units": null, "uo_units": </x:v>
      </x:c>
    </x:row>
    <x:row r="376" ht="66" customHeight="1">
      <x:c r="A376" s="9" t="str">
        <x:v>frozen/raw/activities_page_000.json</x:v>
      </x:c>
      <x:c r="B376" s="13" t="n">
        <x:v>312</x:v>
      </x:c>
      <x:c r="C376" s="13" t="n">
        <x:v>423</x:v>
      </x:c>
      <x:c r="D376" s="9" t="str">
        <x:v>"UO_0000065", "upper_value": null, "value": "6.53"}, {"action_type": null, "activity_comment": null, "activity_id": 16670412, "activity_properties": [], "assay_chembl_id": "CHEMBL3855278", "assay_description": "Displacement of [3H]-spiperone from human dopamine D2 receptor expressed in CHO-K1 cell membranes coexpressing Galpha16 after 120 mins by liquid scintillation counting", "assay_type": "B", </x:v>
      </x:c>
    </x:row>
    <x:row r="377" ht="66" customHeight="1">
      <x:c r="A377" s="14" t="str">
        <x:v>frozen/raw/activities_page_000.json</x:v>
      </x:c>
      <x:c r="B377" s="17" t="n">
        <x:v>313</x:v>
      </x:c>
      <x:c r="C377" s="17" t="n">
        <x:v>423</x:v>
      </x:c>
      <x:c r="D377" s="14" t="str">
        <x:v>"assay_variant_accession": null, "assay_variant_mutation": null, "bao_endpoint": "BAO_0000192", "bao_format": "BAO_0000219", "bao_label": "cell-based format", "canonical_smiles": "Cn1c(SCCCN2CC[C@]3(C[C@H]3c3ccc(C(F)(F)F)cc3)C2)nnc1-c1cccnn1", "data_validity_comment": null, "data_validity_description": null, "document_chembl_id": "CHEMBL3853329", "document_journal": "J Med Chem", "document_year": </x:v>
      </x:c>
    </x:row>
    <x:row r="378" ht="66" customHeight="1">
      <x:c r="A378" s="9" t="str">
        <x:v>frozen/raw/activities_page_000.json</x:v>
      </x:c>
      <x:c r="B378" s="13" t="n">
        <x:v>314</x:v>
      </x:c>
      <x:c r="C378" s="13" t="n">
        <x:v>423</x:v>
      </x:c>
      <x:c r="D378" s="9" t="str">
        <x:v>2016, "ligand_efficiency": {"bei": "12.12", "le": "0.24", "lle": "1.10", "sei": "9.63"}, "modality": null, "molecule_chembl_id": "CHEMBL3930825", "molecule_pref_name": null, "parent_molecule_chembl_id": "CHEMBL3930825", "pchembl_value": "5.75", "potential_duplicate": 0, "qudt_units": "http://www.openphacts.org/units/Nanomolar", "record_id": 2796852, "relation": "=", "src_id": 1, "standard_flag": 1</x:v>
      </x:c>
    </x:row>
    <x:row r="379" ht="66" customHeight="1">
      <x:c r="A379" s="14" t="str">
        <x:v>frozen/raw/activities_page_000.json</x:v>
      </x:c>
      <x:c r="B379" s="17" t="n">
        <x:v>315</x:v>
      </x:c>
      <x:c r="C379" s="17" t="n">
        <x:v>423</x:v>
      </x:c>
      <x:c r="D379" s="14" t="str">
        <x:v>, "standard_relation": "=", "standard_text_value": null, "standard_type": "Ki", "standard_units": "nM", "standard_upper_value": null, "standard_value": "1778.28", "target_chembl_id": "CHEMBL217", "target_organism": "Homo sapiens", "target_pref_name": "D(2) dopamine receptor", "target_tax_id": "9606", "text_value": null, "toid": null, "type": "pKi", "units": null, "uo_units": "UO_0000065", "upper_v</x:v>
      </x:c>
    </x:row>
    <x:row r="380" ht="66" customHeight="1">
      <x:c r="A380" s="9" t="str">
        <x:v>frozen/raw/activities_page_000.json</x:v>
      </x:c>
      <x:c r="B380" s="13" t="n">
        <x:v>316</x:v>
      </x:c>
      <x:c r="C380" s="13" t="n">
        <x:v>423</x:v>
      </x:c>
      <x:c r="D380" s="9" t="str">
        <x:v>alue": null, "value": "5.75"}, {"action_type": null, "activity_comment": null, "activity_id": 16670413, "activity_properties": [], "assay_chembl_id": "CHEMBL3855278", "assay_description": "Displacement of [3H]-spiperone from human dopamine D2 receptor expressed in CHO-K1 cell membranes coexpressing Galpha16 after 120 mins by liquid scintillation counting", "assay_type": "B", "assay_variant_accessi</x:v>
      </x:c>
    </x:row>
    <x:row r="381" ht="66" customHeight="1">
      <x:c r="A381" s="14" t="str">
        <x:v>frozen/raw/activities_page_000.json</x:v>
      </x:c>
      <x:c r="B381" s="17" t="n">
        <x:v>317</x:v>
      </x:c>
      <x:c r="C381" s="17" t="n">
        <x:v>423</x:v>
      </x:c>
      <x:c r="D381" s="14" t="str">
        <x:v>on": null, "assay_variant_mutation": null, "bao_endpoint": "BAO_0000192", "bao_format": "BAO_0000219", "bao_label": "cell-based format", "canonical_smiles": "Cn1c(SCCCN2CC[C@]3(C[C@@H]3c3ccc(C(F)(F)F)cc3)C2)nnc1-c1cccnn1", "data_validity_comment": null, "data_validity_description": null, "document_chembl_id": "CHEMBL3853329", "document_journal": "J Med Chem", "document_year": 2016, "ligand_efficie</x:v>
      </x:c>
    </x:row>
    <x:row r="382" ht="66" customHeight="1">
      <x:c r="A382" s="9" t="str">
        <x:v>frozen/raw/activities_page_000.json</x:v>
      </x:c>
      <x:c r="B382" s="13" t="n">
        <x:v>318</x:v>
      </x:c>
      <x:c r="C382" s="13" t="n">
        <x:v>423</x:v>
      </x:c>
      <x:c r="D382" s="9" t="str">
        <x:v>ncy": {"bei": "12.35", "le": "0.24", "lle": "1.21", "sei": "9.81"}, "modality": null, "molecule_chembl_id": "CHEMBL3969386", "molecule_pref_name": null, "parent_molecule_chembl_id": "CHEMBL3969386", "pchembl_value": "5.86", "potential_duplicate": 0, "qudt_units": "http://www.openphacts.org/units/Nanomolar", "record_id": 2796853, "relation": "=", "src_id": 1, "standard_flag": 1, "standard_relation"</x:v>
      </x:c>
    </x:row>
    <x:row r="383" ht="66" customHeight="1">
      <x:c r="A383" s="14" t="str">
        <x:v>frozen/raw/activities_page_000.json</x:v>
      </x:c>
      <x:c r="B383" s="17" t="n">
        <x:v>319</x:v>
      </x:c>
      <x:c r="C383" s="17" t="n">
        <x:v>423</x:v>
      </x:c>
      <x:c r="D383" s="14" t="str">
        <x:v>: "=", "standard_text_value": null, "standard_type": "Ki", "standard_units": "nM", "standard_upper_value": null, "standard_value": "1380.38", "target_chembl_id": "CHEMBL217", "target_organism": "Homo sapiens", "target_pref_name": "D(2) dopamine receptor", "target_tax_id": "9606", "text_value": null, "toid": null, "type": "pKi", "units": null, "uo_units": "UO_0000065", "upper_value": null, "value":</x:v>
      </x:c>
    </x:row>
    <x:row r="384" ht="66" customHeight="1">
      <x:c r="A384" s="9" t="str">
        <x:v>frozen/raw/activities_page_000.json</x:v>
      </x:c>
      <x:c r="B384" s="13" t="n">
        <x:v>320</x:v>
      </x:c>
      <x:c r="C384" s="13" t="n">
        <x:v>423</x:v>
      </x:c>
      <x:c r="D384" s="9" t="str">
        <x:v> "5.86"}, {"action_type": null, "activity_comment": null, "activity_id": 16670414,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x:v>
      </x:c>
    </x:row>
    <x:row r="385" ht="66" customHeight="1">
      <x:c r="A385" s="14" t="str">
        <x:v>frozen/raw/activities_page_000.json</x:v>
      </x:c>
      <x:c r="B385" s="17" t="n">
        <x:v>321</x:v>
      </x:c>
      <x:c r="C385" s="17" t="n">
        <x:v>423</x:v>
      </x:c>
      <x:c r="D385" s="14" t="str">
        <x:v>iant_mutation": null, "bao_endpoint": "BAO_0000192", "bao_format": "BAO_0000219", "bao_label": "cell-based format", "canonical_smiles": "Cn1c(SCCCN2CC[C@]3(C[C@H]3c3ccc(C(F)(F)F)cc3)C2)nnc1-c1ccnnc1", "data_validity_comment": null, "data_validity_description": null, "document_chembl_id": "CHEMBL3853329", "document_journal": "J Med Chem", "document_year": 2016, "ligand_efficiency": {"bei": "11.78",</x:v>
      </x:c>
    </x:row>
    <x:row r="386" ht="66" customHeight="1">
      <x:c r="A386" s="9" t="str">
        <x:v>frozen/raw/activities_page_000.json</x:v>
      </x:c>
      <x:c r="B386" s="13" t="n">
        <x:v>322</x:v>
      </x:c>
      <x:c r="C386" s="13" t="n">
        <x:v>423</x:v>
      </x:c>
      <x:c r="D386" s="9" t="str">
        <x:v> "le": "0.23", "lle": "0.94", "sei": "9.36"}, "modality": null, "molecule_chembl_id": "CHEMBL3939830", "molecule_pref_name": null, "parent_molecule_chembl_id": "CHEMBL3939830", "pchembl_value": "5.59", "potential_duplicate": 0, "qudt_units": "http://www.openphacts.org/units/Nanomolar", "record_id": 2796854, "relation": "=", "src_id": 1, "standard_flag": 1, "standard_relation": "=", "standard_text_</x:v>
      </x:c>
    </x:row>
    <x:row r="387" ht="66" customHeight="1">
      <x:c r="A387" s="14" t="str">
        <x:v>frozen/raw/activities_page_000.json</x:v>
      </x:c>
      <x:c r="B387" s="17" t="n">
        <x:v>323</x:v>
      </x:c>
      <x:c r="C387" s="17" t="n">
        <x:v>423</x:v>
      </x:c>
      <x:c r="D387" s="14" t="str">
        <x:v>value": null, "standard_type": "Ki", "standard_units": "nM", "standard_upper_value": null, "standard_value": "2570.4", "target_chembl_id": "CHEMBL217", "target_organism": "Homo sapiens", "target_pref_name": "D(2) dopamine receptor", "target_tax_id": "9606", "text_value": null, "toid": null, "type": "pKi", "units": null, "uo_units": "UO_0000065", "upper_value": null, "value": "5.59"}, {"action_type</x:v>
      </x:c>
    </x:row>
    <x:row r="388" ht="66" customHeight="1">
      <x:c r="A388" s="9" t="str">
        <x:v>frozen/raw/activities_page_000.json</x:v>
      </x:c>
      <x:c r="B388" s="13" t="n">
        <x:v>324</x:v>
      </x:c>
      <x:c r="C388" s="13" t="n">
        <x:v>423</x:v>
      </x:c>
      <x:c r="D388" s="9" t="str">
        <x:v>": null, "activity_comment": null, "activity_id": 16670415,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x:v>
      </x:c>
    </x:row>
    <x:row r="389" ht="66" customHeight="1">
      <x:c r="A389" s="14" t="str">
        <x:v>frozen/raw/activities_page_000.json</x:v>
      </x:c>
      <x:c r="B389" s="17" t="n">
        <x:v>325</x:v>
      </x:c>
      <x:c r="C389" s="17" t="n">
        <x:v>423</x:v>
      </x:c>
      <x:c r="D389" s="14" t="str">
        <x:v>bao_endpoint": "BAO_0000192", "bao_format": "BAO_0000219", "bao_label": "cell-based format", "canonical_smiles": "Cn1c(SCCCN2CC[C@]3(C[C@@H]3c3ccc(C(F)(F)F)cc3)C2)nnc1-c1ccnnc1", "data_validity_comment": null, "data_validity_description": null, "document_chembl_id": "CHEMBL3853329", "document_journal": "J Med Chem", "document_year": 2016, "ligand_efficiency": {"bei": "12.24", "le": "0.24", "lle": </x:v>
      </x:c>
    </x:row>
    <x:row r="390" ht="66" customHeight="1">
      <x:c r="A390" s="9" t="str">
        <x:v>frozen/raw/activities_page_000.json</x:v>
      </x:c>
      <x:c r="B390" s="13" t="n">
        <x:v>326</x:v>
      </x:c>
      <x:c r="C390" s="13" t="n">
        <x:v>423</x:v>
      </x:c>
      <x:c r="D390" s="9" t="str">
        <x:v>"1.16", "sei": "9.73"}, "modality": null, "molecule_chembl_id": "CHEMBL3940897", "molecule_pref_name": null, "parent_molecule_chembl_id": "CHEMBL3940897", "pchembl_value": "5.81", "potential_duplicate": 0, "qudt_units": "http://www.openphacts.org/units/Nanomolar", "record_id": 2796855, "relation": "=", "src_id": 1, "standard_flag": 1, "standard_relation": "=", "standard_text_value": null, "standar</x:v>
      </x:c>
    </x:row>
    <x:row r="391" ht="66" customHeight="1">
      <x:c r="A391" s="14" t="str">
        <x:v>frozen/raw/activities_page_000.json</x:v>
      </x:c>
      <x:c r="B391" s="17" t="n">
        <x:v>327</x:v>
      </x:c>
      <x:c r="C391" s="17" t="n">
        <x:v>423</x:v>
      </x:c>
      <x:c r="D391" s="14" t="str">
        <x:v>d_type": "Ki", "standard_units": "nM", "standard_upper_value": null, "standard_value": "1548.82", "target_chembl_id": "CHEMBL217", "target_organism": "Homo sapiens", "target_pref_name": "D(2) dopamine receptor", "target_tax_id": "9606", "text_value": null, "toid": null, "type": "pKi", "units": null, "uo_units": "UO_0000065", "upper_value": null, "value": "5.81"}, {"action_type": null, "activity_co</x:v>
      </x:c>
    </x:row>
    <x:row r="392" ht="66" customHeight="1">
      <x:c r="A392" s="9" t="str">
        <x:v>frozen/raw/activities_page_000.json</x:v>
      </x:c>
      <x:c r="B392" s="13" t="n">
        <x:v>328</x:v>
      </x:c>
      <x:c r="C392" s="13" t="n">
        <x:v>423</x:v>
      </x:c>
      <x:c r="D392" s="9" t="str">
        <x:v>mment": null, "activity_id": 16670416,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x:v>
      </x:c>
    </x:row>
    <x:row r="393" ht="66" customHeight="1">
      <x:c r="A393" s="14" t="str">
        <x:v>frozen/raw/activities_page_000.json</x:v>
      </x:c>
      <x:c r="B393" s="17" t="n">
        <x:v>329</x:v>
      </x:c>
      <x:c r="C393" s="17" t="n">
        <x:v>423</x:v>
      </x:c>
      <x:c r="D393" s="14" t="str">
        <x:v>000192", "bao_format": "BAO_0000219", "bao_label": "cell-based format", "canonical_smiles": "Cn1c(SCCCN2CC[C@]3(C[C@@H]3c3ccccc3)C2)nnc1-c1cccnc1", "data_validity_comment": null, "data_validity_description": null, "document_chembl_id": "CHEMBL3853329", "document_journal": "J Med Chem", "document_year": 2016, "ligand_efficiency": {"bei": "13.51", "le": "0.26", "lle": "1.24", "sei": "11.70"}, "modal</x:v>
      </x:c>
    </x:row>
    <x:row r="394" ht="66" customHeight="1">
      <x:c r="A394" s="9" t="str">
        <x:v>frozen/raw/activities_page_000.json</x:v>
      </x:c>
      <x:c r="B394" s="13" t="n">
        <x:v>330</x:v>
      </x:c>
      <x:c r="C394" s="13" t="n">
        <x:v>423</x:v>
      </x:c>
      <x:c r="D394" s="9" t="str">
        <x:v>ity": null, "molecule_chembl_id": "CHEMBL3912897", "molecule_pref_name": null, "parent_molecule_chembl_id": "CHEMBL3912897", "pchembl_value": "5.48", "potential_duplicate": 0, "qudt_units": "http://www.openphacts.org/units/Nanomolar", "record_id": 2796856, "relation": "=", "src_id": 1, "standard_flag": 1, "standard_relation": "=", "standard_text_value": null, "standard_type": "Ki", "standard_units</x:v>
      </x:c>
    </x:row>
    <x:row r="395" ht="66" customHeight="1">
      <x:c r="A395" s="14" t="str">
        <x:v>frozen/raw/activities_page_000.json</x:v>
      </x:c>
      <x:c r="B395" s="17" t="n">
        <x:v>331</x:v>
      </x:c>
      <x:c r="C395" s="17" t="n">
        <x:v>423</x:v>
      </x:c>
      <x:c r="D395" s="14" t="str">
        <x:v>": "nM", "standard_upper_value": null, "standard_value": "3311.31", "target_chembl_id": "CHEMBL217", "target_organism": "Homo sapiens", "target_pref_name": "D(2) dopamine receptor", "target_tax_id": "9606", "text_value": null, "toid": null, "type": "pKi", "units": null, "uo_units": "UO_0000065", "upper_value": null, "value": "5.48"}, {"action_type": null, "activity_comment": null, "activity_id": 1</x:v>
      </x:c>
    </x:row>
    <x:row r="396" ht="66" customHeight="1">
      <x:c r="A396" s="9" t="str">
        <x:v>frozen/raw/activities_page_000.json</x:v>
      </x:c>
      <x:c r="B396" s="13" t="n">
        <x:v>332</x:v>
      </x:c>
      <x:c r="C396" s="13" t="n">
        <x:v>423</x:v>
      </x:c>
      <x:c r="D396" s="9" t="str">
        <x:v>6670417,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x:v>
      </x:c>
    </x:row>
    <x:row r="397" ht="66" customHeight="1">
      <x:c r="A397" s="14" t="str">
        <x:v>frozen/raw/activities_page_000.json</x:v>
      </x:c>
      <x:c r="B397" s="17" t="n">
        <x:v>333</x:v>
      </x:c>
      <x:c r="C397" s="17" t="n">
        <x:v>423</x:v>
      </x:c>
      <x:c r="D397" s="14" t="str">
        <x:v>00219", "bao_label": "cell-based format", "canonical_smiles": "Cn1c(SCCCN2CC[C@]3(C[C@@H]3c3ccc(C(F)(F)F)cc3F)C2)nnc1-c1cccnc1", "data_validity_comment": null, "data_validity_description": null, "document_chembl_id": "CHEMBL3853329", "document_journal": "J Med Chem", "document_year": 2016, "ligand_efficiency": {"bei": "12.49", "le": "0.25", "lle": "0.74", "sei": "13.11"}, "modality": null, "molecu</x:v>
      </x:c>
    </x:row>
    <x:row r="398" ht="66" customHeight="1">
      <x:c r="A398" s="9" t="str">
        <x:v>frozen/raw/activities_page_000.json</x:v>
      </x:c>
      <x:c r="B398" s="13" t="n">
        <x:v>334</x:v>
      </x:c>
      <x:c r="C398" s="13" t="n">
        <x:v>423</x:v>
      </x:c>
      <x:c r="D398" s="9" t="str">
        <x:v>le_chembl_id": "CHEMBL3949662", "molecule_pref_name": null, "parent_molecule_chembl_id": "CHEMBL3949662", "pchembl_value": "6.14", "potential_duplicate": 0, "qudt_units": "http://www.openphacts.org/units/Nanomolar", "record_id": 2796857, "relation": "=", "src_id": 1, "standard_flag": 1, "standard_relation": "=", "standard_text_value": null, "standard_type": "Ki", "standard_units": "nM", "standard_</x:v>
      </x:c>
    </x:row>
    <x:row r="399" ht="66" customHeight="1">
      <x:c r="A399" s="14" t="str">
        <x:v>frozen/raw/activities_page_000.json</x:v>
      </x:c>
      <x:c r="B399" s="17" t="n">
        <x:v>335</x:v>
      </x:c>
      <x:c r="C399" s="17" t="n">
        <x:v>423</x:v>
      </x:c>
      <x:c r="D399" s="14" t="str">
        <x:v>upper_value": null, "standard_value": "724.44", "target_chembl_id": "CHEMBL217", "target_organism": "Homo sapiens", "target_pref_name": "D(2) dopamine receptor", "target_tax_id": "9606", "text_value": null, "toid": null, "type": "pKi", "units": null, "uo_units": "UO_0000065", "upper_value": null, "value": "6.14"}, {"action_type": null, "activity_comment": null, "activity_id": 16670418, "activity_p</x:v>
      </x:c>
    </x:row>
    <x:row r="400" ht="66" customHeight="1">
      <x:c r="A400" s="9" t="str">
        <x:v>frozen/raw/activities_page_000.json</x:v>
      </x:c>
      <x:c r="B400" s="13" t="n">
        <x:v>336</x:v>
      </x:c>
      <x:c r="C400" s="13" t="n">
        <x:v>423</x:v>
      </x:c>
      <x:c r="D400" s="9" t="str">
        <x:v>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x:v>
      </x:c>
    </x:row>
    <x:row r="401" ht="66" customHeight="1">
      <x:c r="A401" s="14" t="str">
        <x:v>frozen/raw/activities_page_000.json</x:v>
      </x:c>
      <x:c r="B401" s="17" t="n">
        <x:v>337</x:v>
      </x:c>
      <x:c r="C401" s="17" t="n">
        <x:v>423</x:v>
      </x:c>
      <x:c r="D401" s="14" t="str">
        <x:v> "cell-based format", "canonical_smiles": "Cn1c(SCCCN2CC[C@]3(C[C@@H]3c3ccc(F)cc3F)C2)nnc1-c1cccnc1", "data_validity_comment": null, "data_validity_description": null, "document_chembl_id": "CHEMBL3853329", "document_journal": "J Med Chem", "document_year": 2016, "ligand_efficiency": {"bei": "14.22", "le": "0.28", "lle": "1.76", "sei": "13.41"}, "modality": null, "molecule_chembl_id": "CHEMBL39218</x:v>
      </x:c>
    </x:row>
    <x:row r="402" ht="66" customHeight="1">
      <x:c r="A402" s="9" t="str">
        <x:v>frozen/raw/activities_page_000.json</x:v>
      </x:c>
      <x:c r="B402" s="13" t="n">
        <x:v>338</x:v>
      </x:c>
      <x:c r="C402" s="13" t="n">
        <x:v>423</x:v>
      </x:c>
      <x:c r="D402" s="9" t="str">
        <x:v>85", "molecule_pref_name": null, "parent_molecule_chembl_id": "CHEMBL3921885", "pchembl_value": "6.28", "potential_duplicate": 0, "qudt_units": "http://www.openphacts.org/units/Nanomolar", "record_id": 2796858, "relation": "=", "src_id": 1, "standard_flag": 1, "standard_relation": "=", "standard_text_value": null, "standard_type": "Ki", "standard_units": "nM", "standard_upper_value": null, "standa</x:v>
      </x:c>
    </x:row>
    <x:row r="403" ht="66" customHeight="1">
      <x:c r="A403" s="14" t="str">
        <x:v>frozen/raw/activities_page_000.json</x:v>
      </x:c>
      <x:c r="B403" s="17" t="n">
        <x:v>339</x:v>
      </x:c>
      <x:c r="C403" s="17" t="n">
        <x:v>423</x:v>
      </x:c>
      <x:c r="D403" s="14" t="str">
        <x:v>rd_value": "524.81", "target_chembl_id": "CHEMBL217", "target_organism": "Homo sapiens", "target_pref_name": "D(2) dopamine receptor", "target_tax_id": "9606", "text_value": null, "toid": null, "type": "pKi", "units": null, "uo_units": "UO_0000065", "upper_value": null, "value": "6.28"}, {"action_type": null, "activity_comment": null, "activity_id": 16670419, "activity_properties": [], "assay_chem</x:v>
      </x:c>
    </x:row>
    <x:row r="404" ht="66" customHeight="1">
      <x:c r="A404" s="9" t="str">
        <x:v>frozen/raw/activities_page_000.json</x:v>
      </x:c>
      <x:c r="B404" s="13" t="n">
        <x:v>340</x:v>
      </x:c>
      <x:c r="C404" s="13" t="n">
        <x:v>423</x:v>
      </x:c>
      <x:c r="D404" s="9" t="str">
        <x:v>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x:v>
      </x:c>
    </x:row>
    <x:row r="405" ht="66" customHeight="1">
      <x:c r="A405" s="14" t="str">
        <x:v>frozen/raw/activities_page_000.json</x:v>
      </x:c>
      <x:c r="B405" s="17" t="n">
        <x:v>341</x:v>
      </x:c>
      <x:c r="C405" s="17" t="n">
        <x:v>423</x:v>
      </x:c>
      <x:c r="D405" s="14" t="str">
        <x:v>nical_smiles": "Cn1c(SCCCN2CC[C@]3(C[C@@H]3c3ccc(F)cc3)C2)nnc1-c1cccnc1", "data_validity_comment": null, "data_validity_description": null, "document_chembl_id": "CHEMBL3853329", "document_journal": "J Med Chem", "document_year": 2016, "ligand_efficiency": {"bei": "14.59", "le": "0.28", "lle": "1.80", "sei": "13.19"}, "modality": null, "molecule_chembl_id": "CHEMBL3897134", "molecule_pref_name": n</x:v>
      </x:c>
    </x:row>
    <x:row r="406" ht="66" customHeight="1">
      <x:c r="A406" s="9" t="str">
        <x:v>frozen/raw/activities_page_000.json</x:v>
      </x:c>
      <x:c r="B406" s="13" t="n">
        <x:v>342</x:v>
      </x:c>
      <x:c r="C406" s="13" t="n">
        <x:v>423</x:v>
      </x:c>
      <x:c r="D406" s="9" t="str">
        <x:v>ull, "parent_molecule_chembl_id": "CHEMBL3897134", "pchembl_value": "6.18", "potential_duplicate": 0, "qudt_units": "http://www.openphacts.org/units/Nanomolar", "record_id": 2796859, "relation": "=", "src_id": 1, "standard_flag": 1, "standard_relation": "=", "standard_text_value": null, "standard_type": "Ki", "standard_units": "nM", "standard_upper_value": null, "standard_value": "660.69", "target</x:v>
      </x:c>
    </x:row>
    <x:row r="407" ht="66" customHeight="1">
      <x:c r="A407" s="14" t="str">
        <x:v>frozen/raw/activities_page_000.json</x:v>
      </x:c>
      <x:c r="B407" s="17" t="n">
        <x:v>343</x:v>
      </x:c>
      <x:c r="C407" s="17" t="n">
        <x:v>423</x:v>
      </x:c>
      <x:c r="D407" s="14" t="str">
        <x:v>_chembl_id": "CHEMBL217", "target_organism": "Homo sapiens", "target_pref_name": "D(2) dopamine receptor", "target_tax_id": "9606", "text_value": null, "toid": null, "type": "pKi", "units": null, "uo_units": "UO_0000065", "upper_value": null, "value": "6.18"}, {"action_type": null, "activity_comment": null, "activity_id": 16670420, "activity_properties": [], "assay_chembl_id": "CHEMBL3855278", "as</x:v>
      </x:c>
    </x:row>
    <x:row r="408" ht="66" customHeight="1">
      <x:c r="A408" s="9" t="str">
        <x:v>frozen/raw/activities_page_000.json</x:v>
      </x:c>
      <x:c r="B408" s="13" t="n">
        <x:v>344</x:v>
      </x:c>
      <x:c r="C408" s="13" t="n">
        <x:v>423</x:v>
      </x:c>
      <x:c r="D408" s="9" t="str">
        <x:v>say_description": "Displacement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"Cc1ncccc1-c1</x:v>
      </x:c>
    </x:row>
    <x:row r="409" ht="66" customHeight="1">
      <x:c r="A409" s="14" t="str">
        <x:v>frozen/raw/activities_page_000.json</x:v>
      </x:c>
      <x:c r="B409" s="17" t="n">
        <x:v>345</x:v>
      </x:c>
      <x:c r="C409" s="17" t="n">
        <x:v>423</x:v>
      </x:c>
      <x:c r="D409" s="14" t="str">
        <x:v>nnc(SCCCN2CC[C@]3(C[C@@H]3c3ccc(C(F)(F)F)cc3)C2)n1C", "data_validity_comment": null, "data_validity_description": null, "document_chembl_id": "CHEMBL3853329", "document_journal": "J Med Chem", "document_year": 2016, "ligand_efficiency": {"bei": "11.96", "le": "0.23", "lle": "0.26", "sei": "12.45"}, "modality": null, "molecule_chembl_id": "CHEMBL3968272", "molecule_pref_name": null, "parent_molecul</x:v>
      </x:c>
    </x:row>
    <x:row r="410" ht="66" customHeight="1">
      <x:c r="A410" s="9" t="str">
        <x:v>frozen/raw/activities_page_000.json</x:v>
      </x:c>
      <x:c r="B410" s="13" t="n">
        <x:v>346</x:v>
      </x:c>
      <x:c r="C410" s="13" t="n">
        <x:v>423</x:v>
      </x:c>
      <x:c r="D410" s="9" t="str">
        <x:v>e_chembl_id": "CHEMBL3968272", "pchembl_value": "5.83", "potential_duplicate": 0, "qudt_units": "http://www.openphacts.org/units/Nanomolar", "record_id": 2796860, "relation": "=", "src_id": 1, "standard_flag": 1, "standard_relation": "=", "standard_text_value": null, "standard_type": "Ki", "standard_units": "nM", "standard_upper_value": null, "standard_value": "1479.11", "target_chembl_id": "CHEMB</x:v>
      </x:c>
    </x:row>
    <x:row r="411" ht="66" customHeight="1">
      <x:c r="A411" s="14" t="str">
        <x:v>frozen/raw/activities_page_000.json</x:v>
      </x:c>
      <x:c r="B411" s="17" t="n">
        <x:v>347</x:v>
      </x:c>
      <x:c r="C411" s="17" t="n">
        <x:v>423</x:v>
      </x:c>
      <x:c r="D411" s="14" t="str">
        <x:v>L217", "target_organism": "Homo sapiens", "target_pref_name": "D(2) dopamine receptor", "target_tax_id": "9606", "text_value": null, "toid": null, "type": "pKi", "units": null, "uo_units": "UO_0000065", "upper_value": null, "value": "5.83"}, {"action_type": null, "activity_comment": null, "activity_id": 16670421, "activity_properties": [], "assay_chembl_id": "CHEMBL3855278", "assay_description": "</x:v>
      </x:c>
    </x:row>
    <x:row r="412" ht="66" customHeight="1">
      <x:c r="A412" s="9" t="str">
        <x:v>frozen/raw/activities_page_000.json</x:v>
      </x:c>
      <x:c r="B412" s="13" t="n">
        <x:v>348</x:v>
      </x:c>
      <x:c r="C412" s="13" t="n">
        <x:v>423</x:v>
      </x:c>
      <x:c r="D412" s="9" t="str">
        <x:v>Displacement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x:v>
      </x:c>
    </x:row>
    <x:row r="413" ht="66" customHeight="1">
      <x:c r="A413" s="14" t="str">
        <x:v>frozen/raw/activities_page_000.json</x:v>
      </x:c>
      <x:c r="B413" s="17" t="n">
        <x:v>349</x:v>
      </x:c>
      <x:c r="C413" s="17" t="n">
        <x:v>423</x:v>
      </x:c>
      <x:c r="D413" s="14" t="str">
        <x:v>c(C(F)(F)F)cc3)C2)nnc1-c1cccnc1C(F)(F)F", "data_validity_comment": null, "data_validity_description": null, "document_chembl_id": "CHEMBL3853329", "document_journal": "J Med Chem", "document_year": 2016, "ligand_efficiency": {"bei": "11.12", "le": "0.22", "lle": "-0.26", "sei": "12.85"}, "modality": null, "molecule_chembl_id": "CHEMBL3946313", "molecule_pref_name": null, "parent_molecule_chembl_id</x:v>
      </x:c>
    </x:row>
    <x:row r="414" ht="66" customHeight="1">
      <x:c r="A414" s="9" t="str">
        <x:v>frozen/raw/activities_page_000.json</x:v>
      </x:c>
      <x:c r="B414" s="13" t="n">
        <x:v>350</x:v>
      </x:c>
      <x:c r="C414" s="13" t="n">
        <x:v>423</x:v>
      </x:c>
      <x:c r="D414" s="9" t="str">
        <x:v>": "CHEMBL3946313", "pchembl_value": "6.02", "potential_duplicate": 0, "qudt_units": "http://www.openphacts.org/units/Nanomolar", "record_id": 2796861, "relation": "=", "src_id": 1, "standard_flag": 1, "standard_relation": "=", "standard_text_value": null, "standard_type": "Ki", "standard_units": "nM", "standard_upper_value": null, "standard_value": "954.99", "target_chembl_id": "CHEMBL217", "targ</x:v>
      </x:c>
    </x:row>
    <x:row r="415" ht="66" customHeight="1">
      <x:c r="A415" s="14" t="str">
        <x:v>frozen/raw/activities_page_000.json</x:v>
      </x:c>
      <x:c r="B415" s="17" t="n">
        <x:v>351</x:v>
      </x:c>
      <x:c r="C415" s="17" t="n">
        <x:v>423</x:v>
      </x:c>
      <x:c r="D415" s="14" t="str">
        <x:v>et_organism": "Homo sapiens", "target_pref_name": "D(2) dopamine receptor", "target_tax_id": "9606", "text_value": null, "toid": null, "type": "pKi", "units": null, "uo_units": "UO_0000065", "upper_value": null, "value": "6.02"}, {"action_type": null, "activity_comment": null, "activity_id": 16670422, "activity_properties": [], "assay_chembl_id": "CHEMBL3855278", "assay_description": "Displacement</x:v>
      </x:c>
    </x:row>
    <x:row r="416" ht="66" customHeight="1">
      <x:c r="A416" s="9" t="str">
        <x:v>frozen/raw/activities_page_000.json</x:v>
      </x:c>
      <x:c r="B416" s="13" t="n">
        <x:v>352</x:v>
      </x:c>
      <x:c r="C416" s="13" t="n">
        <x:v>423</x:v>
      </x:c>
      <x:c r="D416" s="9" t="str">
        <x:v> of [3H]-spiperone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"COc1ncccc1-c1nnc(SCCCN2CC[C@]3(C[C@@H]3c3cc</x:v>
      </x:c>
    </x:row>
    <x:row r="417" ht="66" customHeight="1">
      <x:c r="A417" s="14" t="str">
        <x:v>frozen/raw/activities_page_000.json</x:v>
      </x:c>
      <x:c r="B417" s="17" t="n">
        <x:v>353</x:v>
      </x:c>
      <x:c r="C417" s="17" t="n">
        <x:v>423</x:v>
      </x:c>
      <x:c r="D417" s="14" t="str">
        <x:v>c(C(F)(F)F)cc3)C2)n1C", "data_validity_comment": null, "data_validity_description": null, "document_chembl_id": "CHEMBL3853329", "document_journal": "J Med Chem", "document_year": 2016, "ligand_efficiency": {"bei": "11.80", "le": "0.23", "lle": "0.67", "sei": "10.59"}, "modality": null, "molecule_chembl_id": "CHEMBL3958949", "molecule_pref_name": null, "parent_molecule_chembl_id": "CHEMBL3958949",</x:v>
      </x:c>
    </x:row>
    <x:row r="418" ht="66" customHeight="1">
      <x:c r="A418" s="9" t="str">
        <x:v>frozen/raw/activities_page_000.json</x:v>
      </x:c>
      <x:c r="B418" s="13" t="n">
        <x:v>354</x:v>
      </x:c>
      <x:c r="C418" s="13" t="n">
        <x:v>423</x:v>
      </x:c>
      <x:c r="D418" s="9" t="str">
        <x:v> "pchembl_value": "5.94", "potential_duplicate": 0, "qudt_units": "http://www.openphacts.org/units/Nanomolar", "record_id": 2796862, "relation": "=", "src_id": 1, "standard_flag": 1, "standard_relation": "=", "standard_text_value": null, "standard_type": "Ki", "standard_units": "nM", "standard_upper_value": null, "standard_value": "1148.15", "target_chembl_id": "CHEMBL217", "target_organism": "Hom</x:v>
      </x:c>
    </x:row>
    <x:row r="419" ht="66" customHeight="1">
      <x:c r="A419" s="14" t="str">
        <x:v>frozen/raw/activities_page_000.json</x:v>
      </x:c>
      <x:c r="B419" s="17" t="n">
        <x:v>355</x:v>
      </x:c>
      <x:c r="C419" s="17" t="n">
        <x:v>423</x:v>
      </x:c>
      <x:c r="D419" s="14" t="str">
        <x:v>o sapiens", "target_pref_name": "D(2) dopamine receptor", "target_tax_id": "9606", "text_value": null, "toid": null, "type": "pKi", "units": null, "uo_units": "UO_0000065", "upper_value": null, "value": "5.94"}, {"action_type": null, "activity_comment": null, "activity_id": 16670423, "activity_properties": [], "assay_chembl_id": "CHEMBL3855278", "assay_description": "Displacement of [3H]-spiperone</x:v>
      </x:c>
    </x:row>
    <x:row r="420" ht="66" customHeight="1">
      <x:c r="A420" s="9" t="str">
        <x:v>frozen/raw/activities_page_000.json</x:v>
      </x:c>
      <x:c r="B420" s="13" t="n">
        <x:v>356</x:v>
      </x:c>
      <x:c r="C420" s="13" t="n">
        <x:v>423</x:v>
      </x:c>
      <x:c r="D420" s="9" t="str">
        <x:v> from human dopamine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"Cn1c(SCCCN2CC[C@]3(C[C@@H]3c3ccc(C(F)(F)F)cc3)C2)nnc1-c1ccc(C</x:v>
      </x:c>
    </x:row>
    <x:row r="421" ht="66" customHeight="1">
      <x:c r="A421" s="14" t="str">
        <x:v>frozen/raw/activities_page_000.json</x:v>
      </x:c>
      <x:c r="B421" s="17" t="n">
        <x:v>357</x:v>
      </x:c>
      <x:c r="C421" s="17" t="n">
        <x:v>423</x:v>
      </x:c>
      <x:c r="D421" s="14" t="str">
        <x:v>#N)nc1", "data_validity_comment": null, "data_validity_description": null, "document_chembl_id": "CHEMBL3853329", "document_journal": "J Med Chem", "document_year": 2016, "ligand_efficiency": {"bei": "12.36", "le": "0.24", "lle": "1.03", "sei": "8.72"}, "modality": null, "molecule_chembl_id": "CHEMBL3922535", "molecule_pref_name": null, "parent_molecule_chembl_id": "CHEMBL3922535", "pchembl_value"</x:v>
      </x:c>
    </x:row>
    <x:row r="422" ht="66" customHeight="1">
      <x:c r="A422" s="9" t="str">
        <x:v>frozen/raw/activities_page_000.json</x:v>
      </x:c>
      <x:c r="B422" s="13" t="n">
        <x:v>358</x:v>
      </x:c>
      <x:c r="C422" s="13" t="n">
        <x:v>423</x:v>
      </x:c>
      <x:c r="D422" s="9" t="str">
        <x:v>: "6.16", "potential_duplicate": 0, "qudt_units": "http://www.openphacts.org/units/Nanomolar", "record_id": 2796863, "relation": "=", "src_id": 1, "standard_flag": 1, "standard_relation": "=", "standard_text_value": null, "standard_type": "Ki", "standard_units": "nM", "standard_upper_value": null, "standard_value": "691.83", "target_chembl_id": "CHEMBL217", "target_organism": "Homo sapiens", "targ</x:v>
      </x:c>
    </x:row>
    <x:row r="423" ht="66" customHeight="1">
      <x:c r="A423" s="14" t="str">
        <x:v>frozen/raw/activities_page_000.json</x:v>
      </x:c>
      <x:c r="B423" s="17" t="n">
        <x:v>359</x:v>
      </x:c>
      <x:c r="C423" s="17" t="n">
        <x:v>423</x:v>
      </x:c>
      <x:c r="D423" s="14" t="str">
        <x:v>et_pref_name": "D(2) dopamine receptor", "target_tax_id": "9606", "text_value": null, "toid": null, "type": "pKi", "units": null, "uo_units": "UO_0000065", "upper_value": null, "value": "6.16"}, {"action_type": null, "activity_comment": null, "activity_id": 16670424, "activity_properties": [], "assay_chembl_id": "CHEMBL3855278", "assay_description": "Displacement of [3H]-spiperone from human dopam</x:v>
      </x:c>
    </x:row>
    <x:row r="424" ht="66" customHeight="1">
      <x:c r="A424" s="9" t="str">
        <x:v>frozen/raw/activities_page_000.json</x:v>
      </x:c>
      <x:c r="B424" s="13" t="n">
        <x:v>360</x:v>
      </x:c>
      <x:c r="C424" s="13" t="n">
        <x:v>423</x:v>
      </x:c>
      <x:c r="D424" s="9" t="str">
        <x:v>ine D2 receptor expressed in CHO-K1 cell membranes coexpressing Galpha16 after 120 mins by liquid scintillation counting", "assay_type": "B", "assay_variant_accession": null, "assay_variant_mutation": null, "bao_endpoint": "BAO_0000192", "bao_format": "BAO_0000219", "bao_label": "cell-based format", "canonical_smiles": "Cn1c(SCCCN2CC[C@]3(C[C@@H]3c3ccc(C(F)(F)F)cc3)C2)nnc1-c1ccc(C(N)=O)nc1", "data</x:v>
      </x:c>
    </x:row>
    <x:row r="425" ht="66" customHeight="1">
      <x:c r="A425" s="14" t="str">
        <x:v>frozen/raw/activities_page_000.json</x:v>
      </x:c>
      <x:c r="B425" s="17" t="n">
        <x:v>361</x:v>
      </x:c>
      <x:c r="C425" s="17" t="n">
        <x:v>423</x:v>
      </x:c>
      <x:c r="D425" s="14" t="str">
        <x:v>_validity_comment": null, "data_validity_description": null, "document_chembl_id": "CHEMBL3853329", "document_journal": "J Med Chem", "document_year": 2016, "ligand_efficiency": {"bei": "12.12", "le": "0.24", "lle": "1.90", "sei": "6.96"}, "modality": null, "molecule_chembl_id": "CHEMBL3950254", "molecule_pref_name": null, "parent_molecule_chembl_id": "CHEMBL3950254", "pchembl_value": "6.26", "pot</x:v>
      </x:c>
    </x:row>
    <x:row r="426" ht="66" customHeight="1">
      <x:c r="A426" s="9" t="str">
        <x:v>frozen/raw/activities_page_000.json</x:v>
      </x:c>
      <x:c r="B426" s="13" t="n">
        <x:v>362</x:v>
      </x:c>
      <x:c r="C426" s="13" t="n">
        <x:v>423</x:v>
      </x:c>
      <x:c r="D426" s="9" t="str">
        <x:v>ential_duplicate": 0, "qudt_units": "http://www.openphacts.org/units/Nanomolar", "record_id": 2796864, "relation": "=", "src_id": 1, "standard_flag": 1, "standard_relation": "=", "standard_text_value": null, "standard_type": "Ki", "standard_units": "nM", "standard_upper_value": null, "standard_value": "549.54", "target_chembl_id": "CHEMBL217", "target_organism": "Homo sapiens", "target_pref_name":</x:v>
      </x:c>
    </x:row>
    <x:row r="427" ht="66" customHeight="1">
      <x:c r="A427" s="14" t="str">
        <x:v>frozen/raw/activities_page_000.json</x:v>
      </x:c>
      <x:c r="B427" s="17" t="n">
        <x:v>363</x:v>
      </x:c>
      <x:c r="C427" s="17" t="n">
        <x:v>423</x:v>
      </x:c>
      <x:c r="D427" s="14" t="str">
        <x:v> "D(2) dopamine receptor", "target_tax_id": "9606", "text_value": null, "toid": null, "type": "pKi", "units": null, "uo_units": "UO_0000065", "upper_value": null, "value": "6.26"}, {"action_type": null, "activity_comment": null, "activity_id": 16670425, "activity_properties": [], "assay_chembl_id": "CHEMBL3855278", "assay_description": "Displacement of [3H]-spiperone from human dopamine D2 recepto</x:v>
      </x:c>
    </x:row>
    <x:row r="428" ht="66" customHeight="1">
      <x:c r="A428" s="9" t="str">
        <x:v>frozen/raw/activities_page_000.json</x:v>
      </x:c>
      <x:c r="B428" s="13" t="n">
        <x:v>364</x:v>
      </x:c>
      <x:c r="C428" s="13" t="n">
        <x:v>423</x:v>
      </x:c>
      <x:c r="D428" s="9" t="str">
        <x:v>r expressed in CHO-K1 cell membranes coexpressing Galpha16 after 120 mins by liquid scintillation counting", "assay_type": "B", "assay_variant_accession": null, "assay_variant_mutation": null, "bao_endpoint": "BAO_0000192", "bao_format": "BAO_0000219", "bao_label": "cell-based format", "canonical_smiles": "Cc1ccc(-c2nnc(SCCCN3CC[C@]4(C[C@@H]4c4ccc(C(F)(F)F)cc4)C3)n2C)c(C)n1", "data_validity_commen</x:v>
      </x:c>
    </x:row>
    <x:row r="429" ht="66" customHeight="1">
      <x:c r="A429" s="14" t="str">
        <x:v>frozen/raw/activities_page_000.json</x:v>
      </x:c>
      <x:c r="B429" s="17" t="n">
        <x:v>365</x:v>
      </x:c>
      <x:c r="C429" s="17" t="n">
        <x:v>423</x:v>
      </x:c>
      <x:c r="D429" s="14" t="str">
        <x:v>t": null, "data_validity_description": null, "document_chembl_id": "CHEMBL3853329", "document_journal": "J Med Chem", "document_year": 2016, "ligand_efficiency": {"bei": "11.78", "le": "0.23", "lle": "0.04", "sei": "12.62"}, "modality": null, "molecule_chembl_id": "CHEMBL3913542", "molecule_pref_name": null, "parent_molecule_chembl_id": "CHEMBL3913542", "pchembl_value": "5.91", "potential_duplicat</x:v>
      </x:c>
    </x:row>
    <x:row r="430" ht="66" customHeight="1">
      <x:c r="A430" s="9" t="str">
        <x:v>frozen/raw/activities_page_000.json</x:v>
      </x:c>
      <x:c r="B430" s="13" t="n">
        <x:v>366</x:v>
      </x:c>
      <x:c r="C430" s="13" t="n">
        <x:v>423</x:v>
      </x:c>
      <x:c r="D430" s="9" t="str">
        <x:v>e": 0, "qudt_units": "http://www.openphacts.org/units/Nanomolar", "record_id": 2796865, "relation": "=", "src_id": 1, "standard_flag": 1, "standard_relation": "=", "standard_text_value": null, "standard_type": "Ki", "standard_units": "nM", "standard_upper_value": null, "standard_value": "1230.27", "target_chembl_id": "CHEMBL217", "target_organism": "Homo sapiens", "target_pref_name": "D(2) dopamin</x:v>
      </x:c>
    </x:row>
    <x:row r="431" ht="66" customHeight="1">
      <x:c r="A431" s="14" t="str">
        <x:v>frozen/raw/activities_page_000.json</x:v>
      </x:c>
      <x:c r="B431" s="17" t="n">
        <x:v>367</x:v>
      </x:c>
      <x:c r="C431" s="17" t="n">
        <x:v>423</x:v>
      </x:c>
      <x:c r="D431" s="14" t="str">
        <x:v>e receptor", "target_tax_id": "9606", "text_value": null, "toid": null, "type": "pKi", "units": null, "uo_units": "UO_0000065", "upper_value": null, "value": "5.91"}, {"action_type": null, "activity_comment": null, "activity_id": 16670426, "activity_properties": [], "assay_chembl_id": "CHEMBL3855278", "assay_description": "Displacement of [3H]-spiperone from human dopamine D2 receptor expressed in</x:v>
      </x:c>
    </x:row>
    <x:row r="432" ht="66" customHeight="1">
      <x:c r="A432" s="9" t="str">
        <x:v>frozen/raw/activities_page_000.json</x:v>
      </x:c>
      <x:c r="B432" s="13" t="n">
        <x:v>368</x:v>
      </x:c>
      <x:c r="C432" s="13" t="n">
        <x:v>423</x:v>
      </x:c>
      <x:c r="D432" s="9" t="str">
        <x:v> CHO-K1 cell membranes coexpressing Galpha16 after 120 mins by liquid scintillation counting", "assay_type": "B", "assay_variant_accession": null, "assay_variant_mutation": null, "bao_endpoint": "BAO_0000192", "bao_format": "BAO_0000219", "bao_label": "cell-based format", "canonical_smiles": "Cc1nc(C(N)=O)ccc1-c1nnc(SCCCN2CC[C@]3(C[C@@H]3c3ccc(C(F)(F)F)cc3)C2)n1C", "data_validity_comment": null, "</x:v>
      </x:c>
    </x:row>
    <x:row r="433" ht="66" customHeight="1">
      <x:c r="A433" s="14" t="str">
        <x:v>frozen/raw/activities_page_000.json</x:v>
      </x:c>
      <x:c r="B433" s="17" t="n">
        <x:v>369</x:v>
      </x:c>
      <x:c r="C433" s="17" t="n">
        <x:v>423</x:v>
      </x:c>
      <x:c r="D433" s="14" t="str">
        <x:v>data_validity_description": null, "document_chembl_id": "CHEMBL3853329", "document_journal": "J Med Chem", "document_year": 2016, "ligand_efficiency": {"bei": "11.19", "le": "0.22", "lle": "1.27", "sei": "6.61"}, "modality": null, "molecule_chembl_id": "CHEMBL3941520", "molecule_pref_name": null, "parent_molecule_chembl_id": "CHEMBL3941520", "pchembl_value": "5.94", "potential_duplicate": 0, "qudt</x:v>
      </x:c>
    </x:row>
    <x:row r="434" ht="66" customHeight="1">
      <x:c r="A434" s="9" t="str">
        <x:v>frozen/raw/activities_page_000.json</x:v>
      </x:c>
      <x:c r="B434" s="13" t="n">
        <x:v>370</x:v>
      </x:c>
      <x:c r="C434" s="13" t="n">
        <x:v>423</x:v>
      </x:c>
      <x:c r="D434" s="9" t="str">
        <x:v>_units": "http://www.openphacts.org/units/Nanomolar", "record_id": 2796866, "relation": "=", "src_id": 1, "standard_flag": 1, "standard_relation": "=", "standard_text_value": null, "standard_type": "Ki", "standard_units": "nM", "standard_upper_value": null, "standard_value": "1148.15", "target_chembl_id": "CHEMBL217", "target_organism": "Homo sapiens", "target_pref_name": "D(2) dopamine receptor",</x:v>
      </x:c>
    </x:row>
    <x:row r="435" ht="66" customHeight="1">
      <x:c r="A435" s="14" t="str">
        <x:v>frozen/raw/activities_page_000.json</x:v>
      </x:c>
      <x:c r="B435" s="17" t="n">
        <x:v>371</x:v>
      </x:c>
      <x:c r="C435" s="17" t="n">
        <x:v>423</x:v>
      </x:c>
      <x:c r="D435" s="14" t="str">
        <x:v> "target_tax_id": "9606", "text_value": null, "toid": null, "type": "pKi", "units": null, "uo_units": "UO_0000065", "upper_value": null, "value": "5.94"}, {"action_type": null, "activity_comment": null, "activity_id": 16670427, "activity_properties": [], "assay_chembl_id": "CHEMBL3855278", "assay_description": "Displacement of [3H]-spiperone from human dopamine D2 receptor expressed in CHO-K1 cell</x:v>
      </x:c>
    </x:row>
    <x:row r="436" ht="66" customHeight="1">
      <x:c r="A436" s="9" t="str">
        <x:v>frozen/raw/activities_page_000.json</x:v>
      </x:c>
      <x:c r="B436" s="13" t="n">
        <x:v>372</x:v>
      </x:c>
      <x:c r="C436" s="13" t="n">
        <x:v>423</x:v>
      </x:c>
      <x:c r="D436" s="9" t="str">
        <x:v> membranes coexpressing Galpha16 after 120 mins by liquid scintillation counting", "assay_type": "B", "assay_variant_accession": null, "assay_variant_mutation": null, "bao_endpoint": "BAO_0000192", "bao_format": "BAO_0000219", "bao_label": "cell-based format", "canonical_smiles": "Cc1nc(C(=O)O)ccc1-c1nnc(SCCCN2CC[C@]3(C[C@@H]3c3ccc(C(F)(F)F)cc3)C2)n1C", "data_validity_comment": null, "data_validit</x:v>
      </x:c>
    </x:row>
    <x:row r="437" ht="66" customHeight="1">
      <x:c r="A437" s="14" t="str">
        <x:v>frozen/raw/activities_page_000.json</x:v>
      </x:c>
      <x:c r="B437" s="17" t="n">
        <x:v>373</x:v>
      </x:c>
      <x:c r="C437" s="17" t="n">
        <x:v>423</x:v>
      </x:c>
      <x:c r="D437" s="14" t="str">
        <x:v>y_description": null, "document_chembl_id": "CHEMBL3853329", "document_journal": "J Med Chem", "document_year": 2016, "ligand_efficiency": {"bei": "9.63", "le": "0.19", "lle": "-0.14", "sei": "6.09"}, "modality": null, "molecule_chembl_id": "CHEMBL3964649", "molecule_pref_name": null, "parent_molecule_chembl_id": "CHEMBL3964649", "pchembl_value": "5.12", "potential_duplicate": 0, "qudt_units": "ht</x:v>
      </x:c>
    </x:row>
    <x:row r="438" ht="66" customHeight="1">
      <x:c r="A438" s="9" t="str">
        <x:v>frozen/raw/activities_page_000.json</x:v>
      </x:c>
      <x:c r="B438" s="13" t="n">
        <x:v>374</x:v>
      </x:c>
      <x:c r="C438" s="13" t="n">
        <x:v>423</x:v>
      </x:c>
      <x:c r="D438" s="9" t="str">
        <x:v>tp://www.openphacts.org/units/Nanomolar", "record_id": 2796867, "relation": "=", "src_id": 1, "standard_flag": 1, "standard_relation": "=", "standard_text_value": null, "standard_type": "Ki", "standard_units": "nM", "standard_upper_value": null, "standard_value": "7585.78", "target_chembl_id": "CHEMBL217", "target_organism": "Homo sapiens", "target_pref_name": "D(2) dopamine receptor", "target_tax</x:v>
      </x:c>
    </x:row>
    <x:row r="439" ht="66" customHeight="1">
      <x:c r="A439" s="14" t="str">
        <x:v>frozen/raw/activities_page_000.json</x:v>
      </x:c>
      <x:c r="B439" s="17" t="n">
        <x:v>375</x:v>
      </x:c>
      <x:c r="C439" s="17" t="n">
        <x:v>423</x:v>
      </x:c>
      <x:c r="D439" s="14" t="str">
        <x:v>_id": "9606", "text_value": null, "toid": null, "type": "pKi", "units": null, "uo_units": "UO_0000065", "upper_value": null, "value": "5.12"}, {"action_type": null, "activity_comment": null, "activity_id": 16670459, "activity_properties": [], "assay_chembl_id": "CHEMBL3855278", "assay_description": "Displacement of [3H]-spiperone from human dopamine D2 receptor expressed in CHO-K1 cell membranes c</x:v>
      </x:c>
    </x:row>
    <x:row r="440" ht="66" customHeight="1">
      <x:c r="A440" s="9" t="str">
        <x:v>frozen/raw/activities_page_000.json</x:v>
      </x:c>
      <x:c r="B440" s="13" t="n">
        <x:v>376</x:v>
      </x:c>
      <x:c r="C440" s="13" t="n">
        <x:v>423</x:v>
      </x:c>
      <x:c r="D440" s="9" t="str">
        <x:v>oexpressing Galpha16 after 120 mins by liquid scintillation counting", "assay_type": "B", "assay_variant_accession": null, "assay_variant_mutation": null, "bao_endpoint": "BAO_0000192", "bao_format": "BAO_0000219", "bao_label": "cell-based format", "canonical_smiles": "Cn1c(SCCCN2CC[C@]3(C[C@@H]3c3ccc(C(F)(F)F)cc3)C2)nnc1-c1ccn(C)c(=O)c1", "data_validity_comment": null, "data_validity_description"</x:v>
      </x:c>
    </x:row>
    <x:row r="441" ht="66" customHeight="1">
      <x:c r="A441" s="14" t="str">
        <x:v>frozen/raw/activities_page_000.json</x:v>
      </x:c>
      <x:c r="B441" s="17" t="n">
        <x:v>377</x:v>
      </x:c>
      <x:c r="C441" s="17" t="n">
        <x:v>423</x:v>
      </x:c>
      <x:c r="D441" s="14" t="str">
        <x:v>: null, "document_chembl_id": "CHEMBL3853329", "document_journal": "J Med Chem", "document_year": 2016, "ligand_efficiency": {"bei": "11.22", "le": "0.22", "lle": "1.09", "sei": "10.10"}, "modality": null, "molecule_chembl_id": "CHEMBL3894853", "molecule_pref_name": null, "parent_molecule_chembl_id": "CHEMBL3894853", "pchembl_value": "5.65", "potential_duplicate": 0, "qudt_units": "http://www.open</x:v>
      </x:c>
    </x:row>
    <x:row r="442" ht="66" customHeight="1">
      <x:c r="A442" s="9" t="str">
        <x:v>frozen/raw/activities_page_000.json</x:v>
      </x:c>
      <x:c r="B442" s="13" t="n">
        <x:v>378</x:v>
      </x:c>
      <x:c r="C442" s="13" t="n">
        <x:v>423</x:v>
      </x:c>
      <x:c r="D442" s="9" t="str">
        <x:v>phacts.org/units/Nanomolar", "record_id": 2796872, "relation": "=", "src_id": 1, "standard_flag": 1, "standard_relation": "=", "standard_text_value": null, "standard_type": "Ki", "standard_units": "nM", "standard_upper_value": null, "standard_value": "2238.72", "target_chembl_id": "CHEMBL217", "target_organism": "Homo sapiens", "target_pref_name": "D(2) dopamine receptor", "target_tax_id": "9606",</x:v>
      </x:c>
    </x:row>
    <x:row r="443" ht="66" customHeight="1">
      <x:c r="A443" s="14" t="str">
        <x:v>frozen/raw/activities_page_000.json</x:v>
      </x:c>
      <x:c r="B443" s="17" t="n">
        <x:v>379</x:v>
      </x:c>
      <x:c r="C443" s="17" t="n">
        <x:v>423</x:v>
      </x:c>
      <x:c r="D443" s="14" t="str">
        <x:v> "text_value": null, "toid": null, "type": "pKi", "units": null, "uo_units": "UO_0000065", "upper_value": null, "value": "5.65"}, {"action_type": null, "activity_comment": null, "activity_id": 16670460, "activity_properties": [], "assay_chembl_id": "CHEMBL3855278", "assay_description": "Displacement of [3H]-spiperone from human dopamine D2 receptor expressed in CHO-K1 cell membranes coexpressing G</x:v>
      </x:c>
    </x:row>
    <x:row r="444" ht="66" customHeight="1">
      <x:c r="A444" s="9" t="str">
        <x:v>frozen/raw/activities_page_000.json</x:v>
      </x:c>
      <x:c r="B444" s="13" t="n">
        <x:v>380</x:v>
      </x:c>
      <x:c r="C444" s="13" t="n">
        <x:v>423</x:v>
      </x:c>
      <x:c r="D444" s="9" t="str">
        <x:v>alpha16 after 120 mins by liquid scintillation counting", "assay_type": "B", "assay_variant_accession": null, "assay_variant_mutation": null, "bao_endpoint": "BAO_0000192", "bao_format": "BAO_0000219", "bao_label": "cell-based format", "canonical_smiles": "Cn1c(SCCCN2CC[C@]3(C[C@@H]3c3ccc(C(F)(F)F)cc3)C2)nnc1C1CCN(C(N)=O)CC1", "data_validity_comment": null, "data_validity_description": null, "docu</x:v>
      </x:c>
    </x:row>
    <x:row r="445" ht="66" customHeight="1">
      <x:c r="A445" s="14" t="str">
        <x:v>frozen/raw/activities_page_000.json</x:v>
      </x:c>
      <x:c r="B445" s="17" t="n">
        <x:v>381</x:v>
      </x:c>
      <x:c r="C445" s="17" t="n">
        <x:v>423</x:v>
      </x:c>
      <x:c r="D445" s="14" t="str">
        <x:v>ment_chembl_id": "CHEMBL3853329", "document_journal": "J Med Chem", "document_year": 2016, "ligand_efficiency": {"bei": "11.48", "le": "0.23", "lle": "1.55", "sei": "7.47"}, "modality": null, "molecule_chembl_id": "CHEMBL3963243", "molecule_pref_name": null, "parent_molecule_chembl_id": "CHEMBL3963243", "pchembl_value": "6.00", "potential_duplicate": 0, "qudt_units": "http://www.openphacts.org/uni</x:v>
      </x:c>
    </x:row>
    <x:row r="446" ht="66" customHeight="1">
      <x:c r="A446" s="9" t="str">
        <x:v>frozen/raw/activities_page_000.json</x:v>
      </x:c>
      <x:c r="B446" s="13" t="n">
        <x:v>382</x:v>
      </x:c>
      <x:c r="C446" s="13" t="n">
        <x:v>423</x:v>
      </x:c>
      <x:c r="D446" s="9" t="str">
        <x:v>ts/Nanomolar", "record_id": 2796875, "relation": "=", "src_id": 1, "standard_flag": 1, "standard_relation": "=", "standard_text_value": null, "standard_type": "Ki", "standard_units": "nM", "standard_upper_value": null, "standard_value": "1000.0", "target_chembl_id": "CHEMBL217", "target_organism": "Homo sapiens", "target_pref_name": "D(2) dopamine receptor", "target_tax_id": "9606", "text_value": </x:v>
      </x:c>
    </x:row>
    <x:row r="447" ht="66" customHeight="1">
      <x:c r="A447" s="14" t="str">
        <x:v>frozen/raw/activities_page_000.json</x:v>
      </x:c>
      <x:c r="B447" s="17" t="n">
        <x:v>383</x:v>
      </x:c>
      <x:c r="C447" s="17" t="n">
        <x:v>423</x:v>
      </x:c>
      <x:c r="D447" s="14" t="str">
        <x:v>null, "toid": null, "type": "pKi", "units": null, "uo_units": "UO_0000065", "upper_value": null, "value": "6.0"}, {"action_type": null, "activity_comment": null, "activity_id": 16670461, "activity_properties": [], "assay_chembl_id": "CHEMBL3855278", "assay_description": "Displacement of [3H]-spiperone from human dopamine D2 receptor expressed in CHO-K1 cell membranes coexpressing Galpha16 after 12</x:v>
      </x:c>
    </x:row>
    <x:row r="448" ht="66" customHeight="1">
      <x:c r="A448" s="9" t="str">
        <x:v>frozen/raw/activities_page_000.json</x:v>
      </x:c>
      <x:c r="B448" s="13" t="n">
        <x:v>384</x:v>
      </x:c>
      <x:c r="C448" s="13" t="n">
        <x:v>423</x:v>
      </x:c>
      <x:c r="D448" s="9" t="str">
        <x:v>0 mins by liquid scintillation counting", "assay_type": "B", "assay_variant_accession": null, "assay_variant_mutation": null, "bao_endpoint": "BAO_0000192", "bao_format": "BAO_0000219", "bao_label": "cell-based format", "canonical_smiles": "Cn1c(SCCCN2CC[C@]3(C[C@@H]3c3ccc(C(F)(F)F)cc3)C2)nnc1C1CCOCC1", "data_validity_comment": null, "data_validity_description": null, "document_chembl_id": "CHEMBL</x:v>
      </x:c>
    </x:row>
    <x:row r="449" ht="66" customHeight="1">
      <x:c r="A449" s="14" t="str">
        <x:v>frozen/raw/activities_page_000.json</x:v>
      </x:c>
      <x:c r="B449" s="17" t="n">
        <x:v>385</x:v>
      </x:c>
      <x:c r="C449" s="17" t="n">
        <x:v>423</x:v>
      </x:c>
      <x:c r="D449" s="14" t="str">
        <x:v>3853329", "document_journal": "J Med Chem", "document_year": 2016, "ligand_efficiency": {"bei": "12.67", "le": "0.25", "lle": "1.00", "sei": "14.10"}, "modality": null, "molecule_chembl_id": "CHEMBL3948167", "molecule_pref_name": null, "parent_molecule_chembl_id": "CHEMBL3948167", "pchembl_value": "6.09", "potential_duplicate": 0, "qudt_units": "http://www.openphacts.org/units/Nanomolar", "record_</x:v>
      </x:c>
    </x:row>
    <x:row r="450" ht="66" customHeight="1">
      <x:c r="A450" s="9" t="str">
        <x:v>frozen/raw/activities_page_000.json</x:v>
      </x:c>
      <x:c r="B450" s="13" t="n">
        <x:v>386</x:v>
      </x:c>
      <x:c r="C450" s="13" t="n">
        <x:v>423</x:v>
      </x:c>
      <x:c r="D450" s="9" t="str">
        <x:v>id": 2796877, "relation": "=", "src_id": 1, "standard_flag": 1, "standard_relation": "=", "standard_text_value": null, "standard_type": "Ki", "standard_units": "nM", "standard_upper_value": null, "standard_value": "812.83", "target_chembl_id": "CHEMBL217", "target_organism": "Homo sapiens", "target_pref_name": "D(2) dopamine receptor", "target_tax_id": "9606", "text_value": null, "toid": null, "ty</x:v>
      </x:c>
    </x:row>
    <x:row r="451" ht="66" customHeight="1">
      <x:c r="A451" s="14" t="str">
        <x:v>frozen/raw/activities_page_000.json</x:v>
      </x:c>
      <x:c r="B451" s="17" t="n">
        <x:v>387</x:v>
      </x:c>
      <x:c r="C451" s="17" t="n">
        <x:v>423</x:v>
      </x:c>
      <x:c r="D451" s="14" t="str">
        <x:v>pe": "pKi", "units": null, "uo_units": "UO_0000065", "upper_value": null, "value": "6.09"}, {"action_type": null, "activity_comment": null, "activity_id": 16670462, "activity_properties": [], "assay_chembl_id": "CHEMBL3855278", "assay_description": "Displacement of [3H]-spiperone from human dopamine D2 receptor expressed in CHO-K1 cell membranes coexpressing Galpha16 after 120 mins by liquid scint</x:v>
      </x:c>
    </x:row>
    <x:row r="452" ht="66" customHeight="1">
      <x:c r="A452" s="9" t="str">
        <x:v>frozen/raw/activities_page_000.json</x:v>
      </x:c>
      <x:c r="B452" s="13" t="n">
        <x:v>388</x:v>
      </x:c>
      <x:c r="C452" s="13" t="n">
        <x:v>423</x:v>
      </x:c>
      <x:c r="D452" s="9" t="str">
        <x:v>illation counting", "assay_type": "B", "assay_variant_accession": null, "assay_variant_mutation": null, "bao_endpoint": "BAO_0000192", "bao_format": "BAO_0000219", "bao_label": "cell-based format", "canonical_smiles": "Cn1c(SCCCN2CC[C@]3(C[C@@H]3c3ccc(C(F)(F)F)cc3)C2)nnc1C1CC2CCC(C1)O2", "data_validity_comment": null, "data_validity_description": null, "document_chembl_id": "CHEMBL3853329", "docum</x:v>
      </x:c>
    </x:row>
    <x:row r="453" ht="66" customHeight="1">
      <x:c r="A453" s="14" t="str">
        <x:v>frozen/raw/activities_page_000.json</x:v>
      </x:c>
      <x:c r="B453" s="17" t="n">
        <x:v>389</x:v>
      </x:c>
      <x:c r="C453" s="17" t="n">
        <x:v>423</x:v>
      </x:c>
      <x:c r="D453" s="14" t="str">
        <x:v>ent_journal": "J Med Chem", "document_year": 2016, "ligand_efficiency": {"bei": "12.10", "le": "0.24", "lle": "0.51", "sei": "14.20"}, "modality": null, "molecule_chembl_id": "CHEMBL3903779", "molecule_pref_name": null, "parent_molecule_chembl_id": "CHEMBL3903779", "pchembl_value": "6.13", "potential_duplicate": 0, "qudt_units": "http://www.openphacts.org/units/Nanomolar", "record_id": 2796878, "r</x:v>
      </x:c>
    </x:row>
    <x:row r="454" ht="66" customHeight="1">
      <x:c r="A454" s="9" t="str">
        <x:v>frozen/raw/activities_page_000.json</x:v>
      </x:c>
      <x:c r="B454" s="13" t="n">
        <x:v>390</x:v>
      </x:c>
      <x:c r="C454" s="13" t="n">
        <x:v>423</x:v>
      </x:c>
      <x:c r="D454" s="9" t="str">
        <x:v>elation": "=", "src_id": 1, "standard_flag": 1, "standard_relation": "=", "standard_text_value": null, "standard_type": "Ki", "standard_units": "nM", "standard_upper_value": null, "standard_value": "741.31", "target_chembl_id": "CHEMBL217", "target_organism": "Homo sapiens", "target_pref_name": "D(2) dopamine receptor", "target_tax_id": "9606", "text_value": null, "toid": null, "type": "pKi", "uni</x:v>
      </x:c>
    </x:row>
    <x:row r="455" ht="66" customHeight="1">
      <x:c r="A455" s="14" t="str">
        <x:v>frozen/raw/activities_page_000.json</x:v>
      </x:c>
      <x:c r="B455" s="17" t="n">
        <x:v>391</x:v>
      </x:c>
      <x:c r="C455" s="17" t="n">
        <x:v>423</x:v>
      </x:c>
      <x:c r="D455" s="14" t="str">
        <x:v>ts": null, "uo_units": "UO_0000065", "upper_value": null, "value": "6.13"}, {"action_type": null, "activity_comment": null, "activity_id": 16670463, "activity_properties": [], "assay_chembl_id": "CHEMBL3855278", "assay_description": "Displacement of [3H]-spiperone from human dopamine D2 receptor expressed in CHO-K1 cell membranes coexpressing Galpha16 after 120 mins by liquid scintillation countin</x:v>
      </x:c>
    </x:row>
    <x:row r="456" ht="66" customHeight="1">
      <x:c r="A456" s="9" t="str">
        <x:v>frozen/raw/activities_page_000.json</x:v>
      </x:c>
      <x:c r="B456" s="13" t="n">
        <x:v>392</x:v>
      </x:c>
      <x:c r="C456" s="13" t="n">
        <x:v>423</x:v>
      </x:c>
      <x:c r="D456" s="9" t="str">
        <x:v>g", "assay_type": "B", "assay_variant_accession": null, "assay_variant_mutation": null, "bao_endpoint": "BAO_0000192", "bao_format": "BAO_0000219", "bao_label": "cell-based format", "canonical_smiles": "Cn1c(SCCCN2CC[C@]3(C[C@@H]3c3ccc(C(F)(F)F)cc3)C2)nnc1C1CCCCC1", "data_validity_comment": null, "data_validity_description": null, "document_chembl_id": "CHEMBL3853329", "document_journal": "J Med C</x:v>
      </x:c>
    </x:row>
    <x:row r="457" ht="66" customHeight="1">
      <x:c r="A457" s="14" t="str">
        <x:v>frozen/raw/activities_page_000.json</x:v>
      </x:c>
      <x:c r="B457" s="17" t="n">
        <x:v>393</x:v>
      </x:c>
      <x:c r="C457" s="17" t="n">
        <x:v>423</x:v>
      </x:c>
      <x:c r="D457" s="14" t="str">
        <x:v>hem", "document_year": 2016, "ligand_efficiency": {"bei": "13.02", "le": "0.26", "lle": "-0.01", "sei": "18.35"}, "modality": null, "molecule_chembl_id": "CHEMBL3958201", "molecule_pref_name": null, "parent_molecule_chembl_id": "CHEMBL3958201", "pchembl_value": "6.23", "potential_duplicate": 0, "qudt_units": "http://www.openphacts.org/units/Nanomolar", "record_id": 2796879, "relation": "=", "src_i</x:v>
      </x:c>
    </x:row>
    <x:row r="458" ht="66" customHeight="1">
      <x:c r="A458" s="9" t="str">
        <x:v>frozen/raw/activities_page_000.json</x:v>
      </x:c>
      <x:c r="B458" s="13" t="n">
        <x:v>394</x:v>
      </x:c>
      <x:c r="C458" s="13" t="n">
        <x:v>423</x:v>
      </x:c>
      <x:c r="D458" s="9" t="str">
        <x:v>d": 1, "standard_flag": 1, "standard_relation": "=", "standard_text_value": null, "standard_type": "Ki", "standard_units": "nM", "standard_upper_value": null, "standard_value": "588.84", "target_chembl_id": "CHEMBL217", "target_organism": "Homo sapiens", "target_pref_name": "D(2) dopamine receptor", "target_tax_id": "9606", "text_value": null, "toid": null, "type": "pKi", "units": null, "uo_units"</x:v>
      </x:c>
    </x:row>
    <x:row r="459" ht="66" customHeight="1">
      <x:c r="A459" s="14" t="str">
        <x:v>frozen/raw/activities_page_000.json</x:v>
      </x:c>
      <x:c r="B459" s="17" t="n">
        <x:v>395</x:v>
      </x:c>
      <x:c r="C459" s="17" t="n">
        <x:v>423</x:v>
      </x:c>
      <x:c r="D459" s="14" t="str">
        <x:v>: "UO_0000065", "upper_value": null, "value": "6.23"}, {"action_type": null, "activity_comment": null, "activity_id": 16670718, "activity_properties": [], "assay_chembl_id": "CHEMBL3855278", "assay_description": "Displacement of [3H]-spiperone from human dopamine D2 receptor expressed in CHO-K1 cell membranes coexpressing Galpha16 after 120 mins by liquid scintillation counting", "assay_type": "B"</x:v>
      </x:c>
    </x:row>
    <x:row r="460" ht="66" customHeight="1">
      <x:c r="A460" s="9" t="str">
        <x:v>frozen/raw/activities_page_000.json</x:v>
      </x:c>
      <x:c r="B460" s="13" t="n">
        <x:v>396</x:v>
      </x:c>
      <x:c r="C460" s="13" t="n">
        <x:v>423</x:v>
      </x:c>
      <x:c r="D460" s="9" t="str">
        <x:v>, "assay_variant_accession": null, "assay_variant_mutation": null, "bao_endpoint": "BAO_0000192", "bao_format": "BAO_0000219", "bao_label": "cell-based format", "canonical_smiles": "Cn1c(SCCCN2CC[C@]3(C[C@@H]3c3ccc(C(F)(F)F)cc3)C2)nnc1C1=CCC(=O)N=C1", "data_validity_comment": null, "data_validity_description": null, "document_chembl_id": "CHEMBL3853329", "document_journal": "J Med Chem", "document</x:v>
      </x:c>
    </x:row>
    <x:row r="461" ht="66" customHeight="1">
      <x:c r="A461" s="14" t="str">
        <x:v>frozen/raw/activities_page_000.json</x:v>
      </x:c>
      <x:c r="B461" s="17" t="n">
        <x:v>397</x:v>
      </x:c>
      <x:c r="C461" s="17" t="n">
        <x:v>423</x:v>
      </x:c>
      <x:c r="D461" s="14" t="str">
        <x:v>_year": 2016, "ligand_efficiency": {"bei": "13.22", "le": "0.26", "lle": "1.89", "sei": "10.21"}, "modality": null, "molecule_chembl_id": "CHEMBL3964512", "molecule_pref_name": null, "parent_molecule_chembl_id": "CHEMBL3964512", "pchembl_value": "6.47", "potential_duplicate": 0, "qudt_units": "http://www.openphacts.org/units/Nanomolar", "record_id": 2796869, "relation": "=", "src_id": 1, "standard</x:v>
      </x:c>
    </x:row>
    <x:row r="462" ht="66" customHeight="1">
      <x:c r="A462" s="9" t="str">
        <x:v>frozen/raw/activities_page_000.json</x:v>
      </x:c>
      <x:c r="B462" s="13" t="n">
        <x:v>398</x:v>
      </x:c>
      <x:c r="C462" s="13" t="n">
        <x:v>423</x:v>
      </x:c>
      <x:c r="D462" s="9" t="str">
        <x:v>_flag": 1, "standard_relation": "=", "standard_text_value": null, "standard_type": "Ki", "standard_units": "nM", "standard_upper_value": null, "standard_value": "338.84", "target_chembl_id": "CHEMBL217", "target_organism": "Homo sapiens", "target_pref_name": "D(2) dopamine receptor", "target_tax_id": "9606", "text_value": null, "toid": null, "type": "pKi", "units": null, "uo_units": "UO_0000065", </x:v>
      </x:c>
    </x:row>
    <x:row r="463" ht="66" customHeight="1">
      <x:c r="A463" s="14" t="str">
        <x:v>frozen/raw/activities_page_000.json</x:v>
      </x:c>
      <x:c r="B463" s="17" t="n">
        <x:v>399</x:v>
      </x:c>
      <x:c r="C463" s="17" t="n">
        <x:v>423</x:v>
      </x:c>
      <x:c r="D463" s="14" t="str">
        <x:v>"upper_value": null, "value": "6.47"}, {"action_type": null, "activity_comment": null, "activity_id": 16670719, "activity_properties": [], "assay_chembl_id": "CHEMBL3855278", "assay_description": "Displacement of [3H]-spiperone from human dopamine D2 receptor expressed in CHO-K1 cell membranes coexpressing Galpha16 after 120 mins by liquid scintillation counting", "assay_type": "B", "assay_variant</x:v>
      </x:c>
    </x:row>
    <x:row r="464" ht="66" customHeight="1">
      <x:c r="A464" s="9" t="str">
        <x:v>frozen/raw/activities_page_000.json</x:v>
      </x:c>
      <x:c r="B464" s="13" t="n">
        <x:v>400</x:v>
      </x:c>
      <x:c r="C464" s="13" t="n">
        <x:v>423</x:v>
      </x:c>
      <x:c r="D464" s="9" t="str">
        <x:v>_accession": null, "assay_variant_mutation": null, "bao_endpoint": "BAO_0000192", "bao_format": "BAO_0000219", "bao_label": "cell-based format", "canonical_smiles": "Cn1c(SCCCN2CC[C@]3(C[C@@H]3c3ccc(C(F)(F)F)cc3)C2)nnc1C1=CC=NC(=O)C1", "data_validity_comment": null, "data_validity_description": null, "document_chembl_id": "CHEMBL3853329", "document_journal": "J Med Chem", "document_year": 2016, "l</x:v>
      </x:c>
    </x:row>
    <x:row r="465" ht="66" customHeight="1">
      <x:c r="A465" s="14" t="str">
        <x:v>frozen/raw/activities_page_000.json</x:v>
      </x:c>
      <x:c r="B465" s="17" t="n">
        <x:v>401</x:v>
      </x:c>
      <x:c r="C465" s="17" t="n">
        <x:v>423</x:v>
      </x:c>
      <x:c r="D465" s="14" t="str">
        <x:v>igand_efficiency": {"bei": "11.93", "le": "0.23", "lle": "1.26", "sei": "9.21"}, "modality": null, "molecule_chembl_id": "CHEMBL3897772", "molecule_pref_name": null, "parent_molecule_chembl_id": "CHEMBL3897772", "pchembl_value": "5.84", "potential_duplicate": 0, "qudt_units": "http://www.openphacts.org/units/Nanomolar", "record_id": 2796870, "relation": "=", "src_id": 1, "standard_flag": 1, "stand</x:v>
      </x:c>
    </x:row>
    <x:row r="466" ht="66" customHeight="1">
      <x:c r="A466" s="9" t="str">
        <x:v>frozen/raw/activities_page_000.json</x:v>
      </x:c>
      <x:c r="B466" s="13" t="n">
        <x:v>402</x:v>
      </x:c>
      <x:c r="C466" s="13" t="n">
        <x:v>423</x:v>
      </x:c>
      <x:c r="D466" s="9" t="str">
        <x:v>ard_relation": "=", "standard_text_value": null, "standard_type": "Ki", "standard_units": "nM", "standard_upper_value": null, "standard_value": "1445.44", "target_chembl_id": "CHEMBL217", "target_organism": "Homo sapiens", "target_pref_name": "D(2) dopamine receptor", "target_tax_id": "9606", "text_value": null, "toid": null, "type": "pKi", "units": null, "uo_units": "UO_0000065", "upper_value": n</x:v>
      </x:c>
    </x:row>
    <x:row r="467" ht="66" customHeight="1">
      <x:c r="A467" s="14" t="str">
        <x:v>frozen/raw/activities_page_000.json</x:v>
      </x:c>
      <x:c r="B467" s="17" t="n">
        <x:v>403</x:v>
      </x:c>
      <x:c r="C467" s="17" t="n">
        <x:v>423</x:v>
      </x:c>
      <x:c r="D467" s="14" t="str">
        <x:v>ull, "value": "5.84"}, {"action_type": null, "activity_comment": null, "activity_id": 16670720, "activity_properties": [], "assay_chembl_id": "CHEMBL3855278", "assay_description": "Displacement of [3H]-spiperone from human dopamine D2 receptor expressed in CHO-K1 cell membranes coexpressing Galpha16 after 120 mins by liquid scintillation counting", "assay_type": "B", "assay_variant_accession": nul</x:v>
      </x:c>
    </x:row>
    <x:row r="468" ht="66" customHeight="1">
      <x:c r="A468" s="9" t="str">
        <x:v>frozen/raw/activities_page_000.json</x:v>
      </x:c>
      <x:c r="B468" s="13" t="n">
        <x:v>404</x:v>
      </x:c>
      <x:c r="C468" s="13" t="n">
        <x:v>423</x:v>
      </x:c>
      <x:c r="D468" s="9" t="str">
        <x:v>l, "assay_variant_mutation": null, "bao_endpoint": "BAO_0000192", "bao_format": "BAO_0000219", "bao_label": "cell-based format", "canonical_smiles": "CC(=O)NC1CCC(c2nnc(SCCCN3CC[C@]4(C[C@@H]4c4ccc(C(F)(F)F)cc4)C3)n2C)CC1", "data_validity_comment": null, "data_validity_description": null, "document_chembl_id": "CHEMBL3853329", "document_journal": "J Med Chem", "document_year": 2016, "ligand_efficie</x:v>
      </x:c>
    </x:row>
    <x:row r="469" ht="66" customHeight="1">
      <x:c r="A469" s="14" t="str">
        <x:v>frozen/raw/activities_page_000.json</x:v>
      </x:c>
      <x:c r="B469" s="17" t="n">
        <x:v>405</x:v>
      </x:c>
      <x:c r="C469" s="17" t="n">
        <x:v>423</x:v>
      </x:c>
      <x:c r="D469" s="14" t="str">
        <x:v>ncy": {"bei": "11.84", "le": "0.23", "lle": "0.98", "sei": "10.06"}, "modality": null, "molecule_chembl_id": "CHEMBL3912801", "molecule_pref_name": null, "parent_molecule_chembl_id": "CHEMBL3912801", "pchembl_value": "6.34", "potential_duplicate": 0, "qudt_units": "http://www.openphacts.org/units/Nanomolar", "record_id": 2796876, "relation": "=", "src_id": 1, "standard_flag": 1, "standard_relation</x:v>
      </x:c>
    </x:row>
    <x:row r="470" ht="66" customHeight="1">
      <x:c r="A470" s="9" t="str">
        <x:v>frozen/raw/activities_page_000.json</x:v>
      </x:c>
      <x:c r="B470" s="13" t="n">
        <x:v>406</x:v>
      </x:c>
      <x:c r="C470" s="13" t="n">
        <x:v>423</x:v>
      </x:c>
      <x:c r="D470" s="9" t="str">
        <x:v>": "=", "standard_text_value": null, "standard_type": "Ki", "standard_units": "nM", "standard_upper_value": null, "standard_value": "457.09", "target_chembl_id": "CHEMBL217", "target_organism": "Homo sapiens", "target_pref_name": "D(2) dopamine receptor", "target_tax_id": "9606", "text_value": null, "toid": null, "type": "pKi", "units": null, "uo_units": "UO_0000065", "upper_value": null, "value":</x:v>
      </x:c>
    </x:row>
    <x:row r="471" ht="66" customHeight="1">
      <x:c r="A471" s="14" t="str">
        <x:v>frozen/raw/activities_page_000.json</x:v>
      </x:c>
      <x:c r="B471" s="17" t="n">
        <x:v>407</x:v>
      </x:c>
      <x:c r="C471" s="17" t="n">
        <x:v>423</x:v>
      </x:c>
      <x:c r="D471" s="14" t="str">
        <x:v> "6.34"}, {"action_type": null, "activity_comment": null, "activity_id": 16670811,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x:v>
      </x:c>
    </x:row>
    <x:row r="472" ht="66" customHeight="1">
      <x:c r="A472" s="9" t="str">
        <x:v>frozen/raw/activities_page_000.json</x:v>
      </x:c>
      <x:c r="B472" s="13" t="n">
        <x:v>408</x:v>
      </x:c>
      <x:c r="C472" s="13" t="n">
        <x:v>423</x:v>
      </x:c>
      <x:c r="D472" s="9" t="str">
        <x:v>iant_mutation": null, "bao_endpoint": "BAO_0000192", "bao_format": "BAO_0000219", "bao_label": "cell-based format", "canonical_smiles": "Cn1c(SCCCN2CC[C@]3(C[C@@H]3c3ccc(C(F)(F)F)cc3)C2)nnc1C1=CCC(=O)N=C1", "data_validity_comment": null, "data_validity_description": null, "document_chembl_id": "CHEMBL3853329", "document_journal": "J Med Chem", "document_year": 2016, "ligand_efficiency": {"bei": "1</x:v>
      </x:c>
    </x:row>
    <x:row r="473" ht="66" customHeight="1">
      <x:c r="A473" s="14" t="str">
        <x:v>frozen/raw/activities_page_000.json</x:v>
      </x:c>
      <x:c r="B473" s="17" t="n">
        <x:v>409</x:v>
      </x:c>
      <x:c r="C473" s="17" t="n">
        <x:v>423</x:v>
      </x:c>
      <x:c r="D473" s="14" t="str">
        <x:v>2.50", "le": "0.25", "lle": "1.54", "sei": "9.66"}, "modality": null, "molecule_chembl_id": "CHEMBL3964512", "molecule_pref_name": null, "parent_molecule_chembl_id": "CHEMBL3964512", "pchembl_value": "6.12", "potential_duplicate": 0, "qudt_units": "http://www.openphacts.org/units/Nanomolar", "record_id": 2796868, "relation": "=", "src_id": 1, "standard_flag": 1, "standard_relation": "=", "standard</x:v>
      </x:c>
    </x:row>
    <x:row r="474" ht="66" customHeight="1">
      <x:c r="A474" s="9" t="str">
        <x:v>frozen/raw/activities_page_000.json</x:v>
      </x:c>
      <x:c r="B474" s="13" t="n">
        <x:v>410</x:v>
      </x:c>
      <x:c r="C474" s="13" t="n">
        <x:v>423</x:v>
      </x:c>
      <x:c r="D474" s="9" t="str">
        <x:v>_text_value": null, "standard_type": "Ki", "standard_units": "nM", "standard_upper_value": null, "standard_value": "758.58", "target_chembl_id": "CHEMBL217", "target_organism": "Homo sapiens", "target_pref_name": "D(2) dopamine receptor", "target_tax_id": "9606", "text_value": null, "toid": null, "type": "pKi", "units": null, "uo_units": "UO_0000065", "upper_value": null, "value": "6.12"}, {"actio</x:v>
      </x:c>
    </x:row>
    <x:row r="475" ht="66" customHeight="1">
      <x:c r="A475" s="14" t="str">
        <x:v>frozen/raw/activities_page_000.json</x:v>
      </x:c>
      <x:c r="B475" s="17" t="n">
        <x:v>411</x:v>
      </x:c>
      <x:c r="C475" s="17" t="n">
        <x:v>423</x:v>
      </x:c>
      <x:c r="D475" s="14" t="str">
        <x:v>n_type": null, "activity_comment": null, "activity_id": 16670825,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x:v>
      </x:c>
    </x:row>
    <x:row r="476" ht="66" customHeight="1">
      <x:c r="A476" s="9" t="str">
        <x:v>frozen/raw/activities_page_000.json</x:v>
      </x:c>
      <x:c r="B476" s="13" t="n">
        <x:v>412</x:v>
      </x:c>
      <x:c r="C476" s="13" t="n">
        <x:v>423</x:v>
      </x:c>
      <x:c r="D476" s="9" t="str">
        <x:v>ull, "bao_endpoint": "BAO_0000192", "bao_format": "BAO_0000219", "bao_label": "cell-based format", "canonical_smiles": "Cn1c(SCCCN2CC[C@]3(C[C@@H]3c3ccc(C(F)(F)F)cc3)C2)nnc1-c1ccc(=O)n(C)c1", "data_validity_comment": null, "data_validity_description": null, "document_chembl_id": "CHEMBL3853329", "document_journal": "J Med Chem", "document_year": 2016, "ligand_efficiency": {"bei": "12.03", "le": "0</x:v>
      </x:c>
    </x:row>
    <x:row r="477" ht="66" customHeight="1">
      <x:c r="A477" s="14" t="str">
        <x:v>frozen/raw/activities_page_000.json</x:v>
      </x:c>
      <x:c r="B477" s="17" t="n">
        <x:v>413</x:v>
      </x:c>
      <x:c r="C477" s="17" t="n">
        <x:v>423</x:v>
      </x:c>
      <x:c r="D477" s="14" t="str">
        <x:v>.24", "lle": "1.50", "sei": "10.83"}, "modality": null, "molecule_chembl_id": "CHEMBL3922838", "molecule_pref_name": null, "parent_molecule_chembl_id": "CHEMBL3922838", "pchembl_value": "6.06", "potential_duplicate": 0, "qudt_units": "http://www.openphacts.org/units/Nanomolar", "record_id": 2796871, "relation": "=", "src_id": 1, "standard_flag": 1, "standard_relation": "=", "standard_text_value": </x:v>
      </x:c>
    </x:row>
    <x:row r="478" ht="66" customHeight="1">
      <x:c r="A478" s="9" t="str">
        <x:v>frozen/raw/activities_page_000.json</x:v>
      </x:c>
      <x:c r="B478" s="13" t="n">
        <x:v>414</x:v>
      </x:c>
      <x:c r="C478" s="13" t="n">
        <x:v>423</x:v>
      </x:c>
      <x:c r="D478" s="9" t="str">
        <x:v>null, "standard_type": "Ki", "standard_units": "nM", "standard_upper_value": null, "standard_value": "870.96", "target_chembl_id": "CHEMBL217", "target_organism": "Homo sapiens", "target_pref_name": "D(2) dopamine receptor", "target_tax_id": "9606", "text_value": null, "toid": null, "type": "pKi", "units": null, "uo_units": "UO_0000065", "upper_value": null, "value": "6.06"}, {"action_type": null,</x:v>
      </x:c>
    </x:row>
    <x:row r="479" ht="66" customHeight="1">
      <x:c r="A479" s="14" t="str">
        <x:v>frozen/raw/activities_page_000.json</x:v>
      </x:c>
      <x:c r="B479" s="17" t="n">
        <x:v>415</x:v>
      </x:c>
      <x:c r="C479" s="17" t="n">
        <x:v>423</x:v>
      </x:c>
      <x:c r="D479" s="14" t="str">
        <x:v> "activity_comment": null, "activity_id": 16670842,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x:v>
      </x:c>
    </x:row>
    <x:row r="480" ht="66" customHeight="1">
      <x:c r="A480" s="9" t="str">
        <x:v>frozen/raw/activities_page_000.json</x:v>
      </x:c>
      <x:c r="B480" s="13" t="n">
        <x:v>416</x:v>
      </x:c>
      <x:c r="C480" s="13" t="n">
        <x:v>423</x:v>
      </x:c>
      <x:c r="D480" s="9" t="str">
        <x:v>oint": "BAO_0000192", "bao_format": "BAO_0000219", "bao_label": "cell-based format", "canonical_smiles": "Cn1c(SCCCN2CC[C@]3(C[C@@H]3c3ccc(C(F)(F)F)cc3)C2)nnc1C1CCNC(=O)C1", "data_validity_comment": null, "data_validity_description": null, "document_chembl_id": "CHEMBL3853329", "document_journal": "J Med Chem", "document_year": 2016, "ligand_efficiency": {"bei": "11.89", "le": "0.24", "lle": "1.68</x:v>
      </x:c>
    </x:row>
    <x:row r="481" ht="66" customHeight="1">
      <x:c r="A481" s="14" t="str">
        <x:v>frozen/raw/activities_page_000.json</x:v>
      </x:c>
      <x:c r="B481" s="17" t="n">
        <x:v>417</x:v>
      </x:c>
      <x:c r="C481" s="17" t="n">
        <x:v>423</x:v>
      </x:c>
      <x:c r="D481" s="14" t="str">
        <x:v>", "sei": "9.31"}, "modality": null, "molecule_chembl_id": "CHEMBL3913849", "molecule_pref_name": null, "parent_molecule_chembl_id": "CHEMBL3913849", "pchembl_value": "5.87", "potential_duplicate": 0, "qudt_units": "http://www.openphacts.org/units/Nanomolar", "record_id": 2796873, "relation": "=", "src_id": 1, "standard_flag": 1, "standard_relation": "=", "standard_text_value": null, "standard_typ</x:v>
      </x:c>
    </x:row>
    <x:row r="482" ht="66" customHeight="1">
      <x:c r="A482" s="9" t="str">
        <x:v>frozen/raw/activities_page_000.json</x:v>
      </x:c>
      <x:c r="B482" s="13" t="n">
        <x:v>418</x:v>
      </x:c>
      <x:c r="C482" s="13" t="n">
        <x:v>423</x:v>
      </x:c>
      <x:c r="D482" s="9" t="str">
        <x:v>e": "Ki", "standard_units": "nM", "standard_upper_value": null, "standard_value": "1348.96", "target_chembl_id": "CHEMBL217", "target_organism": "Homo sapiens", "target_pref_name": "D(2) dopamine receptor", "target_tax_id": "9606", "text_value": null, "toid": null, "type": "pKi", "units": null, "uo_units": "UO_0000065", "upper_value": null, "value": "5.87"}, {"action_type": null, "activity_comment</x:v>
      </x:c>
    </x:row>
    <x:row r="483" ht="66" customHeight="1">
      <x:c r="A483" s="14" t="str">
        <x:v>frozen/raw/activities_page_000.json</x:v>
      </x:c>
      <x:c r="B483" s="17" t="n">
        <x:v>419</x:v>
      </x:c>
      <x:c r="C483" s="17" t="n">
        <x:v>423</x:v>
      </x:c>
      <x:c r="D483" s="14" t="str">
        <x:v>": null, "activity_id": 16670852, "activity_properties": [], "assay_chembl_id": "CHEMBL3855278", "assay_description": "Displacement of [3H]-spiperone from human dopamine D2 receptor expressed in CHO-K1 cell membranes coexpressing Galpha16 after 120 mins by liquid scintillation counting", "assay_type": "B", "assay_variant_accession": null, "assay_variant_mutation": null, "bao_endpoint": "BAO_000019</x:v>
      </x:c>
    </x:row>
    <x:row r="484" ht="66" customHeight="1">
      <x:c r="A484" s="9" t="str">
        <x:v>frozen/raw/activities_page_000.json</x:v>
      </x:c>
      <x:c r="B484" s="13" t="n">
        <x:v>420</x:v>
      </x:c>
      <x:c r="C484" s="13" t="n">
        <x:v>423</x:v>
      </x:c>
      <x:c r="D484" s="9" t="str">
        <x:v>2", "bao_format": "BAO_0000219", "bao_label": "cell-based format", "canonical_smiles": "CN1CCC(c2nnc(SCCCN3CC[C@]4(C[C@@H]4c4ccc(C(F)(F)F)cc4)C3)n2C)CC1=O", "data_validity_comment": null, "data_validity_description": null, "document_chembl_id": "CHEMBL3853329", "document_journal": "J Med Chem", "document_year": 2016, "ligand_efficiency": {"bei": "11.37", "le": "0.23", "lle": "1.24", "sei": "10.63"</x:v>
      </x:c>
    </x:row>
    <x:row r="485" ht="66" customHeight="1">
      <x:c r="A485" s="14" t="str">
        <x:v>frozen/raw/activities_page_000.json</x:v>
      </x:c>
      <x:c r="B485" s="17" t="n">
        <x:v>421</x:v>
      </x:c>
      <x:c r="C485" s="17" t="n">
        <x:v>423</x:v>
      </x:c>
      <x:c r="D485" s="14" t="str">
        <x:v>}, "modality": null, "molecule_chembl_id": "CHEMBL3983684", "molecule_pref_name": null, "parent_molecule_chembl_id": "CHEMBL3983684", "pchembl_value": "5.77", "potential_duplicate": 0, "qudt_units": "http://www.openphacts.org/units/Nanomolar", "record_id": 2796874, "relation": "=", "src_id": 1, "standard_flag": 1, "standard_relation": "=", "standard_text_value": null, "standard_type": "Ki", "stand</x:v>
      </x:c>
    </x:row>
    <x:row r="486" ht="66" customHeight="1">
      <x:c r="A486" s="9" t="str">
        <x:v>frozen/raw/activities_page_000.json</x:v>
      </x:c>
      <x:c r="B486" s="13" t="n">
        <x:v>422</x:v>
      </x:c>
      <x:c r="C486" s="13" t="n">
        <x:v>423</x:v>
      </x:c>
      <x:c r="D486" s="9" t="str">
        <x:v>ard_units": "nM", "standard_upper_value": null, "standard_value": "1698.24", "target_chembl_id": "CHEMBL217", "target_organism": "Homo sapiens", "target_pref_name": "D(2) dopamine receptor", "target_tax_id": "9606", "text_value": null, "toid": null, "type": "pKi", "units": null, "uo_units": "UO_0000065", "upper_value": null, "value": "5.77"}], "page_meta": {"limit": 1000, "next": null, "offset": 0</x:v>
      </x:c>
    </x:row>
    <x:row r="487" ht="21" customHeight="1">
      <x:c r="A487" s="14" t="str">
        <x:v>frozen/raw/activities_page_000.json</x:v>
      </x:c>
      <x:c r="B487" s="17" t="n">
        <x:v>423</x:v>
      </x:c>
      <x:c r="C487" s="17" t="n">
        <x:v>423</x:v>
      </x:c>
      <x:c r="D487" s="14" t="str">
        <x:v>, "previous": null, "total_count": 107}}</x:v>
      </x:c>
    </x:row>
    <x:row r="488" ht="66" customHeight="1">
      <x:c r="A488" s="9" t="str">
        <x:v>frozen/raw/assay.json</x:v>
      </x:c>
      <x:c r="B488" s="13" t="n">
        <x:v>1</x:v>
      </x:c>
      <x:c r="C488" s="13" t="n">
        <x:v>3</x:v>
      </x:c>
      <x:c r="D488" s="9" t="str">
        <x:v>{"aidx": "857939", "assay_category": null, "assay_cell_type": "CHO-K1", "assay_chembl_id": "CHEMBL3855278", "assay_classifications": [], "assay_group": null, "assay_organism": "Homo sapiens", "assay_parameters": [], "assay_strain": null, "assay_subcellular_fraction": null, "assay_tax_id": 9606, "assay_test_type": null, "assay_tissue": null, "assay_type": "B", "assay_type_description": "Binding", "</x:v>
      </x:c>
    </x:row>
    <x:row r="489" ht="66" customHeight="1">
      <x:c r="A489" s="14" t="str">
        <x:v>frozen/raw/assay.json</x:v>
      </x:c>
      <x:c r="B489" s="17" t="n">
        <x:v>2</x:v>
      </x:c>
      <x:c r="C489" s="17" t="n">
        <x:v>3</x:v>
      </x:c>
      <x:c r="D489" s="14" t="str">
        <x:v>bao_format": "BAO_0000219", "bao_label": "cell-based format", "cell_chembl_id": "CHEMBL3307512", "confidence_description": "Direct single protein target assigned", "confidence_score": 9, "description": "Displacement of [3H]-spiperone from human dopamine D2 receptor expressed in CHO-K1 cell membranes coexpressing Galpha16 after 120 mins by liquid scintillation counting", "document_chembl_id": "CHEM</x:v>
      </x:c>
    </x:row>
    <x:row r="490" ht="36" customHeight="1">
      <x:c r="A490" s="9" t="str">
        <x:v>frozen/raw/assay.json</x:v>
      </x:c>
      <x:c r="B490" s="13" t="n">
        <x:v>3</x:v>
      </x:c>
      <x:c r="C490" s="13" t="n">
        <x:v>3</x:v>
      </x:c>
      <x:c r="D490" s="9" t="str">
        <x:v>BL3853329", "relationship_description": "Direct protein target assigned", "relationship_type": "D", "src_assay_id": null, "src_id": 1, "target_chembl_id": "CHEMBL217", "tissue_chembl_id": null, "variant_sequence": null}</x:v>
      </x:c>
    </x:row>
    <x:row r="491" ht="66" customHeight="1">
      <x:c r="A491" s="14" t="str">
        <x:v>frozen/raw/document.json</x:v>
      </x:c>
      <x:c r="B491" s="17" t="n">
        <x:v>1</x:v>
      </x:c>
      <x:c r="C491" s="17" t="n">
        <x:v>4</x:v>
      </x:c>
      <x:c r="D491" s="14" t="str">
        <x:v>{"abstract": "A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x:v>
      </x:c>
    </x:row>
    <x:row r="492" ht="66" customHeight="1">
      <x:c r="A492" s="9" t="str">
        <x:v>frozen/raw/document.json</x:v>
      </x:c>
      <x:c r="B492" s="13" t="n">
        <x:v>2</x:v>
      </x:c>
      <x:c r="C492" s="13" t="n">
        <x:v>4</x:v>
      </x:c>
      <x:c r="D492" s="9" t="str">
        <x:v>derivatives with overall favorable developability characteristics were selected for further late lead optimization studies.", "authors": "Micheli F, Bacchi A, Braggio S, Castelletti L, Cavallini P, Cavanni P, Cremonesi S, Dal Cin M, Feriani A, Gehanne S, Kajbaf M, Marchió L, Nola S, Oliosi B, Pellacani A, Perdonà E, Sava A, Semeraro T, Tarsi L, Tomelleri S, Wong A, Visentini F, Zonzini L, Heidbred</x:v>
      </x:c>
    </x:row>
    <x:row r="493" ht="66" customHeight="1">
      <x:c r="A493" s="14" t="str">
        <x:v>frozen/raw/document.json</x:v>
      </x:c>
      <x:c r="B493" s="17" t="n">
        <x:v>3</x:v>
      </x:c>
      <x:c r="C493" s="17" t="n">
        <x:v>4</x:v>
      </x:c>
      <x:c r="D493" s="14" t="str">
        <x:v>er C.", "chembl_release": {"chembl_release": "CHEMBL_24", "creation_date": "2018-04-23"}, "contact": null, "doc_type": "PUBLICATION", "document_chembl_id": "CHEMBL3853329", "doi": "10.1021/acs.jmedchem.6b00972", "doi_chembl": null, "first_page": "8549", "issue": "18", "journal": "J Med Chem", "journal_full_title": "Journal of medicinal chemistry.", "last_page": "8576", "patent_id": null, "pubmed_i</x:v>
      </x:c>
    </x:row>
    <x:row r="494" ht="36" customHeight="1">
      <x:c r="A494" s="9" t="str">
        <x:v>frozen/raw/document.json</x:v>
      </x:c>
      <x:c r="B494" s="13" t="n">
        <x:v>4</x:v>
      </x:c>
      <x:c r="C494" s="13" t="n">
        <x:v>4</x:v>
      </x:c>
      <x:c r="D494" s="9" t="str">
        <x:v>d": 27564135, "src_id": 1, "title": "1,2,4-Triazolyl 5-Azaspiro[2.4]heptanes: Lead Identification and Early Lead Optimization of a New Series of Potent and Selective Dopamine D3 Receptor Antagonists.", "volume": "59", "year": 2016}</x:v>
      </x:c>
    </x:row>
    <x:row r="495" ht="66" customHeight="1">
      <x:c r="A495" s="14" t="str">
        <x:v>frozen/raw/target.json</x:v>
      </x:c>
      <x:c r="B495" s="17" t="n">
        <x:v>1</x:v>
      </x:c>
      <x:c r="C495" s="17" t="n">
        <x:v>43</x:v>
      </x:c>
      <x:c r="D495" s="14" t="str">
        <x:v>{"cross_references": [], "organism": "Homo sapiens", "pref_name": "D(2) dopamine receptor", "species_group_flag": false, "target_chembl_id": "CHEMBL217", "target_components": [{"accession": "P14416", "component_description": "D(2) dopamine receptor", "component_id": 129, "component_type": "PROTEIN", "relationship": "SINGLE PROTEIN", "target_component_synonyms": [{"component_synonym": "D(2) dopamin</x:v>
      </x:c>
    </x:row>
    <x:row r="496" ht="66" customHeight="1">
      <x:c r="A496" s="9" t="str">
        <x:v>frozen/raw/target.json</x:v>
      </x:c>
      <x:c r="B496" s="13" t="n">
        <x:v>2</x:v>
      </x:c>
      <x:c r="C496" s="13" t="n">
        <x:v>43</x:v>
      </x:c>
      <x:c r="D496" s="9" t="str">
        <x:v>e receptor", "syn_type": "UNIPROT"}, {"component_synonym": "Dopamine D2 receptor", "syn_type": "UNIPROT"}, {"component_synonym": "DRD2", "syn_type": "GENE_SYMBOL"}], "target_component_xrefs": [{"xref_id": "P14416", "xref_name": null, "xref_src_db": "AlphaFoldDB"}, {"xref_id": "P14416", "xref_name": null, "xref_src_db": "ExpressionAtlas"}, {"xref_id": "GO:0000139", "xref_name": "Golgi membrane", "x</x:v>
      </x:c>
    </x:row>
    <x:row r="497" ht="66" customHeight="1">
      <x:c r="A497" s="14" t="str">
        <x:v>frozen/raw/target.json</x:v>
      </x:c>
      <x:c r="B497" s="17" t="n">
        <x:v>3</x:v>
      </x:c>
      <x:c r="C497" s="17" t="n">
        <x:v>43</x:v>
      </x:c>
      <x:c r="D497" s="14" t="str">
        <x:v>ref_src_db": "GoComponent"}, {"xref_id": "GO:0005794", "xref_name": "Golgi apparatus", "xref_src_db": "GoComponent"}, {"xref_id": "GO:0005886", "xref_name": "plasma membrane", "xref_src_db": "GoComponent"}, {"xref_id": "GO:0005929", "xref_name": "cilium", "xref_src_db": "GoComponent"}, {"xref_id": "GO:0016020", "xref_name": "membrane", "xref_src_db": "GoComponent"}, {"xref_id": "GO:0016328", "xref</x:v>
      </x:c>
    </x:row>
    <x:row r="498" ht="66" customHeight="1">
      <x:c r="A498" s="9" t="str">
        <x:v>frozen/raw/target.json</x:v>
      </x:c>
      <x:c r="B498" s="13" t="n">
        <x:v>4</x:v>
      </x:c>
      <x:c r="C498" s="13" t="n">
        <x:v>43</x:v>
      </x:c>
      <x:c r="D498" s="9" t="str">
        <x:v>_name": "lateral plasma membrane", "xref_src_db": "GoComponent"}, {"xref_id": "GO:0030424", "xref_name": "axon", "xref_src_db": "GoComponent"}, {"xref_id": "GO:0030425", "xref_name": "dendrite", "xref_src_db": "GoComponent"}, {"xref_id": "GO:0030672", "xref_name": "synaptic vesicle membrane", "xref_src_db": "GoComponent"}, {"xref_id": "GO:0036126", "xref_name": "sperm flagellum", "xref_src_db": "G</x:v>
      </x:c>
    </x:row>
    <x:row r="499" ht="66" customHeight="1">
      <x:c r="A499" s="14" t="str">
        <x:v>frozen/raw/target.json</x:v>
      </x:c>
      <x:c r="B499" s="17" t="n">
        <x:v>5</x:v>
      </x:c>
      <x:c r="C499" s="17" t="n">
        <x:v>43</x:v>
      </x:c>
      <x:c r="D499" s="14" t="str">
        <x:v>oComponent"}, {"xref_id": "GO:0042734", "xref_name": "presynaptic membrane", "xref_src_db": "GoComponent"}, {"xref_id": "GO:0043197", "xref_name": "dendritic spine", "xref_src_db": "GoComponent"}, {"xref_id": "GO:0043204", "xref_name": "perikaryon", "xref_src_db": "GoComponent"}, {"xref_id": "GO:0043679", "xref_name": "axon terminus", "xref_src_db": "GoComponent"}, {"xref_id": "GO:0045211", "xref_</x:v>
      </x:c>
    </x:row>
    <x:row r="500" ht="66" customHeight="1">
      <x:c r="A500" s="9" t="str">
        <x:v>frozen/raw/target.json</x:v>
      </x:c>
      <x:c r="B500" s="13" t="n">
        <x:v>6</x:v>
      </x:c>
      <x:c r="C500" s="13" t="n">
        <x:v>43</x:v>
      </x:c>
      <x:c r="D500" s="9" t="str">
        <x:v>name": "postsynaptic membrane", "xref_src_db": "GoComponent"}, {"xref_id": "GO:0060170", "xref_name": "ciliary membrane", "xref_src_db": "GoComponent"}, {"xref_id": "GO:0097648", "xref_name": "G protein-coupled receptor complex", "xref_src_db": "GoComponent"}, {"xref_id": "GO:0097730", "xref_name": "non-motile cilium", "xref_src_db": "GoComponent"}, {"xref_id": "GO:0098691", "xref_name": "dopamine</x:v>
      </x:c>
    </x:row>
    <x:row r="501" ht="66" customHeight="1">
      <x:c r="A501" s="14" t="str">
        <x:v>frozen/raw/target.json</x:v>
      </x:c>
      <x:c r="B501" s="17" t="n">
        <x:v>7</x:v>
      </x:c>
      <x:c r="C501" s="17" t="n">
        <x:v>43</x:v>
      </x:c>
      <x:c r="D501" s="14" t="str">
        <x:v>rgic synapse", "xref_src_db": "GoComponent"}, {"xref_id": "GO:0098978", "xref_name": "glutamatergic synapse", "xref_src_db": "GoComponent"}, {"xref_id": "GO:0098982", "xref_name": "GABA-ergic synapse", "xref_src_db": "GoComponent"}, {"xref_id": "GO:0001591", "xref_name": "dopamine neurotransmitter receptor activity, coupled via Gi/Go", "xref_src_db": "GoFunction"}, {"xref_id": "GO:0001965", "xref_</x:v>
      </x:c>
    </x:row>
    <x:row r="502" ht="66" customHeight="1">
      <x:c r="A502" s="9" t="str">
        <x:v>frozen/raw/target.json</x:v>
      </x:c>
      <x:c r="B502" s="13" t="n">
        <x:v>8</x:v>
      </x:c>
      <x:c r="C502" s="13" t="n">
        <x:v>43</x:v>
      </x:c>
      <x:c r="D502" s="9" t="str">
        <x:v>name": "G-protein alpha-subunit binding", "xref_src_db": "GoFunction"}, {"xref_id": "GO:0004930", "xref_name": "G protein-coupled receptor activity", "xref_src_db": "GoFunction"}, {"xref_id": "GO:0004952", "xref_name": "dopamine neurotransmitter receptor activity", "xref_src_db": "GoFunction"}, {"xref_id": "GO:0005102", "xref_name": "signaling receptor binding", "xref_src_db": "GoFunction"}, {"xre</x:v>
      </x:c>
    </x:row>
    <x:row r="503" ht="66" customHeight="1">
      <x:c r="A503" s="14" t="str">
        <x:v>frozen/raw/target.json</x:v>
      </x:c>
      <x:c r="B503" s="17" t="n">
        <x:v>9</x:v>
      </x:c>
      <x:c r="C503" s="17" t="n">
        <x:v>43</x:v>
      </x:c>
      <x:c r="D503" s="14" t="str">
        <x:v>f_id": "GO:0005515", "xref_name": "protein binding", "xref_src_db": "GoFunction"}, {"xref_id": "GO:0035240", "xref_name": "dopamine binding", "xref_src_db": "GoFunction"}, {"xref_id": "GO:0035255", "xref_name": "ionotropic glutamate receptor binding", "xref_src_db": "GoFunction"}, {"xref_id": "GO:0042802", "xref_name": "identical protein binding", "xref_src_db": "GoFunction"}, {"xref_id": "GO:0001</x:v>
      </x:c>
    </x:row>
    <x:row r="504" ht="66" customHeight="1">
      <x:c r="A504" s="9" t="str">
        <x:v>frozen/raw/target.json</x:v>
      </x:c>
      <x:c r="B504" s="13" t="n">
        <x:v>10</x:v>
      </x:c>
      <x:c r="C504" s="13" t="n">
        <x:v>43</x:v>
      </x:c>
      <x:c r="D504" s="9" t="str">
        <x:v>659", "xref_name": "temperature homeostasis", "xref_src_db": "GoProcess"}, {"xref_id": "GO:0001666", "xref_name": "response to hypoxia", "xref_src_db": "GoProcess"}, {"xref_id": "GO:0001764", "xref_name": "neuron migration", "xref_src_db": "GoProcess"}, {"xref_id": "GO:0001964", "xref_name": "startle response", "xref_src_db": "GoProcess"}, {"xref_id": "GO:0001976", "xref_name": "nervous system pro</x:v>
      </x:c>
    </x:row>
    <x:row r="505" ht="66" customHeight="1">
      <x:c r="A505" s="14" t="str">
        <x:v>frozen/raw/target.json</x:v>
      </x:c>
      <x:c r="B505" s="17" t="n">
        <x:v>11</x:v>
      </x:c>
      <x:c r="C505" s="17" t="n">
        <x:v>43</x:v>
      </x:c>
      <x:c r="D505" s="14" t="str">
        <x:v>cess involved in regulation of systemic arterial blood pressure", "xref_src_db": "GoProcess"}, {"xref_id": "GO:0002027", "xref_name": "regulation of heart rate", "xref_src_db": "GoProcess"}, {"xref_id": "GO:0002028", "xref_name": "regulation of sodium ion transport", "xref_src_db": "GoProcess"}, {"xref_id": "GO:0002031", "xref_name": "G protein-coupled receptor internalization", "xref_src_db": "Go</x:v>
      </x:c>
    </x:row>
    <x:row r="506" ht="66" customHeight="1">
      <x:c r="A506" s="9" t="str">
        <x:v>frozen/raw/target.json</x:v>
      </x:c>
      <x:c r="B506" s="13" t="n">
        <x:v>12</x:v>
      </x:c>
      <x:c r="C506" s="13" t="n">
        <x:v>43</x:v>
      </x:c>
      <x:c r="D506" s="9" t="str">
        <x:v>Process"}, {"xref_id": "GO:0002052", "xref_name": "positive regulation of neuroblast proliferation", "xref_src_db": "GoProcess"}, {"xref_id": "GO:0002092", "xref_name": "positive regulation of receptor internalization", "xref_src_db": "GoProcess"}, {"xref_id": "GO:0006914", "xref_name": "autophagy", "xref_src_db": "GoProcess"}, {"xref_id": "GO:0007186", "xref_name": "G protein-coupled receptor sig</x:v>
      </x:c>
    </x:row>
    <x:row r="507" ht="66" customHeight="1">
      <x:c r="A507" s="14" t="str">
        <x:v>frozen/raw/target.json</x:v>
      </x:c>
      <x:c r="B507" s="17" t="n">
        <x:v>13</x:v>
      </x:c>
      <x:c r="C507" s="17" t="n">
        <x:v>43</x:v>
      </x:c>
      <x:c r="D507" s="14" t="str">
        <x:v>naling pathway", "xref_src_db": "GoProcess"}, {"xref_id": "GO:0007188", "xref_name": "adenylate cyclase-modulating G protein-coupled receptor signaling pathway", "xref_src_db": "GoProcess"}, {"xref_id": "GO:0007195", "xref_name": "adenylate cyclase-inhibiting dopamine receptor signaling pathway", "xref_src_db": "GoProcess"}, {"xref_id": "GO:0007212", "xref_name": "G protein-coupled dopamine recept</x:v>
      </x:c>
    </x:row>
    <x:row r="508" ht="66" customHeight="1">
      <x:c r="A508" s="9" t="str">
        <x:v>frozen/raw/target.json</x:v>
      </x:c>
      <x:c r="B508" s="13" t="n">
        <x:v>14</x:v>
      </x:c>
      <x:c r="C508" s="13" t="n">
        <x:v>43</x:v>
      </x:c>
      <x:c r="D508" s="9" t="str">
        <x:v>or signaling pathway", "xref_src_db": "GoProcess"}, {"xref_id": "GO:0007270", "xref_name": "neuron-neuron synaptic transmission", "xref_src_db": "GoProcess"}, {"xref_id": "GO:0007405", "xref_name": "neuroblast proliferation", "xref_src_db": "GoProcess"}, {"xref_id": "GO:0007409", "xref_name": "axonogenesis", "xref_src_db": "GoProcess"}, {"xref_id": "GO:0007416", "xref_name": "synapse assembly", "x</x:v>
      </x:c>
    </x:row>
    <x:row r="509" ht="66" customHeight="1">
      <x:c r="A509" s="14" t="str">
        <x:v>frozen/raw/target.json</x:v>
      </x:c>
      <x:c r="B509" s="17" t="n">
        <x:v>15</x:v>
      </x:c>
      <x:c r="C509" s="17" t="n">
        <x:v>43</x:v>
      </x:c>
      <x:c r="D509" s="14" t="str">
        <x:v>ref_src_db": "GoProcess"}, {"xref_id": "GO:0007608", "xref_name": "sensory perception of smell", "xref_src_db": "GoProcess"}, {"xref_id": "GO:0007616", "xref_name": "long-term memory", "xref_src_db": "GoProcess"}, {"xref_id": "GO:0007625", "xref_name": "grooming behavior", "xref_src_db": "GoProcess"}, {"xref_id": "GO:0007626", "xref_name": "locomotory behavior", "xref_src_db": "GoProcess"}, {"xref</x:v>
      </x:c>
    </x:row>
    <x:row r="510" ht="66" customHeight="1">
      <x:c r="A510" s="9" t="str">
        <x:v>frozen/raw/target.json</x:v>
      </x:c>
      <x:c r="B510" s="13" t="n">
        <x:v>16</x:v>
      </x:c>
      <x:c r="C510" s="13" t="n">
        <x:v>43</x:v>
      </x:c>
      <x:c r="D510" s="9" t="str">
        <x:v>_id": "GO:0007628", "xref_name": "adult walking behavior", "xref_src_db": "GoProcess"}, {"xref_id": "GO:0007631", "xref_name": "feeding behavior", "xref_src_db": "GoProcess"}, {"xref_id": "GO:0008104", "xref_name": "protein localization", "xref_src_db": "GoProcess"}, {"xref_id": "GO:0008283", "xref_name": "cell population proliferation", "xref_src_db": "GoProcess"}, {"xref_id": "GO:0008285", "xref</x:v>
      </x:c>
    </x:row>
    <x:row r="511" ht="66" customHeight="1">
      <x:c r="A511" s="14" t="str">
        <x:v>frozen/raw/target.json</x:v>
      </x:c>
      <x:c r="B511" s="17" t="n">
        <x:v>17</x:v>
      </x:c>
      <x:c r="C511" s="17" t="n">
        <x:v>43</x:v>
      </x:c>
      <x:c r="D511" s="14" t="str">
        <x:v>_name": "negative regulation of cell population proliferation", "xref_src_db": "GoProcess"}, {"xref_id": "GO:0008306", "xref_name": "associative learning", "xref_src_db": "GoProcess"}, {"xref_id": "GO:0008542", "xref_name": "visual learning", "xref_src_db": "GoProcess"}, {"xref_id": "GO:0009636", "xref_name": "response to toxic substance", "xref_src_db": "GoProcess"}, {"xref_id": "GO:0014059", "xr</x:v>
      </x:c>
    </x:row>
    <x:row r="512" ht="66" customHeight="1">
      <x:c r="A512" s="9" t="str">
        <x:v>frozen/raw/target.json</x:v>
      </x:c>
      <x:c r="B512" s="13" t="n">
        <x:v>18</x:v>
      </x:c>
      <x:c r="C512" s="13" t="n">
        <x:v>43</x:v>
      </x:c>
      <x:c r="D512" s="9" t="str">
        <x:v>ef_name": "regulation of dopamine secretion", "xref_src_db": "GoProcess"}, {"xref_id": "GO:0016055", "xref_name": "Wnt signaling pathway", "xref_src_db": "GoProcess"}, {"xref_id": "GO:0016477", "xref_name": "cell migration", "xref_src_db": "GoProcess"}, {"xref_id": "GO:0021756", "xref_name": "striatum development", "xref_src_db": "GoProcess"}, {"xref_id": "GO:0021769", "xref_name": "orbitofrontal </x:v>
      </x:c>
    </x:row>
    <x:row r="513" ht="66" customHeight="1">
      <x:c r="A513" s="14" t="str">
        <x:v>frozen/raw/target.json</x:v>
      </x:c>
      <x:c r="B513" s="17" t="n">
        <x:v>19</x:v>
      </x:c>
      <x:c r="C513" s="17" t="n">
        <x:v>43</x:v>
      </x:c>
      <x:c r="D513" s="14" t="str">
        <x:v>cortex development", "xref_src_db": "GoProcess"}, {"xref_id": "GO:0021853", "xref_name": "cerebral cortex GABAergic interneuron migration", "xref_src_db": "GoProcess"}, {"xref_id": "GO:0021984", "xref_name": "adenohypophysis development", "xref_src_db": "GoProcess"}, {"xref_id": "GO:0030336", "xref_name": "negative regulation of cell migration", "xref_src_db": "GoProcess"}, {"xref_id": "GO:0030534</x:v>
      </x:c>
    </x:row>
    <x:row r="514" ht="66" customHeight="1">
      <x:c r="A514" s="9" t="str">
        <x:v>frozen/raw/target.json</x:v>
      </x:c>
      <x:c r="B514" s="13" t="n">
        <x:v>20</x:v>
      </x:c>
      <x:c r="C514" s="13" t="n">
        <x:v>43</x:v>
      </x:c>
      <x:c r="D514" s="9" t="str">
        <x:v>", "xref_name": "adult behavior", "xref_src_db": "GoProcess"}, {"xref_id": "GO:0030900", "xref_name": "forebrain development", "xref_src_db": "GoProcess"}, {"xref_id": "GO:0031223", "xref_name": "auditory behavior", "xref_src_db": "GoProcess"}, {"xref_id": "GO:0032228", "xref_name": "regulation of synaptic transmission, GABAergic", "xref_src_db": "GoProcess"}, {"xref_id": "GO:0032467", "xref_name"</x:v>
      </x:c>
    </x:row>
    <x:row r="515" ht="66" customHeight="1">
      <x:c r="A515" s="14" t="str">
        <x:v>frozen/raw/target.json</x:v>
      </x:c>
      <x:c r="B515" s="17" t="n">
        <x:v>21</x:v>
      </x:c>
      <x:c r="C515" s="17" t="n">
        <x:v>43</x:v>
      </x:c>
      <x:c r="D515" s="14" t="str">
        <x:v>: "positive regulation of cytokinesis", "xref_src_db": "GoProcess"}, {"xref_id": "GO:0033602", "xref_name": "negative regulation of dopamine secretion", "xref_src_db": "GoProcess"}, {"xref_id": "GO:0035810", "xref_name": "positive regulation of urine volume", "xref_src_db": "GoProcess"}, {"xref_id": "GO:0035815", "xref_name": "positive regulation of renal sodium excretion", "xref_src_db": "GoProce</x:v>
      </x:c>
    </x:row>
    <x:row r="516" ht="66" customHeight="1">
      <x:c r="A516" s="9" t="str">
        <x:v>frozen/raw/target.json</x:v>
      </x:c>
      <x:c r="B516" s="13" t="n">
        <x:v>22</x:v>
      </x:c>
      <x:c r="C516" s="13" t="n">
        <x:v>43</x:v>
      </x:c>
      <x:c r="D516" s="9" t="str">
        <x:v>ss"}, {"xref_id": "GO:0040018", "xref_name": "positive regulation of multicellular organism growth", "xref_src_db": "GoProcess"}, {"xref_id": "GO:0042321", "xref_name": "negative regulation of circadian sleep/wake cycle, sleep", "xref_src_db": "GoProcess"}, {"xref_id": "GO:0042417", "xref_name": "dopamine metabolic process", "xref_src_db": "GoProcess"}, {"xref_id": "GO:0042756", "xref_name": "drin</x:v>
      </x:c>
    </x:row>
    <x:row r="517" ht="66" customHeight="1">
      <x:c r="A517" s="14" t="str">
        <x:v>frozen/raw/target.json</x:v>
      </x:c>
      <x:c r="B517" s="17" t="n">
        <x:v>23</x:v>
      </x:c>
      <x:c r="C517" s="17" t="n">
        <x:v>43</x:v>
      </x:c>
      <x:c r="D517" s="14" t="str">
        <x:v>king behavior", "xref_src_db": "GoProcess"}, {"xref_id": "GO:0043266", "xref_name": "regulation of potassium ion transport", "xref_src_db": "GoProcess"}, {"xref_id": "GO:0043408", "xref_name": "regulation of MAPK cascade", "xref_src_db": "GoProcess"}, {"xref_id": "GO:0043410", "xref_name": "positive regulation of MAPK cascade", "xref_src_db": "GoProcess"}, {"xref_id": "GO:0043473", "xref_name": "p</x:v>
      </x:c>
    </x:row>
    <x:row r="518" ht="66" customHeight="1">
      <x:c r="A518" s="9" t="str">
        <x:v>frozen/raw/target.json</x:v>
      </x:c>
      <x:c r="B518" s="13" t="n">
        <x:v>24</x:v>
      </x:c>
      <x:c r="C518" s="13" t="n">
        <x:v>43</x:v>
      </x:c>
      <x:c r="D518" s="9" t="str">
        <x:v>igmentation", "xref_src_db": "GoProcess"}, {"xref_id": "GO:0043491", "xref_name": "phosphatidylinositol 3-kinase/protein kinase B signal transduction", "xref_src_db": "GoProcess"}, {"xref_id": "GO:0045745", "xref_name": "positive regulation of G protein-coupled receptor signaling pathway", "xref_src_db": "GoProcess"}, {"xref_id": "GO:0045776", "xref_name": "negative regulation of blood pressure", </x:v>
      </x:c>
    </x:row>
    <x:row r="519" ht="66" customHeight="1">
      <x:c r="A519" s="14" t="str">
        <x:v>frozen/raw/target.json</x:v>
      </x:c>
      <x:c r="B519" s="17" t="n">
        <x:v>25</x:v>
      </x:c>
      <x:c r="C519" s="17" t="n">
        <x:v>43</x:v>
      </x:c>
      <x:c r="D519" s="14" t="str">
        <x:v>"xref_src_db": "GoProcess"}, {"xref_id": "GO:0045824", "xref_name": "negative regulation of innate immune response", "xref_src_db": "GoProcess"}, {"xref_id": "GO:0045944", "xref_name": "positive regulation of transcription by RNA polymerase II", "xref_src_db": "GoProcess"}, {"xref_id": "GO:0046676", "xref_name": "negative regulation of insulin secretion", "xref_src_db": "GoProcess"}, {"xref_id": "</x:v>
      </x:c>
    </x:row>
    <x:row r="520" ht="66" customHeight="1">
      <x:c r="A520" s="9" t="str">
        <x:v>frozen/raw/target.json</x:v>
      </x:c>
      <x:c r="B520" s="13" t="n">
        <x:v>26</x:v>
      </x:c>
      <x:c r="C520" s="13" t="n">
        <x:v>43</x:v>
      </x:c>
      <x:c r="D520" s="9" t="str">
        <x:v>GO:0046717", "xref_name": "acid secretion", "xref_src_db": "GoProcess"}, {"xref_id": "GO:0048148", "xref_name": "behavioral response to cocaine", "xref_src_db": "GoProcess"}, {"xref_id": "GO:0048149", "xref_name": "behavioral response to ethanol", "xref_src_db": "GoProcess"}, {"xref_id": "GO:0048169", "xref_name": "regulation of long-term neuronal synaptic plasticity", "xref_src_db": "GoProcess"},</x:v>
      </x:c>
    </x:row>
    <x:row r="521" ht="66" customHeight="1">
      <x:c r="A521" s="14" t="str">
        <x:v>frozen/raw/target.json</x:v>
      </x:c>
      <x:c r="B521" s="17" t="n">
        <x:v>27</x:v>
      </x:c>
      <x:c r="C521" s="17" t="n">
        <x:v>43</x:v>
      </x:c>
      <x:c r="D521" s="14" t="str">
        <x:v> {"xref_id": "GO:0048678", "xref_name": "response to axon injury", "xref_src_db": "GoProcess"}, {"xref_id": "GO:0048755", "xref_name": "branching morphogenesis of a nerve", "xref_src_db": "GoProcess"}, {"xref_id": "GO:0050482", "xref_name": "arachidonate secretion", "xref_src_db": "GoProcess"}, {"xref_id": "GO:0050673", "xref_name": "epithelial cell proliferation", "xref_src_db": "GoProcess"}, {"x</x:v>
      </x:c>
    </x:row>
    <x:row r="522" ht="66" customHeight="1">
      <x:c r="A522" s="9" t="str">
        <x:v>frozen/raw/target.json</x:v>
      </x:c>
      <x:c r="B522" s="13" t="n">
        <x:v>28</x:v>
      </x:c>
      <x:c r="C522" s="13" t="n">
        <x:v>43</x:v>
      </x:c>
      <x:c r="D522" s="9" t="str">
        <x:v>ref_id": "GO:0050680", "xref_name": "negative regulation of epithelial cell proliferation", "xref_src_db": "GoProcess"}, {"xref_id": "GO:0050709", "xref_name": "negative regulation of protein secretion", "xref_src_db": "GoProcess"}, {"xref_id": "GO:0050769", "xref_name": "positive regulation of neurogenesis", "xref_src_db": "GoProcess"}, {"xref_id": "GO:0050804", "xref_name": "modulation of chemic</x:v>
      </x:c>
    </x:row>
    <x:row r="523" ht="66" customHeight="1">
      <x:c r="A523" s="14" t="str">
        <x:v>frozen/raw/target.json</x:v>
      </x:c>
      <x:c r="B523" s="17" t="n">
        <x:v>29</x:v>
      </x:c>
      <x:c r="C523" s="17" t="n">
        <x:v>43</x:v>
      </x:c>
      <x:c r="D523" s="14" t="str">
        <x:v>al synaptic transmission", "xref_src_db": "GoProcess"}, {"xref_id": "GO:0050805", "xref_name": "negative regulation of synaptic transmission", "xref_src_db": "GoProcess"}, {"xref_id": "GO:0051209", "xref_name": "release of sequestered calcium ion into cytosol", "xref_src_db": "GoProcess"}, {"xref_id": "GO:0051481", "xref_name": "negative regulation of cytosolic calcium ion concentration", "xref_sr</x:v>
      </x:c>
    </x:row>
    <x:row r="524" ht="66" customHeight="1">
      <x:c r="A524" s="9" t="str">
        <x:v>frozen/raw/target.json</x:v>
      </x:c>
      <x:c r="B524" s="13" t="n">
        <x:v>30</x:v>
      </x:c>
      <x:c r="C524" s="13" t="n">
        <x:v>43</x:v>
      </x:c>
      <x:c r="D524" s="9" t="str">
        <x:v>c_db": "GoProcess"}, {"xref_id": "GO:0051580", "xref_name": "regulation of neurotransmitter uptake", "xref_src_db": "GoProcess"}, {"xref_id": "GO:0051583", "xref_name": "dopamine uptake involved in synaptic transmission", "xref_src_db": "GoProcess"}, {"xref_id": "GO:0051584", "xref_name": "regulation of dopamine uptake involved in synaptic transmission", "xref_src_db": "GoProcess"}, {"xref_id": "G</x:v>
      </x:c>
    </x:row>
    <x:row r="525" ht="66" customHeight="1">
      <x:c r="A525" s="14" t="str">
        <x:v>frozen/raw/target.json</x:v>
      </x:c>
      <x:c r="B525" s="17" t="n">
        <x:v>31</x:v>
      </x:c>
      <x:c r="C525" s="17" t="n">
        <x:v>43</x:v>
      </x:c>
      <x:c r="D525" s="14" t="str">
        <x:v>O:0051586", "xref_name": "positive regulation of dopamine uptake involved in synaptic transmission", "xref_src_db": "GoProcess"}, {"xref_id": "GO:0051823", "xref_name": "regulation of synapse structural plasticity", "xref_src_db": "GoProcess"}, {"xref_id": "GO:0051898", "xref_name": "negative regulation of phosphatidylinositol 3-kinase/protein kinase B signal transduction", "xref_src_db": "GoProce</x:v>
      </x:c>
    </x:row>
    <x:row r="526" ht="66" customHeight="1">
      <x:c r="A526" s="9" t="str">
        <x:v>frozen/raw/target.json</x:v>
      </x:c>
      <x:c r="B526" s="13" t="n">
        <x:v>32</x:v>
      </x:c>
      <x:c r="C526" s="13" t="n">
        <x:v>43</x:v>
      </x:c>
      <x:c r="D526" s="9" t="str">
        <x:v>ss"}, {"xref_id": "GO:0051967", "xref_name": "negative regulation of synaptic transmission, glutamatergic", "xref_src_db": "GoProcess"}, {"xref_id": "GO:0060079", "xref_name": "excitatory postsynaptic potential", "xref_src_db": "GoProcess"}, {"xref_id": "GO:0060124", "xref_name": "positive regulation of growth hormone secretion", "xref_src_db": "GoProcess"}, {"xref_id": "GO:0060134", "xref_name": </x:v>
      </x:c>
    </x:row>
    <x:row r="527" ht="66" customHeight="1">
      <x:c r="A527" s="14" t="str">
        <x:v>frozen/raw/target.json</x:v>
      </x:c>
      <x:c r="B527" s="17" t="n">
        <x:v>33</x:v>
      </x:c>
      <x:c r="C527" s="17" t="n">
        <x:v>43</x:v>
      </x:c>
      <x:c r="D527" s="14" t="str">
        <x:v>"prepulse inhibition", "xref_src_db": "GoProcess"}, {"xref_id": "GO:0060158", "xref_name": "phospholipase C-activating dopamine receptor signaling pathway", "xref_src_db": "GoProcess"}, {"xref_id": "GO:0060160", "xref_name": "negative regulation of dopamine receptor signaling pathway", "xref_src_db": "GoProcess"}, {"xref_id": "GO:0070374", "xref_name": "positive regulation of ERK1 and ERK2 cascade</x:v>
      </x:c>
    </x:row>
    <x:row r="528" ht="66" customHeight="1">
      <x:c r="A528" s="9" t="str">
        <x:v>frozen/raw/target.json</x:v>
      </x:c>
      <x:c r="B528" s="13" t="n">
        <x:v>34</x:v>
      </x:c>
      <x:c r="C528" s="13" t="n">
        <x:v>43</x:v>
      </x:c>
      <x:c r="D528" s="9" t="str">
        <x:v>", "xref_src_db": "GoProcess"}, {"xref_id": "GO:0071300", "xref_name": "cellular response to retinoic acid", "xref_src_db": "GoProcess"}, {"xref_id": "GO:0071361", "xref_name": "cellular response to ethanol", "xref_src_db": "GoProcess"}, {"xref_id": "GO:0071880", "xref_name": "adenylate cyclase-activating adrenergic receptor signaling pathway", "xref_src_db": "GoProcess"}, {"xref_id": "GO:0090325"</x:v>
      </x:c>
    </x:row>
    <x:row r="529" ht="66" customHeight="1">
      <x:c r="A529" s="14" t="str">
        <x:v>frozen/raw/target.json</x:v>
      </x:c>
      <x:c r="B529" s="17" t="n">
        <x:v>35</x:v>
      </x:c>
      <x:c r="C529" s="17" t="n">
        <x:v>43</x:v>
      </x:c>
      <x:c r="D529" s="14" t="str">
        <x:v>, "xref_name": "regulation of locomotion involved in locomotory behavior", "xref_src_db": "GoProcess"}, {"xref_id": "GO:0099170", "xref_name": "postsynaptic modulation of chemical synaptic transmission", "xref_src_db": "GoProcess"}, {"xref_id": "GO:0099171", "xref_name": "presynaptic modulation of chemical synaptic transmission", "xref_src_db": "GoProcess"}, {"xref_id": "GO:1900038", "xref_name": </x:v>
      </x:c>
    </x:row>
    <x:row r="530" ht="66" customHeight="1">
      <x:c r="A530" s="9" t="str">
        <x:v>frozen/raw/target.json</x:v>
      </x:c>
      <x:c r="B530" s="13" t="n">
        <x:v>36</x:v>
      </x:c>
      <x:c r="C530" s="13" t="n">
        <x:v>43</x:v>
      </x:c>
      <x:c r="D530" s="9" t="str">
        <x:v>"negative regulation of cellular response to hypoxia", "xref_src_db": "GoProcess"}, {"xref_id": "GO:1900168", "xref_name": "positive regulation of glial cell-derived neurotrophic factor production", "xref_src_db": "GoProcess"}, {"xref_id": "GO:1900273", "xref_name": "positive regulation of long-term synaptic potentiation", "xref_src_db": "GoProcess"}, {"xref_id": "GO:1903530", "xref_name": "regula</x:v>
      </x:c>
    </x:row>
    <x:row r="531" ht="66" customHeight="1">
      <x:c r="A531" s="14" t="str">
        <x:v>frozen/raw/target.json</x:v>
      </x:c>
      <x:c r="B531" s="17" t="n">
        <x:v>37</x:v>
      </x:c>
      <x:c r="C531" s="17" t="n">
        <x:v>43</x:v>
      </x:c>
      <x:c r="D531" s="14" t="str">
        <x:v>tion of secretion by cell", "xref_src_db": "GoProcess"}, {"xref_id": "GO:1990384", "xref_name": "hyaloid vascular plexus regression", "xref_src_db": "GoProcess"}, {"xref_id": "GO:2001223", "xref_name": "negative regulation of neuron migration", "xref_src_db": "GoProcess"}, {"xref_id": "HGNC:3023", "xref_name": "DRD2", "xref_src_db": "HGNC"}, {"xref_id": "P14416", "xref_name": null, "xref_src_db": </x:v>
      </x:c>
    </x:row>
    <x:row r="532" ht="66" customHeight="1">
      <x:c r="A532" s="9" t="str">
        <x:v>frozen/raw/target.json</x:v>
      </x:c>
      <x:c r="B532" s="13" t="n">
        <x:v>38</x:v>
      </x:c>
      <x:c r="C532" s="13" t="n">
        <x:v>43</x:v>
      </x:c>
      <x:c r="D532" s="9" t="str">
        <x:v>"IntAct"}, {"xref_id": "IPR000276", "xref_name": "GPCR_Rhodpsn", "xref_src_db": "InterPro"}, {"xref_id": "IPR000929", "xref_name": "Dopamine_rcpt", "xref_src_db": "InterPro"}, {"xref_id": "IPR001922", "xref_name": "Dopamine_D2_rcpt", "xref_src_db": "InterPro"}, {"xref_id": "IPR017452", "xref_name": "GPCR_Rhodpsn_7TM", "xref_src_db": "InterPro"}, {"xref_id": "PTHR24248", "xref_name": "ADRENERGIC RE</x:v>
      </x:c>
    </x:row>
    <x:row r="533" ht="66" customHeight="1">
      <x:c r="A533" s="14" t="str">
        <x:v>frozen/raw/target.json</x:v>
      </x:c>
      <x:c r="B533" s="17" t="n">
        <x:v>39</x:v>
      </x:c>
      <x:c r="C533" s="17" t="n">
        <x:v>43</x:v>
      </x:c>
      <x:c r="D533" s="14" t="str">
        <x:v>CEPTOR-RELATED G-PROTEIN COUPLED RECEPTOR", "xref_src_db": "PANTHER"}, {"xref_id": "PTHR24248:SF87", "xref_name": "D(2) DOPAMINE RECEPTOR", "xref_src_db": "PANTHER"}, {"xref_id": "5AER", "xref_name": null, "xref_src_db": "PDB"}, {"xref_id": "6CM4", "xref_name": null, "xref_src_db": "PDB"}, {"xref_id": "6LUQ", "xref_name": null, "xref_src_db": "PDB"}, {"xref_id": "6VMS", "xref_name": null, "xref_sr</x:v>
      </x:c>
    </x:row>
    <x:row r="534" ht="66" customHeight="1">
      <x:c r="A534" s="9" t="str">
        <x:v>frozen/raw/target.json</x:v>
      </x:c>
      <x:c r="B534" s="13" t="n">
        <x:v>40</x:v>
      </x:c>
      <x:c r="C534" s="13" t="n">
        <x:v>43</x:v>
      </x:c>
      <x:c r="D534" s="9" t="str">
        <x:v>c_db": "PDB"}, {"xref_id": "7DFP", "xref_name": null, "xref_src_db": "PDB"}, {"xref_id": "7JVR", "xref_name": null, "xref_src_db": "PDB"}, {"xref_id": "8IRS", "xref_name": null, "xref_src_db": "PDB"}, {"xref_id": "8TZQ", "xref_name": null, "xref_src_db": "PDB"}, {"xref_id": "8U02", "xref_name": null, "xref_src_db": "PDB"}, {"xref_id": "5AER", "xref_name": "A", "xref_src_db": "PDBe"}, {"xref_id": "</x:v>
      </x:c>
    </x:row>
    <x:row r="535" ht="66" customHeight="1">
      <x:c r="A535" s="14" t="str">
        <x:v>frozen/raw/target.json</x:v>
      </x:c>
      <x:c r="B535" s="17" t="n">
        <x:v>41</x:v>
      </x:c>
      <x:c r="C535" s="17" t="n">
        <x:v>43</x:v>
      </x:c>
      <x:c r="D535" s="14" t="str">
        <x:v>6CM4", "xref_name": "A", "xref_src_db": "PDBe"}, {"xref_id": "6LUQ", "xref_name": "A", "xref_src_db": "PDBe"}, {"xref_id": "7DFP", "xref_name": "A", "xref_src_db": "PDBe"}, {"xref_id": "PF00001", "xref_name": "7tm_1", "xref_src_db": "Pfam"}, {"xref_id": "PA27478", "xref_name": "dopamine receptor D2", "xref_src_db": "PharmGKB"}, {"xref_id": "P14416", "xref_name": null, "xref_src_db": "Pharos"}, {"x</x:v>
      </x:c>
    </x:row>
    <x:row r="536" ht="66" customHeight="1">
      <x:c r="A536" s="9" t="str">
        <x:v>frozen/raw/target.json</x:v>
      </x:c>
      <x:c r="B536" s="13" t="n">
        <x:v>42</x:v>
      </x:c>
      <x:c r="C536" s="13" t="n">
        <x:v>43</x:v>
      </x:c>
      <x:c r="D536" s="9" t="str">
        <x:v>ref_id": "R-HSA-390651", "xref_name": "Dopamine receptors", "xref_src_db": "Reactome"}, {"xref_id": "P14416", "xref_name": "D(2) dopamine receptor", "xref_src_db": "UniProt"}, {"xref_id": "Q9NZR3", "xref_name": "D(2) dopamine receptor", "xref_src_db": "UniProt"}, {"xref_id": "Q9UPA9", "xref_name": "D(2) dopamine receptor", "xref_src_db": "UniProt"}]}], "target_type": "SINGLE PROTEIN", "tax_id": 96</x:v>
      </x:c>
    </x:row>
    <x:row r="537" ht="21" customHeight="1">
      <x:c r="A537" s="14" t="str">
        <x:v>frozen/raw/target.json</x:v>
      </x:c>
      <x:c r="B537" s="17" t="n">
        <x:v>43</x:v>
      </x:c>
      <x:c r="C537" s="17" t="n">
        <x:v>43</x:v>
      </x:c>
      <x:c r="D537" s="14" t="str">
        <x:v>06}</x:v>
      </x:c>
    </x:row>
  </x:sheetData>
  <x:pageMargins left="0.7" right="0.7" top="0.75" bottom="0.75" header="0.3" footer="0.3"/>
  <x:tableParts count="1">
    <x:tablePart xmlns:r="http://schemas.openxmlformats.org/officeDocument/2006/relationships" r:id="Rd5f974455ed74255"/>
  </x:tableParts>
</x:worksheet>
</file>

<file path=xl/worksheets/sheet15.xml><?xml version="1.0" encoding="utf-8"?>
<x:worksheet xmlns:x="http://schemas.openxmlformats.org/spreadsheetml/2006/main">
  <x:sheetPr>
    <x:tabColor rgb="FF8998A6"/>
  </x:sheetPr>
  <x:sheetViews>
    <x:sheetView showGridLines="0" workbookViewId="0">
      <x:pane xSplit="1" ySplit="1" topLeftCell="B2" activePane="bottomRight" state="frozen"/>
    </x:sheetView>
  </x:sheetViews>
  <x:sheetFormatPr defaultRowHeight="15"/>
  <x:cols>
    <x:col min="1" max="1" width="25" hidden="0" customWidth="1"/>
    <x:col min="2" max="2" width="112" hidden="0" customWidth="1"/>
  </x:cols>
  <x:sheetData>
    <x:row r="1" ht="48" customHeight="1">
      <x:c r="A1" s="6" t="str">
        <x:v>Topic</x:v>
      </x:c>
      <x:c r="B1" s="6" t="str">
        <x:v>Explanation</x:v>
      </x:c>
    </x:row>
    <x:row r="2" ht="38" customHeight="1">
      <x:c r="A2" s="9" t="str">
        <x:v>Scope</x:v>
      </x:c>
      <x:c r="B2" s="9" t="str">
        <x:v>Frozen local-domain pilot for CHEMBL3855278, target CHEMBL217, document CHEMBL3853329. This workbook packages the completed run. It does not fit or select a new model.</x:v>
      </x:c>
    </x:row>
    <x:row r="3" ht="53" customHeight="1">
      <x:c r="A3" s="14" t="str">
        <x:v>Source-reported label</x:v>
      </x:c>
      <x:c r="B3" s="14" t="str">
        <x:v>pKi is the source-reported, database-attributed experimental response, not a model prediction. Original measurements have not been independently verified. Empty units on pKi are retained as supplied.</x:v>
      </x:c>
    </x:row>
    <x:row r="4" ht="38" customHeight="1">
      <x:c r="A4" s="9" t="str">
        <x:v>Derived values</x:v>
      </x:c>
      <x:c r="B4" s="9" t="str">
        <x:v>ChEMBL standardized Ki is in nM. The reverse transform is pKi = 9 − log10(Ki in nM). Standardized Ki and the round trip never replace the source pKi label.</x:v>
      </x:c>
    </x:row>
    <x:row r="5" ht="38" customHeight="1">
      <x:c r="A5" s="14" t="str">
        <x:v>Computed features</x:v>
      </x:c>
      <x:c r="B5" s="14" t="str">
        <x:v>MolWt, MolLogP, TPSA, NumHDonors and NumHAcceptors are RDKit calculations. Structures, parent identity and scaffold fields are computed or curated, not assay observations.</x:v>
      </x:c>
    </x:row>
    <x:row r="6" ht="38" customHeight="1">
      <x:c r="A6" s="9" t="str">
        <x:v>Predictions</x:v>
      </x:c>
      <x:c r="B6" s="9" t="str">
        <x:v>Ridge and training-mean columns are fitted predictions. Only rows with split = test contribute to reported holdout metrics. Training-row predictions are in-sample.</x:v>
      </x:c>
    </x:row>
    <x:row r="7" ht="38" customHeight="1">
      <x:c r="A7" s="14" t="str">
        <x:v>Frozen split</x:v>
      </x:c>
      <x:c r="B7" s="14" t="str">
        <x:v>scaffold_and_parent_grouped. Deterministic seed assay-pilot-v1. 57 train and 23 test compounds. Group integrity takes priority over the nominal 20% target.</x:v>
      </x:c>
    </x:row>
    <x:row r="8" ht="53" customHeight="1">
      <x:c r="A8" s="9" t="str">
        <x:v>Exclusions</x:v>
      </x:c>
      <x:c r="B8" s="9" t="str">
        <x:v>Missing/nonexact measurements remain in the source and exclusion tables. All multi-record full identities are excluded. No averaging or selective replicate choice was used. Reasons may overlap, so reason counts are not additive.</x:v>
      </x:c>
    </x:row>
    <x:row r="9" ht="53" customHeight="1">
      <x:c r="A9" s="14" t="str">
        <x:v>Missing values</x:v>
      </x:c>
      <x:c r="B9" s="14" t="str">
        <x:v>CSV blanks and literal null strings are retained. null represents JSON null, not zero. Original response strings preserve decimal precision. pKi, standardized Ki and model outputs are numeric. IDs and equality relations are literal text.</x:v>
      </x:c>
    </x:row>
    <x:row r="10" ht="53" customHeight="1">
      <x:c r="A10" s="9" t="str">
        <x:v>Provenance</x:v>
      </x:c>
      <x:c r="B10" s="9" t="str">
        <x:v>Each source CSV is preserved as its own flat table, including every original column. File evidence records independently computed SHA-256 digests. Metadata retains the frozen rules, model parameters, reported metrics and software versions.</x:v>
      </x:c>
    </x:row>
    <x:row r="11" ht="53" customHeight="1">
      <x:c r="A11" s="14" t="str">
        <x:v>Exact source archive</x:v>
      </x:c>
      <x:c r="B11" s="14" t="str">
        <x:v>Raw source archive preserves complete original JSON and release notes in ordered chunks. Concatenate Exact UTF-8 text chunk by Source file and Part index without separators to reconstruct each file.</x:v>
      </x:c>
    </x:row>
    <x:row r="12" ht="38" customHeight="1">
      <x:c r="A12" s="9" t="str">
        <x:v>Unit checks</x:v>
      </x:c>
      <x:c r="B12" s="9" t="str">
        <x:v>Unit checks contains transparent spreadsheet formulas using source pKi and standardized Ki. The allowed tolerance is the recorded frozen rule, not a new acceptance decision.</x:v>
      </x:c>
    </x:row>
    <x:row r="13" ht="53" customHeight="1">
      <x:c r="A13" s="14" t="str">
        <x:v>Metric interpretation</x:v>
      </x:c>
      <x:c r="B13" s="14" t="str">
        <x:v>The ridge model does not establish useful predictive skill. Its holdout errors are close to the training-mean baseline and its R² is negative. The small single-assay holdout is not external validation.</x:v>
      </x:c>
    </x:row>
    <x:row r="14" ht="53" customHeight="1">
      <x:c r="A14" s="9" t="str">
        <x:v>Source limitations</x:v>
      </x:c>
      <x:c r="B14" s="9" t="str">
        <x:v>Full-paper table-to-record mapping is incomplete. Source figure and comparator suffix A were not visually confirmed. The resolved comparator graph was absent from all 107 source records. No exclusion or refit followed.</x:v>
      </x:c>
    </x:row>
    <x:row r="15" ht="38" customHeight="1">
      <x:c r="A15" s="14" t="str">
        <x:v>Check history</x:v>
      </x:c>
      <x:c r="B15" s="14" t="str">
        <x:v>The release CHECK_HISTORY records a postfit comparator hold, independent no-match check and no change to the cohort, split or fitted model. The frozen first-fit results remain unchanged.</x:v>
      </x:c>
    </x:row>
    <x:row r="16" ht="53" customHeight="1">
      <x:c r="A16" s="9" t="str">
        <x:v>Release packaging</x:v>
      </x:c>
      <x:c r="B16" s="9" t="str">
        <x:v>This repository-safe copy uses the sanitized release metadata. PACKAGING_CHANGES documents path-only rule redaction and corresponding hash-reference updates. All scientific CSVs and raw API response bytes are unchanged.</x:v>
      </x:c>
    </x:row>
    <x:row r="17" ht="53" customHeight="1">
      <x:c r="A17" s="14" t="str">
        <x:v>Data licence</x:v>
      </x:c>
      <x:c r="B17" s="14" t="str">
        <x:v>ChEMBL source and derived data: EMBL-EBI, CC BY-SA 3.0. https://www.ebi.ac.uk/chembl/ and https://creativecommons.org/licenses/by-sa/3.0/. Workflow code is separate. No full paper is redistributed.</x:v>
      </x:c>
    </x:row>
    <x:row r="18" ht="38" customHeight="1">
      <x:c r="A18" s="9" t="str">
        <x:v>Use</x:v>
      </x:c>
      <x:c r="B18" s="9" t="str">
        <x:v>Use the table filters to inspect compound and activity IDs. Header and first-column panes stay visible. Keep the frozen source tables unchanged when auditing.</x:v>
      </x:c>
    </x:row>
    <x:row r="19" ht="38" customHeight="1">
      <x:c r="A19" s="14" t="str">
        <x:v>Source URLs</x:v>
      </x:c>
      <x:c r="B19" s="14" t="str">
        <x:v>Original activity URLs remain in Eligible cohort, Computed features and Predictions. Official API request URLs and retrieval times are retained in Metadata and exact source JSON.</x:v>
      </x:c>
    </x:row>
  </x:sheetData>
  <x:pageMargins left="0.7" right="0.7" top="0.75" bottom="0.75" header="0.3" footer="0.3"/>
  <x:tableParts count="1">
    <x:tablePart xmlns:r="http://schemas.openxmlformats.org/officeDocument/2006/relationships" r:id="R82b52a21090e4e5d"/>
  </x:tableParts>
</x:worksheet>
</file>